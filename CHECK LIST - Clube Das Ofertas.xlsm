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.i\Desktop\"/>
    </mc:Choice>
  </mc:AlternateContent>
  <xr:revisionPtr revIDLastSave="0" documentId="13_ncr:1_{8DFBB59C-5CCC-408F-B3A1-38D1218A16BA}" xr6:coauthVersionLast="47" xr6:coauthVersionMax="47" xr10:uidLastSave="{00000000-0000-0000-0000-000000000000}"/>
  <bookViews>
    <workbookView xWindow="-120" yWindow="-120" windowWidth="29040" windowHeight="15720" tabRatio="854" activeTab="4" xr2:uid="{00000000-000D-0000-FFFF-FFFF00000000}"/>
  </bookViews>
  <sheets>
    <sheet name="Menu - Clube Das Ofertas" sheetId="474" r:id="rId1"/>
    <sheet name="Base Clube - CLT" sheetId="473" r:id="rId2"/>
    <sheet name="Modelo Base - Plan" sheetId="138" r:id="rId3"/>
    <sheet name="Cód Barras" sheetId="116" state="veryHidden" r:id="rId4"/>
    <sheet name="Base - Cód Barras" sheetId="503" r:id="rId5"/>
    <sheet name="Tabloide - 02.06.2026 F" sheetId="574" r:id="rId6"/>
  </sheets>
  <definedNames>
    <definedName name="_xlnm._FilterDatabase" localSheetId="4" hidden="1">'Base - Cód Barras'!$A$1:$D$3102</definedName>
    <definedName name="_xlnm._FilterDatabase" localSheetId="1" hidden="1">'Base Clube - CLT'!$B$1:$F$299</definedName>
    <definedName name="_xlnm._FilterDatabase" localSheetId="3" hidden="1">'Cód Barras'!$A$1:$D$2835</definedName>
    <definedName name="_xlnm._FilterDatabase" localSheetId="2" hidden="1">'Modelo Base - Plan'!$M$2:$R$2</definedName>
    <definedName name="_xlnm._FilterDatabase" localSheetId="5" hidden="1">'Tabloide - 02.06.2026 F'!$M$2:$R$103</definedName>
    <definedName name="Incremento_de_rolagem">#REF!</definedName>
    <definedName name="Início_do_projeto">#REF!</definedName>
    <definedName name="Marcador_de_marco">#REF!</definedName>
    <definedName name="PercentualConcluídoAlém">(#REF!=MEDIAN(#REF!,#REF!,#REF!+#REF!)*(#REF!&gt;0))*((#REF!&lt;(INT(#REF!+#REF!*#REF!)))+(#REF!=#REF!))*(#REF!&gt;0)</definedName>
    <definedName name="período_selecionado">#REF!</definedName>
    <definedName name="PeríodonoPlano">#REF!=MEDIAN(#REF!,#REF!,#REF!+#REF!-1)</definedName>
    <definedName name="PeríodoReal">#REF!=MEDIAN(#REF!,#REF!,#REF!+#REF!-1)</definedName>
    <definedName name="Plano" localSheetId="4">PeríodonoPlano*(#REF!&gt;0)</definedName>
    <definedName name="Plano">PeríodonoPlano*(#REF!&gt;0)</definedName>
    <definedName name="PorcentagemConcluída" localSheetId="4">PercentualConcluídoAlém*PeríodonoPlano</definedName>
    <definedName name="PorcentagemConcluída">PercentualConcluídoAlém*PeríodonoPlano</definedName>
    <definedName name="Real" localSheetId="4">(PeríodoReal*(#REF!&gt;0))*PeríodonoPlano</definedName>
    <definedName name="Real">(PeríodoReal*(#REF!&gt;0))*PeríodonoPlano</definedName>
    <definedName name="RealAlém" localSheetId="4">PeríodoReal*(#REF!&gt;0)</definedName>
    <definedName name="RealAlém">PeríodoReal*(#REF!&gt;0)</definedName>
    <definedName name="RegiãodoTítulo..BO60">#REF!</definedName>
    <definedName name="Semana_de_exibiçã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574" l="1"/>
  <c r="F31" i="574"/>
  <c r="O22" i="574"/>
  <c r="J22" i="574"/>
  <c r="N73" i="574"/>
  <c r="N72" i="574"/>
  <c r="N71" i="574"/>
  <c r="N70" i="574"/>
  <c r="N69" i="574"/>
  <c r="N86" i="574"/>
  <c r="N78" i="574"/>
  <c r="N77" i="574"/>
  <c r="N76" i="574"/>
  <c r="N74" i="574"/>
  <c r="O103" i="574"/>
  <c r="O102" i="574"/>
  <c r="O101" i="574"/>
  <c r="O100" i="574"/>
  <c r="O99" i="574"/>
  <c r="O98" i="574"/>
  <c r="O97" i="574"/>
  <c r="O96" i="574"/>
  <c r="O95" i="574"/>
  <c r="O94" i="574"/>
  <c r="O93" i="574"/>
  <c r="O92" i="574"/>
  <c r="O91" i="574"/>
  <c r="O90" i="574"/>
  <c r="O89" i="574"/>
  <c r="O88" i="574"/>
  <c r="O87" i="574"/>
  <c r="O86" i="574"/>
  <c r="O85" i="574"/>
  <c r="O84" i="574"/>
  <c r="O83" i="574"/>
  <c r="O82" i="574"/>
  <c r="O81" i="574"/>
  <c r="O79" i="574"/>
  <c r="O78" i="574"/>
  <c r="O77" i="574"/>
  <c r="O76" i="574"/>
  <c r="O75" i="574"/>
  <c r="O74" i="574"/>
  <c r="O73" i="574"/>
  <c r="O72" i="574"/>
  <c r="O71" i="574"/>
  <c r="O70" i="574"/>
  <c r="O69" i="574"/>
  <c r="O68" i="574"/>
  <c r="O67" i="574"/>
  <c r="O66" i="574"/>
  <c r="O65" i="574"/>
  <c r="O64" i="574"/>
  <c r="O63" i="574"/>
  <c r="O62" i="574"/>
  <c r="O61" i="574"/>
  <c r="O60" i="574"/>
  <c r="O59" i="574"/>
  <c r="O58" i="574"/>
  <c r="O57" i="574"/>
  <c r="O56" i="574"/>
  <c r="O55" i="574"/>
  <c r="O54" i="574"/>
  <c r="O53" i="574"/>
  <c r="O52" i="574"/>
  <c r="O51" i="574"/>
  <c r="O50" i="574"/>
  <c r="O49" i="574"/>
  <c r="O47" i="574"/>
  <c r="O45" i="574"/>
  <c r="O44" i="574"/>
  <c r="O43" i="574"/>
  <c r="O42" i="574"/>
  <c r="O41" i="574"/>
  <c r="O40" i="574"/>
  <c r="O39" i="574"/>
  <c r="O37" i="574"/>
  <c r="O35" i="574"/>
  <c r="O34" i="574"/>
  <c r="O33" i="574"/>
  <c r="O32" i="574"/>
  <c r="O30" i="574"/>
  <c r="O29" i="574"/>
  <c r="O28" i="574"/>
  <c r="O27" i="574"/>
  <c r="O26" i="574"/>
  <c r="O25" i="574"/>
  <c r="O24" i="574"/>
  <c r="O23" i="574"/>
  <c r="O21" i="574"/>
  <c r="O20" i="574"/>
  <c r="O19" i="574"/>
  <c r="O18" i="574"/>
  <c r="O17" i="574"/>
  <c r="O16" i="574"/>
  <c r="O15" i="574"/>
  <c r="O14" i="574"/>
  <c r="O13" i="574"/>
  <c r="O12" i="574"/>
  <c r="O11" i="574"/>
  <c r="O10" i="574"/>
  <c r="O9" i="574"/>
  <c r="O8" i="574"/>
  <c r="F46" i="574"/>
  <c r="E46" i="574"/>
  <c r="E48" i="574"/>
  <c r="F48" i="574"/>
  <c r="E80" i="574"/>
  <c r="F80" i="574"/>
  <c r="J101" i="574"/>
  <c r="J100" i="574"/>
  <c r="J99" i="574"/>
  <c r="J98" i="574"/>
  <c r="J97" i="574"/>
  <c r="J96" i="574"/>
  <c r="J95" i="574"/>
  <c r="J94" i="574"/>
  <c r="J93" i="574"/>
  <c r="J91" i="574"/>
  <c r="J90" i="574"/>
  <c r="J89" i="574"/>
  <c r="J88" i="574"/>
  <c r="J85" i="574"/>
  <c r="J84" i="574"/>
  <c r="J83" i="574"/>
  <c r="J82" i="574"/>
  <c r="J80" i="574"/>
  <c r="J78" i="574"/>
  <c r="J74" i="574"/>
  <c r="J73" i="574"/>
  <c r="J65" i="574"/>
  <c r="J64" i="574"/>
  <c r="J63" i="574"/>
  <c r="J62" i="574"/>
  <c r="J61" i="574"/>
  <c r="J60" i="574"/>
  <c r="J59" i="574"/>
  <c r="J58" i="574"/>
  <c r="J57" i="574"/>
  <c r="J55" i="574"/>
  <c r="J54" i="574"/>
  <c r="J53" i="574"/>
  <c r="J52" i="574"/>
  <c r="J50" i="574"/>
  <c r="J48" i="574"/>
  <c r="J46" i="574"/>
  <c r="J44" i="574"/>
  <c r="J41" i="574"/>
  <c r="F38" i="574"/>
  <c r="E38" i="574"/>
  <c r="H36" i="574"/>
  <c r="G36" i="574"/>
  <c r="J27" i="574"/>
  <c r="J26" i="574"/>
  <c r="J25" i="574"/>
  <c r="J24" i="574"/>
  <c r="J20" i="574"/>
  <c r="J19" i="574"/>
  <c r="J18" i="574"/>
  <c r="J17" i="574"/>
  <c r="J16" i="574"/>
  <c r="J11" i="574"/>
  <c r="J10" i="574"/>
  <c r="J8" i="574"/>
  <c r="K103" i="574"/>
  <c r="J103" i="574"/>
  <c r="K102" i="574"/>
  <c r="J102" i="574"/>
  <c r="K92" i="574"/>
  <c r="J92" i="574"/>
  <c r="K87" i="574"/>
  <c r="J87" i="574"/>
  <c r="K86" i="574"/>
  <c r="J86" i="574"/>
  <c r="K81" i="574"/>
  <c r="J81" i="574"/>
  <c r="K79" i="574"/>
  <c r="J79" i="574"/>
  <c r="K77" i="574"/>
  <c r="J77" i="574"/>
  <c r="K76" i="574"/>
  <c r="J76" i="574"/>
  <c r="K75" i="574"/>
  <c r="J75" i="574"/>
  <c r="K72" i="574"/>
  <c r="J72" i="574"/>
  <c r="K71" i="574"/>
  <c r="J71" i="574"/>
  <c r="K70" i="574"/>
  <c r="J70" i="574"/>
  <c r="K69" i="574"/>
  <c r="J69" i="574"/>
  <c r="K68" i="574"/>
  <c r="J68" i="574"/>
  <c r="K67" i="574"/>
  <c r="J67" i="574"/>
  <c r="K66" i="574"/>
  <c r="J66" i="574"/>
  <c r="K56" i="574"/>
  <c r="J56" i="574"/>
  <c r="K51" i="574"/>
  <c r="J51" i="574"/>
  <c r="K49" i="574"/>
  <c r="J49" i="574"/>
  <c r="K47" i="574"/>
  <c r="J47" i="574"/>
  <c r="K45" i="574"/>
  <c r="J45" i="574"/>
  <c r="K43" i="574"/>
  <c r="J43" i="574"/>
  <c r="K42" i="574"/>
  <c r="J42" i="574"/>
  <c r="K40" i="574"/>
  <c r="J40" i="574"/>
  <c r="K39" i="574"/>
  <c r="J39" i="574"/>
  <c r="K38" i="574"/>
  <c r="J38" i="574"/>
  <c r="K37" i="574"/>
  <c r="J37" i="574"/>
  <c r="K36" i="574"/>
  <c r="K35" i="574"/>
  <c r="J35" i="574"/>
  <c r="K34" i="574"/>
  <c r="J34" i="574"/>
  <c r="K33" i="574"/>
  <c r="J33" i="574"/>
  <c r="K32" i="574"/>
  <c r="J32" i="574"/>
  <c r="K31" i="574"/>
  <c r="J31" i="574"/>
  <c r="K30" i="574"/>
  <c r="J30" i="574"/>
  <c r="K29" i="574"/>
  <c r="J29" i="574"/>
  <c r="K28" i="574"/>
  <c r="J28" i="574"/>
  <c r="K23" i="574"/>
  <c r="J23" i="574"/>
  <c r="K21" i="574"/>
  <c r="J21" i="574"/>
  <c r="K15" i="574"/>
  <c r="J15" i="574"/>
  <c r="K14" i="574"/>
  <c r="J14" i="574"/>
  <c r="K13" i="574"/>
  <c r="J13" i="574"/>
  <c r="K12" i="574"/>
  <c r="J12" i="574"/>
  <c r="K9" i="574"/>
  <c r="J9" i="574"/>
  <c r="O7" i="574"/>
  <c r="K7" i="574"/>
  <c r="J7" i="574"/>
  <c r="O6" i="574"/>
  <c r="K6" i="574"/>
  <c r="J6" i="574"/>
  <c r="O5" i="574"/>
  <c r="K5" i="574"/>
  <c r="J5" i="574"/>
  <c r="K4" i="574"/>
  <c r="K3" i="574"/>
  <c r="O31" i="574" l="1"/>
  <c r="O46" i="574"/>
  <c r="O38" i="574"/>
  <c r="O48" i="574"/>
  <c r="O80" i="574"/>
  <c r="N103" i="574"/>
  <c r="N102" i="574"/>
  <c r="N101" i="574"/>
  <c r="N100" i="574"/>
  <c r="N99" i="574"/>
  <c r="N98" i="574"/>
  <c r="N97" i="574"/>
  <c r="N96" i="574"/>
  <c r="N95" i="574"/>
  <c r="N94" i="574"/>
  <c r="N93" i="574"/>
  <c r="N92" i="574"/>
  <c r="N91" i="574"/>
  <c r="N90" i="574"/>
  <c r="N89" i="574"/>
  <c r="N88" i="574"/>
  <c r="N87" i="574"/>
  <c r="N85" i="574"/>
  <c r="N84" i="574"/>
  <c r="N83" i="574"/>
  <c r="N82" i="574"/>
  <c r="N81" i="574"/>
  <c r="N80" i="574"/>
  <c r="N79" i="574"/>
  <c r="N75" i="574"/>
  <c r="O36" i="574"/>
  <c r="J36" i="574"/>
  <c r="O4" i="574"/>
  <c r="J4" i="574"/>
  <c r="O3" i="574"/>
  <c r="J3" i="574"/>
  <c r="K4" i="138" l="1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8" i="138"/>
  <c r="K29" i="138"/>
  <c r="K30" i="138"/>
  <c r="K31" i="138"/>
  <c r="K32" i="138"/>
  <c r="K33" i="138"/>
  <c r="K34" i="138"/>
  <c r="K35" i="138"/>
  <c r="K36" i="138"/>
  <c r="K37" i="138"/>
  <c r="K38" i="138"/>
  <c r="K39" i="138"/>
  <c r="K40" i="138"/>
  <c r="K41" i="138"/>
  <c r="K42" i="138"/>
  <c r="K43" i="138"/>
  <c r="K44" i="138"/>
  <c r="K45" i="138"/>
  <c r="K46" i="138"/>
  <c r="K47" i="138"/>
  <c r="K48" i="138"/>
  <c r="K49" i="138"/>
  <c r="K50" i="138"/>
  <c r="K51" i="138"/>
  <c r="K52" i="138"/>
  <c r="K53" i="138"/>
  <c r="K54" i="138"/>
  <c r="K55" i="138"/>
  <c r="K56" i="138"/>
  <c r="K57" i="138"/>
  <c r="K58" i="138"/>
  <c r="K59" i="138"/>
  <c r="K60" i="138"/>
  <c r="K61" i="138"/>
  <c r="K62" i="138"/>
  <c r="K63" i="138"/>
  <c r="K64" i="138"/>
  <c r="K65" i="138"/>
  <c r="K66" i="138"/>
  <c r="K67" i="138"/>
  <c r="K68" i="138"/>
  <c r="K69" i="138"/>
  <c r="K3" i="138"/>
  <c r="B920" i="503" l="1"/>
  <c r="B919" i="503"/>
  <c r="B918" i="503"/>
  <c r="B917" i="503"/>
  <c r="B916" i="503"/>
  <c r="B909" i="503"/>
  <c r="B908" i="503"/>
  <c r="B907" i="503"/>
  <c r="B906" i="503"/>
  <c r="B884" i="503"/>
  <c r="B883" i="503"/>
  <c r="B882" i="503"/>
  <c r="B881" i="503"/>
  <c r="B880" i="503"/>
  <c r="C485" i="503"/>
  <c r="C479" i="503"/>
  <c r="J5" i="138" l="1"/>
  <c r="J6" i="138"/>
  <c r="J7" i="138"/>
  <c r="J69" i="138"/>
  <c r="J68" i="138"/>
  <c r="J67" i="138"/>
  <c r="J66" i="138"/>
  <c r="J65" i="138"/>
  <c r="J64" i="138"/>
  <c r="J63" i="138"/>
  <c r="J62" i="138"/>
  <c r="J61" i="138"/>
  <c r="J60" i="138"/>
  <c r="J59" i="138"/>
  <c r="J58" i="138"/>
  <c r="J57" i="138"/>
  <c r="J56" i="138"/>
  <c r="J55" i="138"/>
  <c r="J54" i="138"/>
  <c r="J53" i="138"/>
  <c r="J52" i="138"/>
  <c r="J51" i="138"/>
  <c r="J50" i="138"/>
  <c r="J49" i="138"/>
  <c r="J48" i="138"/>
  <c r="J47" i="138"/>
  <c r="J46" i="138"/>
  <c r="J45" i="138"/>
  <c r="J44" i="138"/>
  <c r="J43" i="138"/>
  <c r="J42" i="138"/>
  <c r="J41" i="138"/>
  <c r="J40" i="138"/>
  <c r="J39" i="138"/>
  <c r="J38" i="138"/>
  <c r="J37" i="138"/>
  <c r="J36" i="138"/>
  <c r="J35" i="138"/>
  <c r="J34" i="138"/>
  <c r="J33" i="138"/>
  <c r="J32" i="138"/>
  <c r="J31" i="138"/>
  <c r="J30" i="138"/>
  <c r="J29" i="138"/>
  <c r="J28" i="138"/>
  <c r="J27" i="138"/>
  <c r="J26" i="138"/>
  <c r="J25" i="138"/>
  <c r="J24" i="138"/>
  <c r="J23" i="138"/>
  <c r="J22" i="138"/>
  <c r="J21" i="138"/>
  <c r="J20" i="138"/>
  <c r="J19" i="138"/>
  <c r="J18" i="138"/>
  <c r="J17" i="138"/>
  <c r="J16" i="138"/>
  <c r="J15" i="138"/>
  <c r="J14" i="138"/>
  <c r="J13" i="138"/>
  <c r="J12" i="138"/>
  <c r="J11" i="138"/>
  <c r="J10" i="138"/>
  <c r="J9" i="138"/>
  <c r="J8" i="138"/>
  <c r="O69" i="138"/>
  <c r="O68" i="138"/>
  <c r="O67" i="138"/>
  <c r="O66" i="138"/>
  <c r="O65" i="138"/>
  <c r="O64" i="138"/>
  <c r="O63" i="138"/>
  <c r="O62" i="138"/>
  <c r="O61" i="138"/>
  <c r="O60" i="138"/>
  <c r="O59" i="138"/>
  <c r="O58" i="138"/>
  <c r="O57" i="138"/>
  <c r="O56" i="138"/>
  <c r="O55" i="138"/>
  <c r="O54" i="138"/>
  <c r="O53" i="138"/>
  <c r="O52" i="138"/>
  <c r="O51" i="138"/>
  <c r="O50" i="138"/>
  <c r="O49" i="138"/>
  <c r="O48" i="138"/>
  <c r="O47" i="138"/>
  <c r="O46" i="138"/>
  <c r="O45" i="138"/>
  <c r="O44" i="138"/>
  <c r="O43" i="138"/>
  <c r="O42" i="138"/>
  <c r="O41" i="138"/>
  <c r="O40" i="138"/>
  <c r="O39" i="138"/>
  <c r="O38" i="138"/>
  <c r="O37" i="138"/>
  <c r="O36" i="138"/>
  <c r="O35" i="138"/>
  <c r="O34" i="138"/>
  <c r="O33" i="138"/>
  <c r="O32" i="138"/>
  <c r="O31" i="138"/>
  <c r="O30" i="138"/>
  <c r="O29" i="138"/>
  <c r="O28" i="138"/>
  <c r="O27" i="138"/>
  <c r="O26" i="138"/>
  <c r="O25" i="138"/>
  <c r="O24" i="138"/>
  <c r="O23" i="138"/>
  <c r="O22" i="138"/>
  <c r="O21" i="138"/>
  <c r="O20" i="138"/>
  <c r="O19" i="138"/>
  <c r="O18" i="138"/>
  <c r="O17" i="138"/>
  <c r="O16" i="138"/>
  <c r="O15" i="138"/>
  <c r="O14" i="138"/>
  <c r="O13" i="138"/>
  <c r="O12" i="138"/>
  <c r="O11" i="138"/>
  <c r="O10" i="138"/>
  <c r="O9" i="138"/>
  <c r="O8" i="138"/>
  <c r="O7" i="138"/>
  <c r="O6" i="138"/>
  <c r="O5" i="138"/>
  <c r="H4" i="138"/>
  <c r="O4" i="138" s="1"/>
  <c r="G4" i="138"/>
  <c r="H3" i="138"/>
  <c r="J3" i="138" s="1"/>
  <c r="G3" i="138"/>
  <c r="J4" i="138" l="1"/>
  <c r="N69" i="138"/>
  <c r="O3" i="138"/>
  <c r="N42" i="138"/>
  <c r="N46" i="138"/>
  <c r="N50" i="138"/>
  <c r="N54" i="138"/>
  <c r="N58" i="138"/>
  <c r="N62" i="138"/>
  <c r="N66" i="138"/>
  <c r="N43" i="138"/>
  <c r="N47" i="138"/>
  <c r="N51" i="138"/>
  <c r="N55" i="138"/>
  <c r="N59" i="138"/>
  <c r="N63" i="138"/>
  <c r="N67" i="138"/>
  <c r="N40" i="138"/>
  <c r="N44" i="138"/>
  <c r="N48" i="138"/>
  <c r="N52" i="138"/>
  <c r="N56" i="138"/>
  <c r="N60" i="138"/>
  <c r="N64" i="138"/>
  <c r="N68" i="138"/>
  <c r="N41" i="138"/>
  <c r="N45" i="138"/>
  <c r="N49" i="138"/>
  <c r="N53" i="138"/>
  <c r="N57" i="138"/>
  <c r="N61" i="138"/>
  <c r="N65" i="138"/>
  <c r="B918" i="116" l="1"/>
  <c r="B919" i="116"/>
  <c r="B920" i="116"/>
  <c r="B921" i="116"/>
  <c r="B922" i="116"/>
  <c r="B911" i="116" l="1"/>
  <c r="B910" i="116"/>
  <c r="B909" i="116"/>
  <c r="B908" i="116"/>
  <c r="B886" i="116"/>
  <c r="B885" i="116"/>
  <c r="B884" i="116"/>
  <c r="B883" i="116"/>
  <c r="B882" i="116"/>
  <c r="C485" i="116"/>
  <c r="C479" i="116"/>
</calcChain>
</file>

<file path=xl/sharedStrings.xml><?xml version="1.0" encoding="utf-8"?>
<sst xmlns="http://schemas.openxmlformats.org/spreadsheetml/2006/main" count="18582" uniqueCount="3811">
  <si>
    <t>Quantidade limitada</t>
  </si>
  <si>
    <t>Venda</t>
  </si>
  <si>
    <t>Venda Clube</t>
  </si>
  <si>
    <t>Farinha de Trigo Globo 1Kg</t>
  </si>
  <si>
    <t>Café 3 Corações Extra Forte/Tradicional Pouch 500g</t>
  </si>
  <si>
    <t>Lava Roupas em Pó Ápyce Sachê 1Kg</t>
  </si>
  <si>
    <t>Whisky Ballantine´s 12 Anos 1L</t>
  </si>
  <si>
    <t>Energético Mormaii 2L</t>
  </si>
  <si>
    <t>24 Unidades</t>
  </si>
  <si>
    <t>Lâmpada Ourolux Superled 9W Bivolt</t>
  </si>
  <si>
    <t>Café Caboclo Tradicional Vácuo 500g</t>
  </si>
  <si>
    <t>06 Unidades</t>
  </si>
  <si>
    <t>12 Unidades</t>
  </si>
  <si>
    <t>Creme de Leite Frimesa Tp 200g</t>
  </si>
  <si>
    <t>Fraldas Pampers Confort Sec Pct (P-28 / M-24 / G-20 / XG-18)</t>
  </si>
  <si>
    <t>Bebida Láctea Polpa Vigor Sabores 540g</t>
  </si>
  <si>
    <t xml:space="preserve">Arroz Tio João Tipo 1 - 5Kg </t>
  </si>
  <si>
    <t>Margarina Doriana Tradicional Com Sal/Sem Sal 500g</t>
  </si>
  <si>
    <t xml:space="preserve">Papel Higiênico Dualette Elite F/D 30m Leve 12 Pague 11 </t>
  </si>
  <si>
    <t>Cerveja Petra Puro Malte Lata 350ml</t>
  </si>
  <si>
    <t xml:space="preserve">Suco de Uva Salton Integral Natural 1,5L </t>
  </si>
  <si>
    <t>Cerveja Budweiser Long Neck 330ml</t>
  </si>
  <si>
    <t>Refrigerante Coca Cola Lata Tradicional/Zero 350ml</t>
  </si>
  <si>
    <t xml:space="preserve">Bacon Manta Sadia Pedaço - Kg </t>
  </si>
  <si>
    <t>Azeite Cocinero Extra Virgem Pet 500ml (Acidez Máxima 0,5%)</t>
  </si>
  <si>
    <t>Whisky Ballantine´s Finest 8 Anos 1L</t>
  </si>
  <si>
    <t>Suco de Uva Góes Integral Natural 1L</t>
  </si>
  <si>
    <t>Óleo de Soja Concórdia Pet 900ml</t>
  </si>
  <si>
    <t>Vinho Italiano Cella Lambrusco 750ml</t>
  </si>
  <si>
    <t xml:space="preserve">Açúcar Refinado Alto Alegre 1Kg </t>
  </si>
  <si>
    <t>Suco Concentrado Serigy Caju 500ml</t>
  </si>
  <si>
    <t>Palmito de Açaí Lapap Picado 270g</t>
  </si>
  <si>
    <t xml:space="preserve">Macarrão Instantâneo Renata Conjunto Com 4 Unidades de 85g </t>
  </si>
  <si>
    <t>Vinho Espanhol Pata Negra Oro Tempranillo 750ml</t>
  </si>
  <si>
    <t>Arroz Patéko Tipo 1 - 5Kg</t>
  </si>
  <si>
    <t xml:space="preserve">Molho de Tomate Fugini Tradicional Sachê 340g </t>
  </si>
  <si>
    <t xml:space="preserve">Papel Higiênico Neve Neutro F/D 30m Leve 16 Pague 15 </t>
  </si>
  <si>
    <t>Farinha de Trigo Venturelli 1Kg</t>
  </si>
  <si>
    <t>Palmito de Açaí Lapap Inteiro 180g</t>
  </si>
  <si>
    <t>Panettone Di Lucca Frutas/Chocolate 400g</t>
  </si>
  <si>
    <t xml:space="preserve">Batata McCain Smiles 500g </t>
  </si>
  <si>
    <t>Hambúrguer Bovino Frimesa c/12 - 672g</t>
  </si>
  <si>
    <t>Isotônico Gatorade Sabores 500ml</t>
  </si>
  <si>
    <t xml:space="preserve">Bebida Láctea Chocoleco Tp 200ml </t>
  </si>
  <si>
    <t>Vinho Chileno Travessia Cabernet Sauvignon/Carmenere 750ml</t>
  </si>
  <si>
    <t>Sabonete Leite de Aveia Davene 90g</t>
  </si>
  <si>
    <t>Óleo de Milho Liza Pet 900ml (Embalagem com 10% de Desconto)</t>
  </si>
  <si>
    <t>Café Melitta Tradicional/Extra Forte Caixa 500g</t>
  </si>
  <si>
    <t xml:space="preserve">Margarina Vigor Cremosa Com Sal/Sem Sal 500g </t>
  </si>
  <si>
    <t>Linguiça Toscana Frimesa - Kg</t>
  </si>
  <si>
    <t>Espumante Espuma de Prata Branca/Rose 660ml</t>
  </si>
  <si>
    <t>Fraldas Baby Roger Hiper (P/80 - M/70 - G/60 - XG/50 - XXG/40)</t>
  </si>
  <si>
    <t xml:space="preserve">Refrigerante 15 Sabores 2L </t>
  </si>
  <si>
    <t>Lava Roupas em Pó Urca Maxx Sachê 3Kg</t>
  </si>
  <si>
    <t>Ração para Cães Qualidy Carne e Frango 10,1Kg</t>
  </si>
  <si>
    <t>Sardinha Coqueiro Óleo/Molho de Tomate 125g</t>
  </si>
  <si>
    <t>Farinha de Trigo Renata 1Kg</t>
  </si>
  <si>
    <t>Vinho Frisante Donnatella Branco/Tinto Suave 660ml</t>
  </si>
  <si>
    <t xml:space="preserve">Salsicha Hot Dog Seara - Kg </t>
  </si>
  <si>
    <t>Vinho Chileno Reservado Concha Y Toro 750ml</t>
  </si>
  <si>
    <t>Palmito de Açaí Gentleman Inteiro Vidro 180g</t>
  </si>
  <si>
    <t>Creme Dental Sensodyne Original 90g</t>
  </si>
  <si>
    <t>Ração para Cães Qualidy Adultos 1Kg e Filhotes 900g</t>
  </si>
  <si>
    <t>Lasanha Seara Tipos 600g</t>
  </si>
  <si>
    <t>Amaciante Mon Bijou Pureza Leve 2L Pague 1,8L</t>
  </si>
  <si>
    <t>Cápsula de Café 3 Corações Cartucho com 10 unidades</t>
  </si>
  <si>
    <t xml:space="preserve">Queijo Parmesão Ralado Vigor 50g </t>
  </si>
  <si>
    <t>Creme de Leite Piracanjuba Tp 200g</t>
  </si>
  <si>
    <t>Atum Coqueiro Pedaço Óleo 170g</t>
  </si>
  <si>
    <t>Atum Coqueiro Sólido Óleo/Natural 170g</t>
  </si>
  <si>
    <t>Água de Coco Do Vale 1L</t>
  </si>
  <si>
    <t>Pêssego em Calda Olé Lata 450g</t>
  </si>
  <si>
    <t>Cappuccino 3 Corações Tradicional/Chocolate 200g</t>
  </si>
  <si>
    <t>Papel Higiênico Sublime Neutro F/S 30m Leve 12 Pague 11</t>
  </si>
  <si>
    <t>Desinfetante Sanol 2L</t>
  </si>
  <si>
    <t>Macarrão Semolado Orsi Ave Maria/Espaguete/Padre Nosso/Parafuso 500g</t>
  </si>
  <si>
    <t>Nescafé Dolce Gusto Sabores Com 16 Cápsulas</t>
  </si>
  <si>
    <t>Desinfetante Urca 2L</t>
  </si>
  <si>
    <t>Absorvente Intimus Gel Suave/Seca Com Abas Leve 9 Pague 8</t>
  </si>
  <si>
    <t>Cód Barras</t>
  </si>
  <si>
    <t>Creme Vegetal Becel Original Com Sal/Sem Sal 500g</t>
  </si>
  <si>
    <t>Cloro Granulado Genco 3 em 1 - 10Kg</t>
  </si>
  <si>
    <t xml:space="preserve">Fraldas Turma da Mônica Mega Pacotão (P/60 - M/54 - G/48 - EG/42)  </t>
  </si>
  <si>
    <t>Lava Roupas Líquido Ariel 3L</t>
  </si>
  <si>
    <t>Vinho Chileno Casillero Del Diablo 750ml</t>
  </si>
  <si>
    <t>Vinho Italiano Lambrusco Villa Giada Branco/Tinto 750ml</t>
  </si>
  <si>
    <t>Espumante Salton Moscatel 750ml</t>
  </si>
  <si>
    <t>Ketchup Hemmer Tradicional 1Kg/Mostarda Hemmer Tradicional 1Kg</t>
  </si>
  <si>
    <t>Sorvete Nestlé Tradicional 1,5L</t>
  </si>
  <si>
    <t>Vodka Orloff Tradicional 1L</t>
  </si>
  <si>
    <t>Pão de Forma Pullman Tradicional 500g</t>
  </si>
  <si>
    <t>Inseticida Mat Inset Multi Inseticida 360ml Grátis 33%</t>
  </si>
  <si>
    <t>Biscoito Marilan Laminado Doce/Água e Sal/Cream Cracker 400g</t>
  </si>
  <si>
    <t>Refresco em Pó Camp Sabores 15g</t>
  </si>
  <si>
    <t>Álcool Coperalcool 46º INPM Tradicional 1L</t>
  </si>
  <si>
    <t>Amaciante Concentrado Downy Brisa de Verão/Frescor da Primaveira/Lírios do Campo 500ml</t>
  </si>
  <si>
    <t>Kit Cereal Alcafoods Choco Boll 200g + Corn Sugar 300g c/Tigela</t>
  </si>
  <si>
    <t>Bebida Mista de Frutas Vigor Vig Sabores Tp 200ml</t>
  </si>
  <si>
    <t>Desinfetante Lysoform Original/Suave Odor 1L</t>
  </si>
  <si>
    <t>Batata Palha Tradicional/Extra Fina Fugini 120g</t>
  </si>
  <si>
    <t>Inseticida Aerosol Baygon Ação Total 360ml</t>
  </si>
  <si>
    <t>Arroz Integral Tio João Tipo 1 - 1Kg</t>
  </si>
  <si>
    <t>Pipoca para Micro-ondas Zilio Sabores 100g</t>
  </si>
  <si>
    <t>Linguiça Toscana Sadia - Kg</t>
  </si>
  <si>
    <t>Inseticida Mat Inset Mata Baratas 360ml Grátis 33%</t>
  </si>
  <si>
    <t>Água Sanitária Sanol 2L</t>
  </si>
  <si>
    <t xml:space="preserve">Leite Uht Nestlé Ninho Tradicional Tp 1L </t>
  </si>
  <si>
    <t>Macarrão Renata Integral 500g</t>
  </si>
  <si>
    <t>03 Unidades</t>
  </si>
  <si>
    <t>Óleo de Girassol Liza Pet 900ml (Embalagem com 10% de Desconto)</t>
  </si>
  <si>
    <t>Milho para Pipoca Premium Zilio 500g</t>
  </si>
  <si>
    <t>Feijão Carioca Felgran Nobre 2Kg</t>
  </si>
  <si>
    <t>Adoçante Líquido Magro 100ml</t>
  </si>
  <si>
    <t>Palmito Açaí Lapap Picado 270g</t>
  </si>
  <si>
    <t>Requeijão Nestlé Tradicional/Light Copo 200g</t>
  </si>
  <si>
    <t>Amendoim Dori Japonês 500g</t>
  </si>
  <si>
    <t>Café Pelé Extra Forte/Tradicional Vácuo 500g</t>
  </si>
  <si>
    <t>Cerveja Petra Puro Malte Long Neck 355ml</t>
  </si>
  <si>
    <t xml:space="preserve">Vodka Absolut Tradicional 1L </t>
  </si>
  <si>
    <t>Sorvete Jundiá Sabores 2L</t>
  </si>
  <si>
    <t>Energético Monster 473ml</t>
  </si>
  <si>
    <t>Cerveja Antarctica Sub Zero Lata 350ml</t>
  </si>
  <si>
    <t>Biscoito Wafer Marilan 115g</t>
  </si>
  <si>
    <t>Bala Arcor Butter Toffees Sabores 100g</t>
  </si>
  <si>
    <t xml:space="preserve">Óleo de Soja Liza Pet 900ml  </t>
  </si>
  <si>
    <t>Bombom Lacta Sonho de Valsa/Ouro Branco 1Kg</t>
  </si>
  <si>
    <t>Achocolatado em Pó 3 Corações Sachê 700g</t>
  </si>
  <si>
    <t>Presunto Sadia Fatiado cada 100g</t>
  </si>
  <si>
    <t xml:space="preserve">Salsicha Hot Dog Perdigão - Kg </t>
  </si>
  <si>
    <t>Cerveja Eisenbahn Pilsen Long Neck 355ml</t>
  </si>
  <si>
    <t>Farofa Tradicional Pronta Yoki 500g</t>
  </si>
  <si>
    <t>Ração Purina Kanina Adulto Carnes e Cereais 15Kg</t>
  </si>
  <si>
    <t>Papel Higiênico Neve Neutro F/D 30m c/4</t>
  </si>
  <si>
    <t xml:space="preserve">Ração Friskies 1Kg </t>
  </si>
  <si>
    <t>Café Made In Brazil Almofada 500g</t>
  </si>
  <si>
    <t>Kit Phytoervas Shampoo 250ml/Condicionador 250ml</t>
  </si>
  <si>
    <t>Café 3 Corações Extra Forte/Tradicional Vácuo/Pouch 500g</t>
  </si>
  <si>
    <t>Maionese Hemmer Receita Caseira Pote 500g</t>
  </si>
  <si>
    <t xml:space="preserve">Azeitona Verde Hemmer Fatiada Sachê 150g/Recheada Sachê 140g/Sem Caroço Sachê 140g </t>
  </si>
  <si>
    <t>Creme de Leite Itambé Lata 300g</t>
  </si>
  <si>
    <t>Óleo de Coco Natural Life 300ml</t>
  </si>
  <si>
    <t>Açúcar Cristal União 5Kg</t>
  </si>
  <si>
    <t>Linguiça Calabresa Perdigão - Kg</t>
  </si>
  <si>
    <t>Fraldas Turma da Mônica Jumbinho (P/28 - M/24 - G/20 - EG/16 - XXG/14)</t>
  </si>
  <si>
    <t>Maionese Fugini com Bico Dosador 200g</t>
  </si>
  <si>
    <t>Pão de Forma Pullman Artesano Tradicional 500g</t>
  </si>
  <si>
    <t>Filé de Peito de Frango Sadia Congelado Bandeja 1Kg</t>
  </si>
  <si>
    <t>;</t>
  </si>
  <si>
    <t>Cadastrado</t>
  </si>
  <si>
    <t>Fonte</t>
  </si>
  <si>
    <t>Vigência</t>
  </si>
  <si>
    <t>Descrição no Tabloide</t>
  </si>
  <si>
    <t>Descrição Solidus</t>
  </si>
  <si>
    <t>Concatenado</t>
  </si>
  <si>
    <t>Quantidade</t>
  </si>
  <si>
    <t>Unidade</t>
  </si>
  <si>
    <t>ACUCAR REF ALTO ALEGRE 1KG</t>
  </si>
  <si>
    <t>ACUCAR CRISTALCUCAR UNIAO 5KG</t>
  </si>
  <si>
    <t>BOMBOM SONHO DE VALSA 1KG</t>
  </si>
  <si>
    <t>BOMBOM OURO BRANCO 1KG</t>
  </si>
  <si>
    <t>Kg</t>
  </si>
  <si>
    <t>Unidades</t>
  </si>
  <si>
    <t>Long Neck</t>
  </si>
  <si>
    <t>Fardo C/06</t>
  </si>
  <si>
    <t>Lata</t>
  </si>
  <si>
    <t>Fardo c/12</t>
  </si>
  <si>
    <t>PAPEL HIG FD NEVE NEUTRO 30M L16P15</t>
  </si>
  <si>
    <t>AZEITONA VERDE HEMMER RECH SACHE 140g</t>
  </si>
  <si>
    <t>AZEITONA VERDE HEMMER S CAROCO SACHE 140g</t>
  </si>
  <si>
    <t>AZEITONA VERDE HEMMER FATIADA SACHE 150g</t>
  </si>
  <si>
    <t>BISC AGUA E SAL MARILAN 400G</t>
  </si>
  <si>
    <t>BISC CREAM CRACKER MARILAN 400G</t>
  </si>
  <si>
    <t>BISC LAMINADO MARILAN COCO 400G</t>
  </si>
  <si>
    <t>BISC LAMINADO MARILAN LEITE 400G</t>
  </si>
  <si>
    <t>BISC LAMINADO MARILAN MAIZENA 400G</t>
  </si>
  <si>
    <t>BISC LAMINADO MARILAN MANTEIGA 400G</t>
  </si>
  <si>
    <t>BISC LAMINADO MARILAN MARIA 400G</t>
  </si>
  <si>
    <t>FLD TDM JUMBINHO EG C16</t>
  </si>
  <si>
    <t>CAPSULA 3C CAFE C LEITE 9G C10</t>
  </si>
  <si>
    <t>CAPSULA 3C CAFE COADO CLASSICO 7 5G C10</t>
  </si>
  <si>
    <t>CAPSULA 3C CAFE COADO GOURMET 7 5G C10</t>
  </si>
  <si>
    <t>CAPSULA 3C CAPPUCCINO CLASSIC 11G C10</t>
  </si>
  <si>
    <t>CAPSULA 3C CAPPUCCINO DOCE LEITE 11G C10</t>
  </si>
  <si>
    <t>CAPSULA 3C CHA CAMOMILA 2 5G C10</t>
  </si>
  <si>
    <t>CAPSULA 3C CHA CAPIM CIDREIRA 2 5G C10</t>
  </si>
  <si>
    <t>CAPSULA 3C CHA ERVA DOCE 2 5G C10</t>
  </si>
  <si>
    <t>CAPSULA 3C CHA HORTELA 2 5G C10</t>
  </si>
  <si>
    <t>CAPSULA 3C CHAI LATTE 10 5G C10</t>
  </si>
  <si>
    <t>CAPSULA 3C CHOC CARAMELLO 10 5G C10</t>
  </si>
  <si>
    <t>CAPSULA 3C CHOCOLATTO 11G C10</t>
  </si>
  <si>
    <t>CAPSULA 3C ESPRESSO AMENO 8G C10</t>
  </si>
  <si>
    <t>CAPSULA 3C ESPRESSO ATENTO 8G C10</t>
  </si>
  <si>
    <t>CAPSULA 3C ESPRESSO CERRADO 8G C10</t>
  </si>
  <si>
    <t>CAPSULA 3C ESPRESSO DESCAF 8G C10</t>
  </si>
  <si>
    <t>CAPSULA 3C ESPRESSO PLENO 8G C10</t>
  </si>
  <si>
    <t>CAPSULA 3C ESPRESSO SUPREMO 8G C10</t>
  </si>
  <si>
    <t>CAPSULA 3C ESPRESSO VIBRANTE 8G C10</t>
  </si>
  <si>
    <t>Fardo C/ 12</t>
  </si>
  <si>
    <t>Feijão Carioca Série Ouro Picinin 2Kg</t>
  </si>
  <si>
    <t>FEIJAO PICININ SERIE OURO 2KG</t>
  </si>
  <si>
    <t>ACHOC CHOCOLATTO 3C RFL 700G</t>
  </si>
  <si>
    <t>ISOTONICO GATORADE  FR CITRICAS 500ML</t>
  </si>
  <si>
    <t>ISOTONICO GATORADE LARANJA 500ML</t>
  </si>
  <si>
    <t>ISOTONICO GATORADE LIMAO 500ML</t>
  </si>
  <si>
    <t>ISOTONICO GATORADE MARACUJA 500ML</t>
  </si>
  <si>
    <t xml:space="preserve">ISOTONICO GATORADE MORANGO MARACUJA 500ML </t>
  </si>
  <si>
    <t>ISOTONICO GATORADE TANGERINA 500ML</t>
  </si>
  <si>
    <t>ISOTONICO GATORADE UVA 500ML</t>
  </si>
  <si>
    <t>ISOTONICO GATORADE G90 LARANJA</t>
  </si>
  <si>
    <t>ISOTONICO GATORADE G90 LIMAO</t>
  </si>
  <si>
    <t>INSET MAT INSET MULTI INSETICIDA 360ML GTS 33</t>
  </si>
  <si>
    <t>LAMP OUROLUX SUPERLED BLISTER 9W BIV 6500K</t>
  </si>
  <si>
    <t>CAFE PELE EXT FORTE VACUO 500G</t>
  </si>
  <si>
    <t>CAFE PELE TRAD VACUO 500G</t>
  </si>
  <si>
    <t>REF COCA COLA ZERO 350ML</t>
  </si>
  <si>
    <t>REF COCA COLA 350ML</t>
  </si>
  <si>
    <t>Fardo C/12</t>
  </si>
  <si>
    <t>Fardo C/6</t>
  </si>
  <si>
    <t>FLD PAMPERS CONFORT SEC PCTAO G C20</t>
  </si>
  <si>
    <t>FLD PAMPERS CONFORT SEC PCTAO M C24</t>
  </si>
  <si>
    <t>FLD PAMPERS CONFORT SEC PCTAO P C28</t>
  </si>
  <si>
    <t>FLD PAMPERS CONFORT SEC PCTAO XG C18</t>
  </si>
  <si>
    <t>FLD PAMPERS CONFORT SEC PCTAO XXG C16</t>
  </si>
  <si>
    <t>AMAC CONC DOWNY LIRIO 500ML</t>
  </si>
  <si>
    <t>AMAC CONC DOWNY FRESCOR 500ML</t>
  </si>
  <si>
    <t>AMAC CONC DOWNY BRISA 500ML</t>
  </si>
  <si>
    <t>INSET AERO BAYGON A TOTAL 360ML</t>
  </si>
  <si>
    <t>INSET AERO BAYGON A TOTAL EUCALIPTO 360ML</t>
  </si>
  <si>
    <t>KETCHUP HEMMER TRAD 1KG</t>
  </si>
  <si>
    <t>MOSTARDA AMARELA HEMMER 1KG</t>
  </si>
  <si>
    <t>CR VEGETAL BECEL ORIG C SAL 500G</t>
  </si>
  <si>
    <t>CR VEGETAL BECEL ORIG S SAL 500G</t>
  </si>
  <si>
    <t>CD SENSODYNE 90G</t>
  </si>
  <si>
    <t>FLD BABY ROGER HIPER G C60</t>
  </si>
  <si>
    <t>FLD BABY ROGER HIPER M C70</t>
  </si>
  <si>
    <t>FLD BABY ROGER HIPER P C80</t>
  </si>
  <si>
    <t>FLD BABY ROGER HIPER XG C50</t>
  </si>
  <si>
    <t>FLD BABY ROGER HIPER XXG C40</t>
  </si>
  <si>
    <t>PIPOCA MICRO ZILIO BACON 100g</t>
  </si>
  <si>
    <t>PIPOCA MICRO ZILIO MANTEIGA 100G</t>
  </si>
  <si>
    <t>PIPOCA MICRO ZILIO MANTEIGA CINEMA100G</t>
  </si>
  <si>
    <t>PIPOCA MICRO ZILIO NATURAL 100G</t>
  </si>
  <si>
    <t>PIPOCA MICRO ZILIO QUEIJO 100G</t>
  </si>
  <si>
    <t>ATUM COQUEIRO RAL OLEO 170G</t>
  </si>
  <si>
    <t>ATUM COQUEIRO RAL AO NAT 170G</t>
  </si>
  <si>
    <t>PAO DE ALHO SANTA MASSA PICANTE 400G</t>
  </si>
  <si>
    <t>PAO DE ALHO SANTA MASSA 400G</t>
  </si>
  <si>
    <t>Fardo  C/12</t>
  </si>
  <si>
    <t>VH CHI TRAVESSIA CARMENERE 750ML</t>
  </si>
  <si>
    <t>VH CHI TRAVESSIA CAB SAUVIGNON 750ML</t>
  </si>
  <si>
    <t>VODKA ORLOFF TRADICIONAL 1L</t>
  </si>
  <si>
    <t>Fardo C/18</t>
  </si>
  <si>
    <t>OLEO DE SOJA LIZA PET 900ML</t>
  </si>
  <si>
    <t>MOLHO TOM TRADICIONAL FUGINI 340G</t>
  </si>
  <si>
    <t>LEITE COND FRIMESA TP 395G</t>
  </si>
  <si>
    <t>PAO DE FORMA PULLMAN ARTESANO TRAD 500G</t>
  </si>
  <si>
    <t>FILE PEITO FRANGO SADIA CONG BJ 1KG</t>
  </si>
  <si>
    <t>MAIONESE TRAD FUGINI SCH 200G</t>
  </si>
  <si>
    <t>LEITE UHT ZLACTOSE NOLAC INTEGRAL TP 1L</t>
  </si>
  <si>
    <t>AZEITE EXT VIRGEM COCINERO 500ML</t>
  </si>
  <si>
    <t>PAO DE FORMA PULLMAN TRAD 500G</t>
  </si>
  <si>
    <t>CD ORAL B 70G 123</t>
  </si>
  <si>
    <t>LAMP OUROLUX SUPERLED BLISTER 12W BIV 6500K</t>
  </si>
  <si>
    <t>VASSOURA NOVICA BETTANIN ORIGINAL REF BT167215</t>
  </si>
  <si>
    <t>Cerveja Skol Puro Malte Lata 350ml</t>
  </si>
  <si>
    <t>Farofa Tradicional Pronta Yoki 250g</t>
  </si>
  <si>
    <t>Azeite Nova Oliva Extra Virgem 500ml (Acidez Máxima 0,2%)</t>
  </si>
  <si>
    <t>SORV KIBON CREMOSISSIMO CHICABON 1 5L</t>
  </si>
  <si>
    <t>SORV KIBON CREMOSISSIMO CREME 1 5L</t>
  </si>
  <si>
    <t>SORV KIBON CREMOSISSIMO FLOCOS 1 5L</t>
  </si>
  <si>
    <t>SORV KIBON CREMOSISSIMO NAPOLITANO 1 5L</t>
  </si>
  <si>
    <t>SORV KIBON CREMOSISSIMO PASSAS AO RUM 1 5L</t>
  </si>
  <si>
    <t>SORV KIBON CREMOSISSIMO TENTACAO 1 5L</t>
  </si>
  <si>
    <t>REQUEIJAO NESTLE LIGHT 200G</t>
  </si>
  <si>
    <t>REQUEIJAO CREM NESTLE TRAD 200G</t>
  </si>
  <si>
    <t>MARGARINA DORIANA C SAL 500G</t>
  </si>
  <si>
    <t>MARGARINA DORIANA S SAL 500G</t>
  </si>
  <si>
    <t>LEITE COND PIRACANJUBA TP 395G</t>
  </si>
  <si>
    <t>PAPEL HIG FD NEVE NEUTRO 30M C4</t>
  </si>
  <si>
    <t>FARINHA TRIGO RENATA 1KG</t>
  </si>
  <si>
    <t>ABS ALWAYS S P SECA C ABAS C32</t>
  </si>
  <si>
    <t>ABS ALWAYS S P SUAVE C ABAS C32</t>
  </si>
  <si>
    <t>PALMITO ACAI LAPAP PICADO 270G</t>
  </si>
  <si>
    <t>CR LEITE PIRACANJUBA TP 200G</t>
  </si>
  <si>
    <t>CHOC BARRA ARCOR AMENDOIM 80G</t>
  </si>
  <si>
    <t>CHOC BARRA ARCOR AO LEITE 80G</t>
  </si>
  <si>
    <t>CHOC BARRA ARCOR BRANCO COOKIES 80G</t>
  </si>
  <si>
    <t>CHOC BARRA ARCOR BRIGADEIRO 80G</t>
  </si>
  <si>
    <t>CHOC BARRA ARCOR CHOC BRANCO 80G</t>
  </si>
  <si>
    <t>CHOC BARRA ARCOR MEIO AMARGO 80G</t>
  </si>
  <si>
    <t>CHOC BARRA ARCOR ROCKLETS 80G</t>
  </si>
  <si>
    <t>Fardo c/6</t>
  </si>
  <si>
    <t>Cerveja Itaipava Malzbier Long Neck 355ml Fardo c/6</t>
  </si>
  <si>
    <t>ARROZ INT TIO JOAO 1KG</t>
  </si>
  <si>
    <t>AMAC MON BIJOU PUREZA L2 P1,8L</t>
  </si>
  <si>
    <t>Cerveja Stella Artois Long Neck 275ml Fardo c/6</t>
  </si>
  <si>
    <t>ARROZ RAMAGEM 5KG</t>
  </si>
  <si>
    <t>FRALDA BABY ROGER HIPER G 60UNID</t>
  </si>
  <si>
    <t>FRALDA BABY ROGER HIPER M 70UNID</t>
  </si>
  <si>
    <t>FRALDA BABY ROGER HIPER P 80UNID</t>
  </si>
  <si>
    <t>FRALDA BABY ROGER HIPER XG 50UNID</t>
  </si>
  <si>
    <t>FRALDA BABY ROGER HIPER XXG 40UNID</t>
  </si>
  <si>
    <t>MAC SEMOLADO GALO AVE MARIA 500G</t>
  </si>
  <si>
    <t>MAC SEMOLADO GALO ESPAGUETE 8 500G</t>
  </si>
  <si>
    <t>MAC SEMOLADO GALO PADRE NOSSO 500G</t>
  </si>
  <si>
    <t>MAC SEMOLADO GALO PARAFUSO 500G</t>
  </si>
  <si>
    <t>MAC SEMOLADO GALO PENA 500G</t>
  </si>
  <si>
    <t>FAROFA MAND YOKI TEMP PRONTA 250G</t>
  </si>
  <si>
    <t>AZEITE EXT VIRGEM NOVA OLIVA 500ML</t>
  </si>
  <si>
    <t>Z  FLD BABY ROGER MEGA P C96</t>
  </si>
  <si>
    <t xml:space="preserve">Açúcar Refinado União 1Kg </t>
  </si>
  <si>
    <t>Macarrão Instantâneo Renata Conjunto Com 4 Unidades de 85g</t>
  </si>
  <si>
    <t>ACUCAR REF UNIAO 1KG</t>
  </si>
  <si>
    <t>AMAC MON BIJOU PUREZA 2L</t>
  </si>
  <si>
    <t>MAC INST RENATA CONJUNTO C4 85G</t>
  </si>
  <si>
    <t>ABS INTIMUS GEL SECA C AB L9P8</t>
  </si>
  <si>
    <t>ABS INTIMUS GEL SUAVE C AB L9P8</t>
  </si>
  <si>
    <t>Linguiça Fininha Defumada Seara 215g</t>
  </si>
  <si>
    <t>Linguiça Calabresa Seara - Kg</t>
  </si>
  <si>
    <t>Lava Roupas em Pó Assim Triplação CT 900g</t>
  </si>
  <si>
    <t xml:space="preserve">LING CALABRESA SEARA </t>
  </si>
  <si>
    <t>Fardo c/06</t>
  </si>
  <si>
    <t>KIT PHYTOERVAS SH COND REVITAL BRILHO</t>
  </si>
  <si>
    <t>KIT PHYTOERVAS SH COND RESTAURACAO</t>
  </si>
  <si>
    <t>KIT PHYTOERVAS SH COND HIDRAT INTENSA</t>
  </si>
  <si>
    <t>KIT PHYTOERVAS SH COND CONTROLE OLEOSIDADE</t>
  </si>
  <si>
    <t>KIT PHYTOERVAS SH COND ANTIQUEDA</t>
  </si>
  <si>
    <t>L ROUPAS PO ASSIM TRIPLACAO CT 900G</t>
  </si>
  <si>
    <t>L ROUPAS PO ASSIM TRIPLACAO FLORAL CT 900G</t>
  </si>
  <si>
    <t>MAC ORSI SEMOLADO PARAFUSO 500G</t>
  </si>
  <si>
    <t>MAC ORSI SEMOLADO PADRE NOSSO 500G</t>
  </si>
  <si>
    <t>MAC ORSI SEMOLADO ESPAGUETE 8 500G</t>
  </si>
  <si>
    <t>MAC ORSI SEMOLADO AVE MARIA 500G</t>
  </si>
  <si>
    <t>ARROZ TIO JOAO 5KG</t>
  </si>
  <si>
    <t>PALMITO ACAI LAPAP INTEIRO 300G</t>
  </si>
  <si>
    <t>LING DEF SEARA FININHA 215G</t>
  </si>
  <si>
    <t>MOLHO TOM PREDILECTA REFOGADO SCH 340G</t>
  </si>
  <si>
    <t>OLEO DE GIRASSOL LIZA C 10PCT DESC 900ML</t>
  </si>
  <si>
    <t>L ROUPAS LIQ ARIEL CLASSICO 3L</t>
  </si>
  <si>
    <t>OVO PASCOA  ARCOR DINOSSAUROS CANECA 100G</t>
  </si>
  <si>
    <t>LEITE UHT NINHO INTEGRAL TP 1L</t>
  </si>
  <si>
    <t>Fardos</t>
  </si>
  <si>
    <t xml:space="preserve">Absorvente Intimus Gel Seca/Suave Com Abas Com 32 Unidades </t>
  </si>
  <si>
    <t>Roupa Íntima Descartável Plenitud Protect Plus (P-M/8 - G-XG/8)</t>
  </si>
  <si>
    <t>Vinho Chileno Santa Carolina Reservado 750ml</t>
  </si>
  <si>
    <t>ABS INTIMUS GEL TPL SUAVE C ABAS C32</t>
  </si>
  <si>
    <t>ABS INTIMUS GEL TPL SECA C ABAS C32</t>
  </si>
  <si>
    <t>ROUPA INT PLENITUD PROT PLUS G XG C8</t>
  </si>
  <si>
    <t>ROUPA INT PLENITUD PROT PLUS P M C8</t>
  </si>
  <si>
    <t>OLEO DE MILHO LIZA C 10PCT DESC 900ML</t>
  </si>
  <si>
    <t>LEITE UHT ZLACTOSE SEMI PIRACANJUBA TP 1L</t>
  </si>
  <si>
    <t>VH CHI S CAROLINA RES CABERNET SAU 750ML</t>
  </si>
  <si>
    <t>VH CHI S CAROLINA RES CARMENERE 750ML</t>
  </si>
  <si>
    <t>VH CHI S CAROLINA RES MERLOT 750ML</t>
  </si>
  <si>
    <t>VH CHI S CAROLINA RES SAUVIG BLANC 750ML</t>
  </si>
  <si>
    <t>VH ITA VILLA GIADA LAMB BRANCO 750ML</t>
  </si>
  <si>
    <t>VH ITA VILLA GIADA LAMB TINTO 750ML</t>
  </si>
  <si>
    <t>Açúcar Cristal Santa Isabel 5Kg</t>
  </si>
  <si>
    <t>FARINHA TRIGO VENTURELLI 1KG</t>
  </si>
  <si>
    <t>PAPEL HIG FT NEVE SUPREME 20M C4</t>
  </si>
  <si>
    <t>PALMITO ACAI LAPAP INTEIRO 180G</t>
  </si>
  <si>
    <t>DESINF LYSOFORM BRUTO 1L</t>
  </si>
  <si>
    <t>DESINF LYSOFORM BRUTO SUAVE 1L</t>
  </si>
  <si>
    <t>VASSOURA CAP PLASTIC PHENIX ST MARIA REF956</t>
  </si>
  <si>
    <t>SAL REF NORSAL 1KG</t>
  </si>
  <si>
    <t>ACUCAR CRISTAL SANTA ISABEL 5KG</t>
  </si>
  <si>
    <t>FLD TDM MEGA EG C42</t>
  </si>
  <si>
    <t>FLD TDM MEGA G C48</t>
  </si>
  <si>
    <t>FLD TDM MEGA M C54</t>
  </si>
  <si>
    <t>FLD TDM MEGA P C60</t>
  </si>
  <si>
    <t>PAPEL HIG FD ELITE 30M L12P11</t>
  </si>
  <si>
    <t>CAFE MADE IN BRAZIL ALMOFADA 500G</t>
  </si>
  <si>
    <t>Batata Palha Yoki Extra Fina Leve 120g Pague 90g</t>
  </si>
  <si>
    <t>Presunto Seara Fatiado cada 100g</t>
  </si>
  <si>
    <t>PRESUNTO COZ MAGRO SEARA KG</t>
  </si>
  <si>
    <t>SALSICHA REZENDE KG</t>
  </si>
  <si>
    <t>LING TOSCANA FRIMESA KG</t>
  </si>
  <si>
    <t>FARINHA TRIGO GLOBO 1KG</t>
  </si>
  <si>
    <t>Sal Refinado Norsal 1Kg</t>
  </si>
  <si>
    <t>BATATA PALHA E FINA YOKI LV 120G PG 90G</t>
  </si>
  <si>
    <t>MILHO PIPOCA ZILIO PREMIUM 500G</t>
  </si>
  <si>
    <t>BEB LAC LECO CHOC 200ML</t>
  </si>
  <si>
    <t>SUCO GOES UVA INT NATURAL 1L</t>
  </si>
  <si>
    <t xml:space="preserve">Fralda Geriátrica Cotidian M/G/XG - c/8 </t>
  </si>
  <si>
    <t>Óleo de Girassol Vitaliv Pet 900ml</t>
  </si>
  <si>
    <t>Big Chicken Tradicional/Queijo Perdigão Pacote 1Kg</t>
  </si>
  <si>
    <t>Lava Roupas em Pó Assim Triplação Sachê 1,9Kg</t>
  </si>
  <si>
    <t>MAC INST RENATA CAR TOMATE 85G</t>
  </si>
  <si>
    <t>MAC INST RENATA CARNE 85G</t>
  </si>
  <si>
    <t>MAC INST RENATA DESC CAR SUAVE 85G</t>
  </si>
  <si>
    <t>MAC INST RENATA DESC GALINHA SUAVE 85G</t>
  </si>
  <si>
    <t>MAC INST RENATA G CAIPIRA 85G</t>
  </si>
  <si>
    <t>MAC INST RENATA GALINHA 85G</t>
  </si>
  <si>
    <t>MAC INST RENATA LEGUMES 85G</t>
  </si>
  <si>
    <t>ATUM PESCADOR SOL OLEO 170G</t>
  </si>
  <si>
    <t>ATUM PESCADOR SOL NATURAL 170G</t>
  </si>
  <si>
    <t>OLEO DE  GIRASSOL VITALIV 900ML</t>
  </si>
  <si>
    <t>FLD GERIATRICA COTIDIAN M</t>
  </si>
  <si>
    <t>FLD GERIATRICA COTIDIAN G</t>
  </si>
  <si>
    <t>FLD GERIATRICA COTIDIAN XG</t>
  </si>
  <si>
    <t>PAPEL HIG FS SUBLIME NEUTRO 30M L12P11</t>
  </si>
  <si>
    <t>TOALHA DE PAPEL KITCHEN 120F C2</t>
  </si>
  <si>
    <t>ARROZ MEU BIJU TP1 5KG</t>
  </si>
  <si>
    <t>EMPANADO BIG CHICKEN QUEIJO 1KG</t>
  </si>
  <si>
    <t>EMPANADO BIG CHICKEN TRAD 1KG</t>
  </si>
  <si>
    <t>L ROUPAS PO ASSIM TRIPLACAO FLORAL BAG 1 9KG</t>
  </si>
  <si>
    <t>L ROUPAS PO ASSIM TRIPLACAO BAG 1 9KG</t>
  </si>
  <si>
    <t>OLEO DE SOJA VILA VELHA PET 900ML</t>
  </si>
  <si>
    <t>FRANGO INT CONG DO SITIO</t>
  </si>
  <si>
    <t>CR LEITE FRIMESA 200G</t>
  </si>
  <si>
    <t>Z MAC INST RENATA CARNE 85G</t>
  </si>
  <si>
    <t>MAC INST RENATA CREM FRANGO 88G</t>
  </si>
  <si>
    <t>MAC INST RENATA CREM PICANHA 88G</t>
  </si>
  <si>
    <t>MAC INST RENATA CREM PIZZA 88G</t>
  </si>
  <si>
    <t>MAC INST RENATA DESC FEIJAO 88G</t>
  </si>
  <si>
    <t>MAC INST RENATA FEIJAO BACON 96G</t>
  </si>
  <si>
    <t>MAC INST RENATA CREM 4 QUEIJOS 88G</t>
  </si>
  <si>
    <t>Milho Verde Fugini ao Vapor Lata 170g</t>
  </si>
  <si>
    <t>Lâmpada Ourolux Superled 4W 6500K Bivolt</t>
  </si>
  <si>
    <t xml:space="preserve">Bacon Manta Seara Pedaço - Kg </t>
  </si>
  <si>
    <t>Cerveja Glacial Lata 350ml</t>
  </si>
  <si>
    <t>BACON MANTA SEARA</t>
  </si>
  <si>
    <t>FLD TDM JUMBINHO G C20</t>
  </si>
  <si>
    <t>FLD TDM JUMBINHO M C24</t>
  </si>
  <si>
    <t>FLD TDM JUMBINHO P C28</t>
  </si>
  <si>
    <t>FLD TDM JUMBINHO XXG C14</t>
  </si>
  <si>
    <t>MILHO VERDE VAPOR FUGINI LT 170G</t>
  </si>
  <si>
    <t>ACHOC NESCAU 2 0 SCH 800G</t>
  </si>
  <si>
    <t>LAMP OUROLUX SUPERLED BLISTER 4W BIV 6500K</t>
  </si>
  <si>
    <t>VH PORT QUINTA BONS VENTOS TINTO 750ML</t>
  </si>
  <si>
    <t>Lâmpada Ourolux 3U 15W 127V</t>
  </si>
  <si>
    <t>LAMP OUROLUX 3U 15W 127V</t>
  </si>
  <si>
    <t>Achocolatado em Pó Nescau 2.0 Sachê 800g</t>
  </si>
  <si>
    <t>Ervilha Fugini ao Vapor Lata 170g</t>
  </si>
  <si>
    <t xml:space="preserve">Milho Verde Predilecta Lata 170g </t>
  </si>
  <si>
    <t xml:space="preserve">Ração Dog Chow 1Kg </t>
  </si>
  <si>
    <t>Presunto Perdigão Fatiado cada 100g</t>
  </si>
  <si>
    <t>ERVILHA VAPOR FUGINI LT 170G</t>
  </si>
  <si>
    <t>MILHO VERDE PREDILECTA LT 170G</t>
  </si>
  <si>
    <t>CAFE MELITTA TRAD VACUO 500G</t>
  </si>
  <si>
    <t>CAFE MELITTA EXT FORTE VACUO 500G</t>
  </si>
  <si>
    <t>RACAO DOG CHOW AD EXTRA LIFE 7 ANOS 1KG</t>
  </si>
  <si>
    <t>RACAO DOG CHOW AD EXTRA LIFE LIGHT 1KG</t>
  </si>
  <si>
    <t>RACAO DOG CHOW AD EXTRA LIFE RACAS M E G 1KG</t>
  </si>
  <si>
    <t>RACAO DOG CHOW AD EXTRA LIFE RACAS PEQUENAS 1KG</t>
  </si>
  <si>
    <t>RACAO DOG CHOW FILH EXTRA LIFE RACAS M E G 1KG</t>
  </si>
  <si>
    <t>RACAO DOG CHOW FILH EXTRA LIFE RC PEQUENAS 1KG</t>
  </si>
  <si>
    <t>PRESUNTO MAGRO PERDIGAO KG</t>
  </si>
  <si>
    <t>CAFE 3C EXT FORTE POUCH 500G</t>
  </si>
  <si>
    <t>CAFE 3C TRAD VACUO 500G</t>
  </si>
  <si>
    <t>CAFE 3C EXT FORTE VACUO 500G</t>
  </si>
  <si>
    <t>MARGARINA QUALY S SAL 500G</t>
  </si>
  <si>
    <t>MARGARINA QUALY C SAL 500G</t>
  </si>
  <si>
    <t>Margarina Qualy Tradicional Com Sal/Sem Sal 500g</t>
  </si>
  <si>
    <t>CAFE 3C TRAD POUNCH 500G</t>
  </si>
  <si>
    <t>Achocolatado em Pó Gold 210g</t>
  </si>
  <si>
    <t>Mistura para Bolo Globo Sabores 400g (Exceto Chocolate)</t>
  </si>
  <si>
    <t>Loção Hidratante Giovanna Baby 200ml</t>
  </si>
  <si>
    <t>Papel Higiênico Sublime Neutro F/S 30m c/8</t>
  </si>
  <si>
    <t>Toalha de Papel Kitchen Branca C/2</t>
  </si>
  <si>
    <t xml:space="preserve">Macarrão Renata Ovos Espaguete/Parafuso 500g </t>
  </si>
  <si>
    <t>Cerveja Devassa Puro Malte Lata 350ml Fardo c/ 12</t>
  </si>
  <si>
    <t>LOCAO HID GIOVANNA BABY VANILLA 200ML</t>
  </si>
  <si>
    <t>LOCAO HID GIOVANNA BABY LILAC 200ML</t>
  </si>
  <si>
    <t>LOCAO HID GIOVANNA BABY GIBY 200ML</t>
  </si>
  <si>
    <t>LOCAO HID GIOVANNA BABY CLASSIC 200ML</t>
  </si>
  <si>
    <t>LOCAO HID GIOVANNA BABY CHERRY 200ML</t>
  </si>
  <si>
    <t>LOCAO HID GIOVANNA BABY BLUEBERRY 200ML</t>
  </si>
  <si>
    <t>LOCAO HID GIOVANNA BABY BLUE 200ML</t>
  </si>
  <si>
    <t>MIST BOLO GLOBO LARANJA 400G</t>
  </si>
  <si>
    <t>MIST BOLO GLOBO FESTA 400G</t>
  </si>
  <si>
    <t>MIST BOLO GLOBO COCO 400G</t>
  </si>
  <si>
    <t>MIST BOLO GLOBO CHURROS 400G</t>
  </si>
  <si>
    <t>MIST BOLO GLOBO CENOURA 400G</t>
  </si>
  <si>
    <t>MIST BOLO GLOBO BAUNILHA 400G</t>
  </si>
  <si>
    <t>ACHOC DIET GOLD 210G</t>
  </si>
  <si>
    <t>PAPEL HIG FS SUBLIME NEUTRO 30M C8</t>
  </si>
  <si>
    <t>SARDINHA COQUEIRO OLEO 125G</t>
  </si>
  <si>
    <t>SARDINHA COQUEIRO TOMATE 125G</t>
  </si>
  <si>
    <t>Palmito de Açaí Lapap Tolete Inteiro 300g</t>
  </si>
  <si>
    <t>MAC OVOS RENATA PARAFUSO 500G</t>
  </si>
  <si>
    <t>MAC OVOS RENATA PARAFUSINHO 500G</t>
  </si>
  <si>
    <t>MAC OVOS RENATA ESPAGUETINHO 9 500G</t>
  </si>
  <si>
    <t>MAC OVOS RENATA ESPAGUETE 8 500G</t>
  </si>
  <si>
    <t>Z LOCAO HID G BABY PEACH 200ML</t>
  </si>
  <si>
    <t>Z LOCAO HID G BABY FANTASY 200ML</t>
  </si>
  <si>
    <t>Doce de Leite Frimesa Tradicional/Sabores 400g</t>
  </si>
  <si>
    <t>Atum Pescador Ralado Óleo/Natural Lata 170g</t>
  </si>
  <si>
    <t>Milho para Pipoca Premium Yoki 500g</t>
  </si>
  <si>
    <t>05 Kg</t>
  </si>
  <si>
    <t>Lâmpada Ourolux Superled 12W 6500K Bivolt</t>
  </si>
  <si>
    <t>Farinha de Trigo Arapongas 1Kg</t>
  </si>
  <si>
    <t xml:space="preserve">Bombom Especialidades Nestlé Caixa 251g </t>
  </si>
  <si>
    <t>BOMBOM ESPECIALIDADES NESTLE 251G</t>
  </si>
  <si>
    <t>VH CHI CASILLERO DIABLO SYRAH ROSE SAFRA 2016 750M</t>
  </si>
  <si>
    <t>VH CHI CAS DEL DIABLO SHIRAZ 750ML</t>
  </si>
  <si>
    <t>VH CHI CAS DEL DIABLO S BLANC 750ML</t>
  </si>
  <si>
    <t>VH CHI CAS DEL DIABLO RES CAB SAUV 750ML C1 TACA</t>
  </si>
  <si>
    <t>VH CHI CAS DEL DIABLO MERLOT 750ML</t>
  </si>
  <si>
    <t>VH CHI CAS DEL DIABLO MALBEC 750ML</t>
  </si>
  <si>
    <t>VH CHI CAS DEL DIABLO CHARDONNAY 750ML</t>
  </si>
  <si>
    <t>VH CHI CAS DEL DIABLO CARMENERE 750ML</t>
  </si>
  <si>
    <t>VH CHI CAS DEL DIABLO CAB SAUVIGNON 750ML</t>
  </si>
  <si>
    <t>DOCE DE LEITE FRIMESA C AMEIXA 400G</t>
  </si>
  <si>
    <t>DOCE DE LEITE FRIMESA C BRIGADEIRO 400G</t>
  </si>
  <si>
    <t>DOCE DE LEITE FRIMESA C CHOCOLATE 400G</t>
  </si>
  <si>
    <t>DOCE DE LEITE FRIMESA C COCO 400G</t>
  </si>
  <si>
    <t>DOCE DE LEITE FRIMESA TRAD 400G</t>
  </si>
  <si>
    <t>ATUM PESCADOR RAL NAT 170G</t>
  </si>
  <si>
    <t>ATUM PESCADOR RAL OLEO 170G</t>
  </si>
  <si>
    <t>SUCO DE UVA INT SALTON 1 5L</t>
  </si>
  <si>
    <t>MILHO PIPOCA PREMIUM YOKI 500G</t>
  </si>
  <si>
    <t>SUCO CONC SERIGY CAJU 500ML</t>
  </si>
  <si>
    <t>SARDINHA PESCADOR OLEO 125G</t>
  </si>
  <si>
    <t>SARDINHA PESCADOR M TOM 125G</t>
  </si>
  <si>
    <t>DESINF SANOL EUCALIPTO 2L</t>
  </si>
  <si>
    <t>DESINF SANOL CITRONELA 2L</t>
  </si>
  <si>
    <t>DESINF SANOL FLORAL 2L</t>
  </si>
  <si>
    <t>DESINF SANOL HERBAL 2L</t>
  </si>
  <si>
    <t>DESINF SANOL INTENSO 2L</t>
  </si>
  <si>
    <t>DESINF SANOL LAVANDA 2L</t>
  </si>
  <si>
    <t>DESINF SANOL OCEAN 2L</t>
  </si>
  <si>
    <t>DESINF SANOL ORIGINAL 2L</t>
  </si>
  <si>
    <t>DESINF SANOL TALCO 2L</t>
  </si>
  <si>
    <t>FARINHA TRIGO ESP ARAPONGAS 1KG</t>
  </si>
  <si>
    <t>DESINF SANOL CEREJ E VANILLA 2L</t>
  </si>
  <si>
    <t>DESINF SANOL FLORES E FRUTAS 2L</t>
  </si>
  <si>
    <t>Batata Mister Potato Sabores 130g</t>
  </si>
  <si>
    <t>Linguiça Calabresa Frimesa - Kg</t>
  </si>
  <si>
    <t>Água Sanitária Sanol 1L</t>
  </si>
  <si>
    <t>Chocolate Nestlé KitKat ao Leite/Branco/Dark 41,5g</t>
  </si>
  <si>
    <t>SAB AVEIA DAVENE AMENDOAS 90G</t>
  </si>
  <si>
    <t>SAB AVEIA DAVENE CLASSICO 90G</t>
  </si>
  <si>
    <t>SAB AVEIA DAVENE HIPOALERGENICO 90G</t>
  </si>
  <si>
    <t>SAB AVEIA DAVENE MEL PURO 90G</t>
  </si>
  <si>
    <t>SAB AVEIA DAVENE OL DE COCO 90G</t>
  </si>
  <si>
    <t>BATATA MR POTATO CHURRASCO 130G</t>
  </si>
  <si>
    <t>BATATA MR POTATO CREME LEITE E CEBOLA 130G</t>
  </si>
  <si>
    <t>BATATA MR POTATO HOT SPICY 130G</t>
  </si>
  <si>
    <t>BATATA MR POTATO ORIGINAL 130G</t>
  </si>
  <si>
    <t>BATATA MR POTATO PIZZA 130G</t>
  </si>
  <si>
    <t>BATATA MR POTATO QUEIJO 130G</t>
  </si>
  <si>
    <t>CHOC KIT KAT NESTLE BRANCO 41 5G</t>
  </si>
  <si>
    <t>CHOC KIT KAT NESTLE DARK 41 5G</t>
  </si>
  <si>
    <t>CHOC KIT KAT NESTLE 41 5G</t>
  </si>
  <si>
    <t>LING CALABRESA FRIMESA KG</t>
  </si>
  <si>
    <t>VH BRA FRIS DONNATELLA BRANCO DS 660ML</t>
  </si>
  <si>
    <t>VH BRA FRIS DONNATELLA T SUAVE 660ML</t>
  </si>
  <si>
    <t>VH BRA FRIS DONNATELLA B SUAVE 660ML</t>
  </si>
  <si>
    <t>AGUA SANITARIA SANOL 1L</t>
  </si>
  <si>
    <t xml:space="preserve">Papel Higiênico Mirafiori F/D 4x30m </t>
  </si>
  <si>
    <t>Lava Roupas Clorox Oxi Magic 1,5L</t>
  </si>
  <si>
    <t xml:space="preserve">Leite Uht Nestlé Ninho Tradicional/Ninho Levinho/Molico Desnatado Tp 1L </t>
  </si>
  <si>
    <t>Lava Roupas em Pó Assim Triplação Sachê 1,8Kg</t>
  </si>
  <si>
    <t>ARROZ PATEKO 5KG</t>
  </si>
  <si>
    <t>LEITE UHT NINHO LEVINHO TP 1L</t>
  </si>
  <si>
    <t>LEITE UHT MOLICO DESNATADO TP 1L</t>
  </si>
  <si>
    <t>VH CHI CYT RESERVADO CAB SAUVIGNON 750ML</t>
  </si>
  <si>
    <t>VH CHI CYT RESERVADO CARMENERE 750ML</t>
  </si>
  <si>
    <t>VH CHI CYT RESERVADO MALBEC 750ML</t>
  </si>
  <si>
    <t>VH CHI CYT RESERVADO MERLOT 750ML</t>
  </si>
  <si>
    <t>VH CHI CYT RESERVADO S BLANC 750ML</t>
  </si>
  <si>
    <t>VH CHI CYT RESERVADO SWEET RED 750ML</t>
  </si>
  <si>
    <t>L ROUPAS PO ASSIM TRIPLACAO BAG 1 8KG</t>
  </si>
  <si>
    <t>PAPEL HIG FD MIRAFIORI 30M C4</t>
  </si>
  <si>
    <t>FAROFA TEMP ZILIO TRADICIONAL 400G</t>
  </si>
  <si>
    <t>VODKA ABSOLUT TRADICIONAL 1L</t>
  </si>
  <si>
    <t>L ROUPAS LIQ CLOROX 1 5 L</t>
  </si>
  <si>
    <t>Wafer Amandita Recheado de Creme com Cacau Lacta 200g</t>
  </si>
  <si>
    <t>Feijoada Bordon Lata 830g</t>
  </si>
  <si>
    <t>Hambúrguer Seara Texas Burger 672g</t>
  </si>
  <si>
    <t>L ROUPAS PO ASSIM TRIPLACAO FLORAL BAG 1 8KG</t>
  </si>
  <si>
    <t>HAMB TEXAS BURGUER 672G</t>
  </si>
  <si>
    <t>AMANDITA RECH CREME CACAU LACTA 200G</t>
  </si>
  <si>
    <t>PIPOCA MICRO YOKI BACON 100G</t>
  </si>
  <si>
    <t>PIPOCA MICRO YOKI C SAL 100G</t>
  </si>
  <si>
    <t>PIPOCA MICRO YOKI CALABRESA ACEB 100G</t>
  </si>
  <si>
    <t>PIPOCA MICRO YOKI MANTEIGA 100G</t>
  </si>
  <si>
    <t>PIPOCA MICRO YOKI MANTEIGA CINEMA 100G</t>
  </si>
  <si>
    <t>PIPOCA MICRO YOKI MOSTARDA 100G</t>
  </si>
  <si>
    <t>PIPOCA MICRO YOKI NATURAL 100G</t>
  </si>
  <si>
    <t>PIPOCA MICRO YOKI TOQUE CHEF 100G</t>
  </si>
  <si>
    <t>FEIJOADA BORDON 830G</t>
  </si>
  <si>
    <t>VH ESP PATA NEGRA ORO TEMPRAN 750ML</t>
  </si>
  <si>
    <t>RACAO QUALIDY CAES AD CARNE FD 1KG</t>
  </si>
  <si>
    <t>RACAO QUALIDY CAES FILH FD 900G</t>
  </si>
  <si>
    <t>ATUM COQUEIRO SOL OLEO 170G</t>
  </si>
  <si>
    <t>Z  ATUM COQUEIRO SOL AO NAT 170G</t>
  </si>
  <si>
    <t>ATUM COQUEIRO SOL AO NAT 170G</t>
  </si>
  <si>
    <t>REF 15 COLA 2L</t>
  </si>
  <si>
    <t>REF 15 COLA ZERO 2L</t>
  </si>
  <si>
    <t>REF 15 GUARANA 2L</t>
  </si>
  <si>
    <t>REF 15 GUARANA ZERO 2L</t>
  </si>
  <si>
    <t>REF 15 LARANJA 2L</t>
  </si>
  <si>
    <t>REF 15 MACA 2L</t>
  </si>
  <si>
    <t>REF 15 SODA LIMONADA 2L</t>
  </si>
  <si>
    <t>REF 15 SODA LIMONADA ZERO 2L</t>
  </si>
  <si>
    <t>REF 15 UVA 2L</t>
  </si>
  <si>
    <t>RACAO QUALIDY CAES AD PQ PORTE CARNE FD 1KG</t>
  </si>
  <si>
    <t>Toalha Umedecida Huggies Baby Wipes C/48</t>
  </si>
  <si>
    <t>Vinho Brasileiro Salton Classic 750ml</t>
  </si>
  <si>
    <t>Maionese Vigor Pote 500g</t>
  </si>
  <si>
    <t xml:space="preserve">Fraldas Turma da Mônica Jumbinho (P/24 - M/18 - G/18 - XG/14 - XXG/12) </t>
  </si>
  <si>
    <t>Kit Inoar Shampoo 500ml + Condicionador 250ml</t>
  </si>
  <si>
    <t>Amaciante de Roupas Plush 2L</t>
  </si>
  <si>
    <t>FLD TDM JUMBINHO G C18</t>
  </si>
  <si>
    <t>FLD TDM JUMBINHO M C18</t>
  </si>
  <si>
    <t>FLD TDM JUMBINHO P C24</t>
  </si>
  <si>
    <t>FLD TDM JUMBINHO XG C14</t>
  </si>
  <si>
    <t>FLD TDM JUMBINHO XXG C12</t>
  </si>
  <si>
    <t>KIT INOAR ACQUA AGUA MICELAR SH 500ML COND 250ML</t>
  </si>
  <si>
    <t>KIT INOAR ARGAN CACHOS PERF SH 500ML COND 250ML</t>
  </si>
  <si>
    <t>KIT INOAR ARGAN CONTROLE QUEDA SH 500ML COND 250ML</t>
  </si>
  <si>
    <t>KIT INOAR ARGAN HID SH 500ML COND 250ML</t>
  </si>
  <si>
    <t>KIT INOAR ARGAN LISO SEDOSO SH 500ML COND 250ML</t>
  </si>
  <si>
    <t>KIT INOAR ARGAN PROT ANTICASPA SH 500ML COND 250ML</t>
  </si>
  <si>
    <t>KIT INOAR ARGAN RECONST SH 500ML COND 250ML</t>
  </si>
  <si>
    <t>KIT INOAR CICATRIFIOS SH500ML COND 250ML</t>
  </si>
  <si>
    <t>AMAC PLUSH 2L CELEBRATE BRANCO</t>
  </si>
  <si>
    <t>AMAC PLUSH 2L ELEGANCE ROSA</t>
  </si>
  <si>
    <t>AMAC PLUSH 2L EXOTIC VERDE</t>
  </si>
  <si>
    <t>AMAC PLUSH 2L GLAMOUR VERMELHO</t>
  </si>
  <si>
    <t>AMAC PLUSH 2L LUXURY AZUL</t>
  </si>
  <si>
    <t>AMAC PLUSH 2L SENSUALITY ROXO</t>
  </si>
  <si>
    <t>LENCO UMED HUGGIES B WIPES  C48</t>
  </si>
  <si>
    <t>MAIONESE VIGOR TRAD 500G</t>
  </si>
  <si>
    <t>VH BRA SALTON CLASSIC CAB FRANC 750ML</t>
  </si>
  <si>
    <t>VH BRA SALTON CLASSIC CAB SAUVIGNON 750ML</t>
  </si>
  <si>
    <t>VH BRA SALTON CLASSIC MERLOT 750ML</t>
  </si>
  <si>
    <t>VH BRA SALTON CLASSIC TANNAT 750ML</t>
  </si>
  <si>
    <t>VH BRA SALTON CLASSIC TRIVARIETAL SECO 750ML</t>
  </si>
  <si>
    <t>VH BRA SALTON CLASSIC TRIVARIETAL T SECO 750ML</t>
  </si>
  <si>
    <t>VH ARG SALTON CLASSIC TRIVARIETAL SUAVE 750ML</t>
  </si>
  <si>
    <t>Suco de Uva Pérgola Integral Natural 1L</t>
  </si>
  <si>
    <t>Sabonete Farnese 180g</t>
  </si>
  <si>
    <t>Vinho Pérgola Seleção 750ml</t>
  </si>
  <si>
    <t>L ROUPAS PO OMO LAV PERFEITA 800G</t>
  </si>
  <si>
    <t>L ROUPAS PO OMO LAV PERFEITA 800G GRATIS 100</t>
  </si>
  <si>
    <t>SUCO DE UVA INT PERGOLA TINTO 1L</t>
  </si>
  <si>
    <t>SUCO DE UVA INT PERGOLA BRANCO 1L</t>
  </si>
  <si>
    <t>SAB FARNESE 180G AVEIA</t>
  </si>
  <si>
    <t>SAB FARNESE 180G ERVA DOCE</t>
  </si>
  <si>
    <t>SAB FARNESE 180G FLORAL</t>
  </si>
  <si>
    <t>SAB FARNESE 180G FR VERMELHAS</t>
  </si>
  <si>
    <t>SAB FARNESE 180G PURO HIDRATANTE</t>
  </si>
  <si>
    <t>LASANHA FORNO DE MINAS BOLONHESA 600G</t>
  </si>
  <si>
    <t xml:space="preserve">LASANHA FORNO DE MINAS 4 QUEIJOS 600G </t>
  </si>
  <si>
    <t>VH BRA PERGOLA SELECAO B SECO 750ML</t>
  </si>
  <si>
    <t>VH BRA PERGOLA SELECAO B SUAVE 750ML</t>
  </si>
  <si>
    <t>VH BRA PERGOLA SELECAO T SECO 750ML</t>
  </si>
  <si>
    <t>VH BRA PERGOLA SELECAO T SUAVE 750ML</t>
  </si>
  <si>
    <t>RACAO QUALIDY CAES CARNE FRANGO 1KG</t>
  </si>
  <si>
    <t>CHOCOLATE ARCOR 80G AO LEITE</t>
  </si>
  <si>
    <t>CHOCOLATE ARCOR 80G COOKIES CREAM</t>
  </si>
  <si>
    <t>CHOCOLATE ARCOR 80G BRIGADEIRO</t>
  </si>
  <si>
    <t>CHOCOLATE ARCOR 80G AMENDOIM</t>
  </si>
  <si>
    <t>CHOCOLATE ARCOR 80G ROCKLETS</t>
  </si>
  <si>
    <t>CHOCOLATE ARCOR 80G MEIO AMARGO</t>
  </si>
  <si>
    <t>CHOCOLATE ARCOR 80G CHOC BRANCO</t>
  </si>
  <si>
    <t xml:space="preserve">Macarrão Instantâneo Renata Sabores 85g/88g </t>
  </si>
  <si>
    <t>Bombom Lacta Favoritos 250,6g</t>
  </si>
  <si>
    <t>Gel Higienizador de Mãos Coperalcool 400g</t>
  </si>
  <si>
    <t>Arroz Italiano Arbório Picinin 1Kg</t>
  </si>
  <si>
    <t>Sabonete Farnese 90g</t>
  </si>
  <si>
    <t>Sobremesa Danette Danone 180g</t>
  </si>
  <si>
    <t>Mop Flash Limp Giratório Fit</t>
  </si>
  <si>
    <t>MOP FLASH LIMP GIRATORIO FIT</t>
  </si>
  <si>
    <t>DEO AERO REXONA M ACTIVE 90G</t>
  </si>
  <si>
    <t>DEO AERO REXONA M ANTIB 90G</t>
  </si>
  <si>
    <t>DEO AERO REXONA M ANTIB FRESH 90G</t>
  </si>
  <si>
    <t>DEO AERO REXONA M ANTIB INV 90G</t>
  </si>
  <si>
    <t>DEO AERO REXONA M IMPACTO 90G</t>
  </si>
  <si>
    <t>DEO AERO REXONA M INVISIBLE 90G</t>
  </si>
  <si>
    <t>DEO AERO REXONA M SEM PERF 90G</t>
  </si>
  <si>
    <t>DEO AERO REXONA M TORC FAN 90G</t>
  </si>
  <si>
    <t>DEO AERO REXONA M UNITED 90G</t>
  </si>
  <si>
    <t>DEO AERO REXONA M V8 90G</t>
  </si>
  <si>
    <t>DEO AERO REXONA M XTRACOOL 90G</t>
  </si>
  <si>
    <t>DEO AERO REXONA W ACT EMOT 90G</t>
  </si>
  <si>
    <t>DEO AERO REXONA W ANTIB FRESH 90G</t>
  </si>
  <si>
    <t>DEO AERO REXONA W ANTIB INV 90G</t>
  </si>
  <si>
    <t>DEO AERO REXONA W ANTIBAC 90G</t>
  </si>
  <si>
    <t>DEO AERO REXONA W BAMBOO 90G</t>
  </si>
  <si>
    <t>DEO AERO REXONA W COTTON 90G</t>
  </si>
  <si>
    <t>DEO AERO REXONA W ERVA DOCE 90G</t>
  </si>
  <si>
    <t>DEO AERO REXONA W FL LICHIA 90G</t>
  </si>
  <si>
    <t>DEO AERO REXONA W INVISIBLE 90G</t>
  </si>
  <si>
    <t>DEO AERO REXONA W POWER DRY 90G</t>
  </si>
  <si>
    <t>DEO AERO REXONA W SEM PERF 90G</t>
  </si>
  <si>
    <t>DEO AERO REXONA W VERBENA 90G</t>
  </si>
  <si>
    <t>DEO AERO REXONA F ANITA VAI MALANDRA 90G</t>
  </si>
  <si>
    <t>DEO AERO REXONA F ANITA BANG 90G</t>
  </si>
  <si>
    <t>DEO AERO REXONA F COTTON DRY 90G</t>
  </si>
  <si>
    <t xml:space="preserve">DEO AERO REXONA F ANTIBACTERIAL </t>
  </si>
  <si>
    <t>SOBREMESA DANETTE CHOC AO LEITE BJ C2 90G</t>
  </si>
  <si>
    <t>GEL HIG MAOS COPERALCOOL 70 400G</t>
  </si>
  <si>
    <t>BOMBOM LACTA FAVORITOS 250 6G</t>
  </si>
  <si>
    <t>SAB FARNESE 90G FL TROPICAIS</t>
  </si>
  <si>
    <t>SAB FARNESE 90G FR VERMELHAS</t>
  </si>
  <si>
    <t>SAB FARNESE 90G ERVA DOCE</t>
  </si>
  <si>
    <t>SAB FARNESE 90G FLOR DE CEREJA</t>
  </si>
  <si>
    <t>SAB FARNESE 90G LIMAO SICILIANO</t>
  </si>
  <si>
    <t>SAB FARNESE 90G ROT LEITE</t>
  </si>
  <si>
    <t>ARROZ ARBORIO PICININ 1KG</t>
  </si>
  <si>
    <t>CAPPUCCINO 3C CLASSIC 200G</t>
  </si>
  <si>
    <t>CAPPUCCINO 3C CHOC 200G</t>
  </si>
  <si>
    <t>DEO REXONA F 90G ANITTA SHOW PODEROSAS</t>
  </si>
  <si>
    <t>DEO REXONA F 90G FR VERM</t>
  </si>
  <si>
    <t>Chá Mate Real 250g</t>
  </si>
  <si>
    <t>Amaciante de Roupas Urca 5L</t>
  </si>
  <si>
    <t>BATATA PALHA FUGINI EXTRA FINA 120G</t>
  </si>
  <si>
    <t>BATATA PALHA FUGINI 120G</t>
  </si>
  <si>
    <t>CHA MATE REAL 250G</t>
  </si>
  <si>
    <t>RACAO QUALIDY CAES CARNE FRANGO 10 1KG</t>
  </si>
  <si>
    <t>AMAC URCA BRISA DA PRIMAVERA 5L</t>
  </si>
  <si>
    <t>CHUVEIRO LORENZETTI BELLA DUCHA 4T 127V 5500W</t>
  </si>
  <si>
    <t xml:space="preserve">DEO DOVE 89G BEAUTY FINISH </t>
  </si>
  <si>
    <t>DEO DOVE 89G DERMOACLARANT</t>
  </si>
  <si>
    <t>DEO DOVE 89 GO FRESH PEPINO E CHÁ VERDE</t>
  </si>
  <si>
    <t>DEO DOVE 89G GO FRESH ROMÃ E VERBENA</t>
  </si>
  <si>
    <t>DEO DOVE 89G INVISIBLE DRY</t>
  </si>
  <si>
    <t>DEO DOVE 89G ORIGINAL</t>
  </si>
  <si>
    <t>DEO DOVE 89G POWDER SOFT</t>
  </si>
  <si>
    <t>DEO DOVE MEN 89G EXTRA FRESH</t>
  </si>
  <si>
    <t>DEO DOVE MEN 89G CUIDADO TOTAL</t>
  </si>
  <si>
    <t>DEO DOVE MEN 89G MINERAIS + SALVIA</t>
  </si>
  <si>
    <t>DEO DOVE MEN 89G TALCO MINERAL + SÂNDALO</t>
  </si>
  <si>
    <t>DEO DOVE MEN 89G ANTIBAC</t>
  </si>
  <si>
    <t>DEO DOVE MEN 89G INVISIBLE DRY</t>
  </si>
  <si>
    <t>DEO DOVE MEN 89G SEM PERFUME</t>
  </si>
  <si>
    <t>ACHOCOLATADO EM PÓ TODDY 400G</t>
  </si>
  <si>
    <t>Desodorante Antitranspirante Dove Sensitive Aerosol</t>
  </si>
  <si>
    <t>Chocolate Lacta Sabores Tablete 90g</t>
  </si>
  <si>
    <t>Filtro de Papel Descartável Brigitta 103 - c/30</t>
  </si>
  <si>
    <t>Amaciante de Roupas Urca 2L</t>
  </si>
  <si>
    <t>Shampoo Seda 325ml</t>
  </si>
  <si>
    <t>Condicionador Seda 325ml</t>
  </si>
  <si>
    <t>Lava Roupas em Pó Omo Lavagem Perfeita 800g</t>
  </si>
  <si>
    <t>CHOC LACTA  AMARO 90G</t>
  </si>
  <si>
    <t>CHOC LACTA  DIAMANTE NEGRO LAKA 90G</t>
  </si>
  <si>
    <t>CHOC LACTA  LAKA OREO 90G</t>
  </si>
  <si>
    <t>CHOC LACTA DIAMANTE NEGRO 90G</t>
  </si>
  <si>
    <t>CHOC LACTA LAKA 90G</t>
  </si>
  <si>
    <t>CHOC LACTA SHOT 90G</t>
  </si>
  <si>
    <t>SH SEDA BABOSA E OLEOS 325ML</t>
  </si>
  <si>
    <t>SH SEDA BOMBA ARGAN 325ML</t>
  </si>
  <si>
    <t>SH SEDA BOMBA NUTRICAO 325ML</t>
  </si>
  <si>
    <t>SH SEDA BRILHO E MOVIMENTO 325ML</t>
  </si>
  <si>
    <t>SH SEDA CACHOS DEFINIDOS 325ML</t>
  </si>
  <si>
    <t>SH SEDA CRESCIMENTO SAUDAVEL 325ML</t>
  </si>
  <si>
    <t>SH SEDA FORCA ANTI QUEBRA 325ML</t>
  </si>
  <si>
    <t>SH SEDA HIDRATACAO ANTI NOS 325ML</t>
  </si>
  <si>
    <t>SH SEDA HIDRATACAO DIARIA 325ML</t>
  </si>
  <si>
    <t>SH SEDA HIDRATACAO E LEVEZA 325ML</t>
  </si>
  <si>
    <t>SH SEDA KERAFORCE ORIGINAL 325ML</t>
  </si>
  <si>
    <t>SH SEDA LISO EXTREMO 325ML</t>
  </si>
  <si>
    <t>SH SEDA LISO PERFEITO 325ML</t>
  </si>
  <si>
    <t>SH SEDA OLEO CONTROL 325ML</t>
  </si>
  <si>
    <t>SH SEDA OLEO HIDRATACAO 325ML</t>
  </si>
  <si>
    <t>SH SEDA POS ALISAMENTO QUIMICO 325ML</t>
  </si>
  <si>
    <t>SH SEDA PRETO LUMINOSO 325ML</t>
  </si>
  <si>
    <t>SH SEDA PUREZA REFRESCANTE 325ML</t>
  </si>
  <si>
    <t>SH SEDA SOS CERAMIDAS 325ML</t>
  </si>
  <si>
    <t>SH SEDA SOS RESTAURACAO INSTANT 325ML</t>
  </si>
  <si>
    <t>SHAMPOO SEDA BOOM LIBERADO 325ML</t>
  </si>
  <si>
    <t>COND SEDA BABOSA E OLEOS 325ML</t>
  </si>
  <si>
    <t>COND SEDA BOMBA ARGAN 325ML</t>
  </si>
  <si>
    <t>COND SEDA BOMBA NUTRICAO 325ML</t>
  </si>
  <si>
    <t>COND SEDA BOOM LIBERADO 325ML</t>
  </si>
  <si>
    <t>COND SEDA BRILHO E MOVIMENTO 325ML</t>
  </si>
  <si>
    <t>COND SEDA CACHOS DEFINIDOS 325ML</t>
  </si>
  <si>
    <t>COND SEDA CRESCIMENTO SAUDAVEL 325ML</t>
  </si>
  <si>
    <t>COND SEDA HIDRATACAO ANTI NOS 325ML</t>
  </si>
  <si>
    <t>COND SEDA HIDRATACAO E LEVEZA 325ML</t>
  </si>
  <si>
    <t>COND SEDA KERAFORCE ORIG 325ML</t>
  </si>
  <si>
    <t>COND SEDA LISO EXTREMO 325ML</t>
  </si>
  <si>
    <t>COND SEDA LISO PERFEITO 325ML</t>
  </si>
  <si>
    <t>COND SEDA MEL ANTIQUEBRA 325ML</t>
  </si>
  <si>
    <t>COND SEDA OLEO HIDRATACAO 325ML</t>
  </si>
  <si>
    <t>COND SEDA POS ALISAMENTO QUIMICO 325ML</t>
  </si>
  <si>
    <t>COND SEDA PRETO LUMINOSO 325ML</t>
  </si>
  <si>
    <t>COND SEDA PUREZA REFRESCANTE 325ML</t>
  </si>
  <si>
    <t>COND SEDA SOS CERAMIDAS 325ML</t>
  </si>
  <si>
    <t>COND SEDA SOS QUEDA 325ML</t>
  </si>
  <si>
    <t>COND SEDA SOS RESTAURACAO INSTANT 325ML</t>
  </si>
  <si>
    <t>CAFE CABOCLO TRAD VACUO 500G</t>
  </si>
  <si>
    <t>VH BRA GOES TRADICAO T SUAVE 750ML</t>
  </si>
  <si>
    <t>MARGARINA 80 VIGOR C SAL 500G</t>
  </si>
  <si>
    <t>LAMP OUROLUX SUPERLED BLISTER 6W BIV 6500K</t>
  </si>
  <si>
    <t>AMAC URCA BRISA DA PRIMAVERA 2L</t>
  </si>
  <si>
    <t>AMAC URCA FLORAL BOUQUET 2L</t>
  </si>
  <si>
    <t>AMAC URCA NAT INSPIRACAO 2L</t>
  </si>
  <si>
    <t>AMAC URCA PAIXAO VERMELHO 2L</t>
  </si>
  <si>
    <t>AMAC URCA TERNURA BABY 2L</t>
  </si>
  <si>
    <t>FILTRO DE PAPEL BRIGITTA 103 C30</t>
  </si>
  <si>
    <t>SHAM SEDA 325 ML BIOTINA OLEO RICINO</t>
  </si>
  <si>
    <t>SHAM SEDA 325 ML LIMPEZA MICELAR</t>
  </si>
  <si>
    <t>SH SEDA BOMBA DE COCO</t>
  </si>
  <si>
    <t>COND SEDA HIDRATAÇÃO MICELAR</t>
  </si>
  <si>
    <t>COND SEDA  BIOTINA + ÓLEO DE RÍCINO</t>
  </si>
  <si>
    <t>COND SEDA  BOMBA DE COCO</t>
  </si>
  <si>
    <t>CHOC LACTA AO LEITE 90G</t>
  </si>
  <si>
    <t>CAFE CABOCLO EXT FORTE VACUO 500G</t>
  </si>
  <si>
    <t>Lâmpada Ourolux Superled 6W 6500K Bivolt</t>
  </si>
  <si>
    <t>Milho Verde Fugini Sachê 200g</t>
  </si>
  <si>
    <t>MILHO VERDE FUGINI SACHE 200G</t>
  </si>
  <si>
    <t>Massa Rap 10 Pullman 330g</t>
  </si>
  <si>
    <t>MASSA RAP 10 PULLMAN FIT 330G</t>
  </si>
  <si>
    <t>MASSA RAP 10 PULLMAN INTEGRAL 330G</t>
  </si>
  <si>
    <t>MASSA RAP 10 PULLMAN TRAD 330G</t>
  </si>
  <si>
    <t>Pão de Queijo Forno de Minas Coquetel 400g/Tradicional 400g/Integral Fit 300g/Gourmet 300g/Palito 300g/Assado 240g</t>
  </si>
  <si>
    <t>PAO DE QUEIJO FORNO DE MINAS 400G</t>
  </si>
  <si>
    <t>PAO DE QUEIJO INT FIT FORNO DE MINAS 300G</t>
  </si>
  <si>
    <t>PAO DE QUEIJO GOURMET FORNO DE MINAS 300G</t>
  </si>
  <si>
    <t>PAO DE QUEIJO PALITO FORNO DE MINAS 300G</t>
  </si>
  <si>
    <t>PAO DE QUEIJO ASSADO CONG FORNO DE MINAS 240G</t>
  </si>
  <si>
    <t>05Kg</t>
  </si>
  <si>
    <t xml:space="preserve">Mistura para Bolo Globo Chocolate 400g </t>
  </si>
  <si>
    <t>MIST BOLO GLOBO CHOCOLATE 400G</t>
  </si>
  <si>
    <t>SORV JUNDIA ABACAXI 2L</t>
  </si>
  <si>
    <t>SORV JUNDIA BOMBOM 2L</t>
  </si>
  <si>
    <t>SORV JUNDIA BRIGADEIRO 2L</t>
  </si>
  <si>
    <t>SORV JUNDIA CHOCOLATE 2L</t>
  </si>
  <si>
    <t>SORV JUNDIA CIOCCOLATO 2L</t>
  </si>
  <si>
    <t>SORV JUNDIA COCO BRANCO 2L</t>
  </si>
  <si>
    <t>SORV JUNDIA CREME 2L</t>
  </si>
  <si>
    <t>SORV JUNDIA FLOCOS 2L</t>
  </si>
  <si>
    <t>SORV JUNDIA MILHO VERDE 2L</t>
  </si>
  <si>
    <t>SORV JUNDIA NAPOLITANO 2L</t>
  </si>
  <si>
    <t>CLORO GRANULADO GENCO MULTIACAO 3X1 10KG</t>
  </si>
  <si>
    <t xml:space="preserve">SORV JUNDIA ABACAXI AO VINHO 2L </t>
  </si>
  <si>
    <t>Frango Inteiro Congelado Do Sítio Pacote - Kg</t>
  </si>
  <si>
    <t>VH CONC Y TORO RESERV 750 ML ROSE</t>
  </si>
  <si>
    <t>PAO DE QUEIJO FORNO DE MINAS COQ 400G</t>
  </si>
  <si>
    <t>Leite em Pó Itambé Integral/Instantâneo Sachê 400g</t>
  </si>
  <si>
    <t>Biscoito Tortuguita Recheado Sabores 130g</t>
  </si>
  <si>
    <t>Linguiça Calabresa Sadia - Kg</t>
  </si>
  <si>
    <t xml:space="preserve">NESCAFE D GUSTO CAFE MATINAL 144G </t>
  </si>
  <si>
    <t xml:space="preserve">NESCAFE D GUSTO CAPPUCCINO 200G </t>
  </si>
  <si>
    <t xml:space="preserve">NESCAFE D GUSTO CHOCO CARAMEL 204G </t>
  </si>
  <si>
    <t xml:space="preserve">NESCAFE D GUSTO CHOCOCINO 270G </t>
  </si>
  <si>
    <t xml:space="preserve">NESCAFE D GUSTO ESPRESSO 96G </t>
  </si>
  <si>
    <t xml:space="preserve">NESCAFE D GUSTO ESPRESSO BARISTA 120G </t>
  </si>
  <si>
    <t xml:space="preserve">NESCAFE D GUSTO ESPRESSO INT 128G </t>
  </si>
  <si>
    <t>NESCAFE D GUSTO LATE MACCHIATO 194G</t>
  </si>
  <si>
    <t xml:space="preserve">NESCAFE D GUSTO LUNGO 112G </t>
  </si>
  <si>
    <t xml:space="preserve">NESCAFE D GUSTO NESCAU 272G </t>
  </si>
  <si>
    <t xml:space="preserve">NESCAFE D GUSTO RISTRETO ARDENZA 112G </t>
  </si>
  <si>
    <t xml:space="preserve">NESCAFE D GUSTO RISTRETTO 104G </t>
  </si>
  <si>
    <t xml:space="preserve">CAPS NESCAFE DOLCE GUSTO 16 CP EXPRESSO DESCAF </t>
  </si>
  <si>
    <t xml:space="preserve">CAPS NESCAFE DOLCE GUSTO 16 CP MOCHA </t>
  </si>
  <si>
    <t>LEITE PO INTEGRAL ITAMBE SACHE 400G</t>
  </si>
  <si>
    <t>LEITE PO INT INST ITAMBE VIT SCH 400G</t>
  </si>
  <si>
    <t>BISC TORTUGUITA  RECH CHOCOLATE 130G</t>
  </si>
  <si>
    <t>BISC TORTUGUITA CHOC BAUNILHA 130G</t>
  </si>
  <si>
    <t>BISC TORTUGUITA RECH BRIGADEIRO 130G</t>
  </si>
  <si>
    <t>BISC TORTUGUITA RECH MORANGO 130G</t>
  </si>
  <si>
    <t>LASANHA SEARA 4 QUEIJOS 600G</t>
  </si>
  <si>
    <t>LASANHA SEARA BOLONHESA 600G</t>
  </si>
  <si>
    <t>LASANHA SEARA CALABRESA 600G</t>
  </si>
  <si>
    <t>LASANHA SEARA FRANGO 600G</t>
  </si>
  <si>
    <t>LASANHA SEARA PARISIENSE 600G</t>
  </si>
  <si>
    <t>LASANHA SEARA PRES QUEIJO 600G</t>
  </si>
  <si>
    <t>LING CALABRESA SADIA KG</t>
  </si>
  <si>
    <t>NESCAFE D GUSTO AU LAIT 160G</t>
  </si>
  <si>
    <t xml:space="preserve">NESCAFE D GUSTO MOCHACCINO CANELA 275G </t>
  </si>
  <si>
    <t>RACAO DOG CHOW 1 KG AD BEM ESTAR AD RC PQ</t>
  </si>
  <si>
    <t>RACAO DOG CHOW 1 KG AD BEM ESTAR M E G</t>
  </si>
  <si>
    <t>RACAO DOG CHOW 1 KG ADT RACA MD/ GD</t>
  </si>
  <si>
    <t>RACAO DOG CHOW 1 KG FILHOTES BEM ESTAR RC PQ</t>
  </si>
  <si>
    <t>CAPS NESCAFE DOLCE GUSTO 16 CP CAPPUCCINO</t>
  </si>
  <si>
    <t>Empanado de Frango Nuggets Sadia 300g</t>
  </si>
  <si>
    <t>Hambúrguer Bovino Mr. Beef Picanha c/4 - 480g</t>
  </si>
  <si>
    <t xml:space="preserve">Leite Uht Nestlé Ninho Integral/Molico Desnatado Zero Lactose Tp 1L </t>
  </si>
  <si>
    <t>Filé de Peito de Frango à Parmegiana Sadia 500g</t>
  </si>
  <si>
    <t xml:space="preserve">12 Unidades </t>
  </si>
  <si>
    <t>Vinho Quinta do Jubair Bordô 750ml</t>
  </si>
  <si>
    <t>Tempero Mais Sabor Kitano Sabores 60g</t>
  </si>
  <si>
    <t xml:space="preserve">Lasanha Sadia Tipos 600g </t>
  </si>
  <si>
    <t xml:space="preserve">Leite Uht Nestlé Ninho Integral/Ninho Levinho/Molico Desnatado Tp 1L </t>
  </si>
  <si>
    <t>Feijão Carioca Felgran Nobre 1Kg</t>
  </si>
  <si>
    <t>Biscoito Recheado Passatempo Nestlé Chocolate 130g</t>
  </si>
  <si>
    <t>Bebida Láctea Polpa Paulista Bandeja Sabores c/6 - 540g</t>
  </si>
  <si>
    <t>Requeijão Gran Mestri Tradicional 180g</t>
  </si>
  <si>
    <t>Detergente Líquido Assim 500ml</t>
  </si>
  <si>
    <t>Orientações</t>
  </si>
  <si>
    <t>Vinho Brasileiro Chalise 750ml</t>
  </si>
  <si>
    <t>Chopp de Vinho Grape Cool Góes Tinto Long Neck 269ml</t>
  </si>
  <si>
    <t>Nos itens do aplicativo, se houver cerveja, sempre cadastrar o fardo e a unidade</t>
  </si>
  <si>
    <t>L ROUPAS LIQ ARIEL 1 2L</t>
  </si>
  <si>
    <t>EMPANADO NUGGETS CROCANTE 300G</t>
  </si>
  <si>
    <t>EMPANADO NUGGETS PRES QUEIJO 300G</t>
  </si>
  <si>
    <t>EMPANADO NUGGETS QUEIJO 300G</t>
  </si>
  <si>
    <t>EMPANADO NUGGETS TRAD 300G</t>
  </si>
  <si>
    <t>FEIJAO CARIOCA FELGRAN 1KG</t>
  </si>
  <si>
    <t>BISC RECH PASSATEMPO CHOC 130G</t>
  </si>
  <si>
    <t>BEB LACTEA POLPA PAULISTA COCO MOR BJ C6 90G</t>
  </si>
  <si>
    <t>BEB LACTEA POLPA PAULISTA FEST FRUTAS BJ C6 90G</t>
  </si>
  <si>
    <t>BEB LACTEA POLPA PAULISTA MORANGO BJ C6 90G</t>
  </si>
  <si>
    <t>REQUEIJAO CREM GRAN MESTRI TRAD 180G</t>
  </si>
  <si>
    <t>SAB DOVE BRANCO 90G</t>
  </si>
  <si>
    <t>DET LIQ ASSIM CLEAR 500ML</t>
  </si>
  <si>
    <t>DET LIQ ASSIM COCO 500ML</t>
  </si>
  <si>
    <t>DET LIQ ASSIM NEUTRO 500ML</t>
  </si>
  <si>
    <t>HAMB BOV MISTER BEEF PICANHA 480G</t>
  </si>
  <si>
    <t>VH BRA CHALISE B SECO 750ML</t>
  </si>
  <si>
    <t>VH BRA CHALISE B SUAVE 750ML</t>
  </si>
  <si>
    <t>VH BRA CHALISE T SECO 750ML</t>
  </si>
  <si>
    <t>VH BRA CHALISE T SUAVE 750ML</t>
  </si>
  <si>
    <t>VH BRA CHALISE ROSE 750ML</t>
  </si>
  <si>
    <t>FILE PEITO FRANGO PARMEGIANA SADIA 550G</t>
  </si>
  <si>
    <t>LEITE UHT MOLICO ZLACTOSE DESNATADO TP 1L</t>
  </si>
  <si>
    <t>LEITE UHT NINHO ZLACTOSE INTEGRAL TP 1L</t>
  </si>
  <si>
    <t>VH BRA QUINTA JUBAIR TMESA SUAVE BORDO 750ML</t>
  </si>
  <si>
    <t>GRAPE COOL VINHO TINTO LN 269ML</t>
  </si>
  <si>
    <t>TEMP KITANO M SABOR ARROZ 60G</t>
  </si>
  <si>
    <t>TEMP KITANO M SABOR AVES 60G</t>
  </si>
  <si>
    <t>TEMP KITANO M SABOR CAMARAO 60G</t>
  </si>
  <si>
    <t>TEMP KITANO M SABOR CARNES 60G</t>
  </si>
  <si>
    <t>TEMP KITANO M SABOR FEIJAO 60G</t>
  </si>
  <si>
    <t>TEMP KITANO M SABOR GAUCHO 60G</t>
  </si>
  <si>
    <t>TEMP KITANO M SABOR LEGUMES 60G</t>
  </si>
  <si>
    <t>TEMP KITANO M SABOR MASSAS 60G</t>
  </si>
  <si>
    <t>TEMP KITANO M SABOR NORDESTINO 60G</t>
  </si>
  <si>
    <t>TEMP KITANO M SABOR SALADA 60G</t>
  </si>
  <si>
    <t>LASANHA SADIA 4 QUEIJOS 600G</t>
  </si>
  <si>
    <t>LASANHA SADIA BOLONHESA 600G</t>
  </si>
  <si>
    <t>LASANHA SADIA CALABRESA 600G</t>
  </si>
  <si>
    <t>LASANHA SADIA FRANGO AO SUGO 600G</t>
  </si>
  <si>
    <t>LASANHA SADIA PRES QUEIJO 600G</t>
  </si>
  <si>
    <t>L ROUPAS LIQ ARIEL 1 2L TQ DOWNY</t>
  </si>
  <si>
    <t>LEITE UHT NINHO ZLACTOSE - CAIXA</t>
  </si>
  <si>
    <t>LEITE UHT MOLICO ZLACTOSE DESNATADO - CAIXA</t>
  </si>
  <si>
    <t>VINHO QUINTA JUBAIR 750ML BORDO TTO SC</t>
  </si>
  <si>
    <t>VINHO QUINTA JUBAIR 750ML BORDO DEMI SEC</t>
  </si>
  <si>
    <t>TEMP KITANO M SABOR MINEIRO 60G</t>
  </si>
  <si>
    <t>BEB LACT PAULISTA 540 G FEST FRUTAS</t>
  </si>
  <si>
    <t>BEB LACT PAULISTA 540 G MOR</t>
  </si>
  <si>
    <t>VH BRA SALTON CLASSIC CHARDONNAY 750ML</t>
  </si>
  <si>
    <t>LEITE LV MOLICO 1 L ZERO LACTOSE DESNATADO</t>
  </si>
  <si>
    <t>Iogurte Frimesa Bandeja c/6 - 540g</t>
  </si>
  <si>
    <t xml:space="preserve">06 Unidades </t>
  </si>
  <si>
    <t>Lâmpada Ourolux Superled 9W 6500K Bivolt</t>
  </si>
  <si>
    <t>Chuveiro Lorenzetti Maxi Banho Com Cano 127V/220V 5500W</t>
  </si>
  <si>
    <t>Feijão Preto Picinin 1Kg</t>
  </si>
  <si>
    <t>Molho Passata Di Pomodoro Sacciali Vidro 530g</t>
  </si>
  <si>
    <t>Requeijão Vigor Tradicional/Light Copo 200g</t>
  </si>
  <si>
    <t>Se houver cerveja fardo no aplicativo, cadastrar como "PACOTE" na página do Cresce Vendas</t>
  </si>
  <si>
    <t>FEIJAO PRETO PICININ 1KG</t>
  </si>
  <si>
    <t>MOLHO PASSATA DI POMODORO SACCIALI VD 530G</t>
  </si>
  <si>
    <t>REQUEIJAO VIGOR TRAD 200G</t>
  </si>
  <si>
    <t>REQUEIJAO VIGOR LIGHT 200G</t>
  </si>
  <si>
    <t>KIT CEREAL ALCAFOODS CHOCBOLL SUGAR C TIGELA</t>
  </si>
  <si>
    <t>IOG TRAD BAND FRIMESA 4MOR 2COCO 540G</t>
  </si>
  <si>
    <t>IOG TRAD BAND FRIMESA 4SALADA FR 2MOR 540G</t>
  </si>
  <si>
    <t>IOG TRAD BAND FRIMESA MIX FR 540G</t>
  </si>
  <si>
    <t>IOG TRAD FRIMESA BJ MORANGO 540G</t>
  </si>
  <si>
    <t>LAMP OUROLUX SUPERLED CX 9W BIV 6500K</t>
  </si>
  <si>
    <t>CHUVEIRO LORENZETTI MAXI BANHO CANO 127V 5500W</t>
  </si>
  <si>
    <t>CHUVEIRO LORENZETTI MAXI BANHO CANO 220V 5500W</t>
  </si>
  <si>
    <t>Refrigerante Coca Cola Pet 2L</t>
  </si>
  <si>
    <t>Feijão Carioca Ramagem 2Kg</t>
  </si>
  <si>
    <t>Cerveja Eisenbahn Pilsen Lata 350ml</t>
  </si>
  <si>
    <t>Achocolatado em Pó Muky Sachê 400g</t>
  </si>
  <si>
    <t>Bisnaguinha Bisnaguito Pullman Tradicional 300g</t>
  </si>
  <si>
    <t>Macarrão Instantâneo Floriani 85g/88g</t>
  </si>
  <si>
    <t>Batata Palha Tradicional/Extra Fina Yoki 120g/140g</t>
  </si>
  <si>
    <t>Achocolatado Nescau 2.0 - 400g</t>
  </si>
  <si>
    <t>FEIJAO RAMAGEM 2KG</t>
  </si>
  <si>
    <t>VH BRA ESP SALTON MOSCATEL 750ML</t>
  </si>
  <si>
    <t>BEB LACTEA POLPA VIGOR MORANGO 540G</t>
  </si>
  <si>
    <t>BEB LACTEA POLPA VIGOR COCO 540G</t>
  </si>
  <si>
    <t>BEB LACTEA POLPA VIGOR VITAMINA 540G</t>
  </si>
  <si>
    <t>BATATA PALHA E FINA PARMESAO YOKI 120G</t>
  </si>
  <si>
    <t>BATATA PALHA E FINA YOKI 120G</t>
  </si>
  <si>
    <t>BATATA PALHA E FINA YOKI CEB SALSA 120G</t>
  </si>
  <si>
    <t>BATATA PALHA E FINA YOKI HOT DOG 120G</t>
  </si>
  <si>
    <t>BATATA PALHA YOKI 140G</t>
  </si>
  <si>
    <t>BISNAGA BISNAGUITO TRAD PULLMAN 300G</t>
  </si>
  <si>
    <t>WHISKY CHIVAS REGAL 12 ANOS 1L</t>
  </si>
  <si>
    <t>RACAO KANINA ADULTO CAR CER 15KG</t>
  </si>
  <si>
    <t>MAC INST FLORIANI BACON 85G</t>
  </si>
  <si>
    <t>MAC INST FLORIANI CARNE 85G</t>
  </si>
  <si>
    <t>MAC INST FLORIANI GALINHA 85G</t>
  </si>
  <si>
    <t>MAC INST FLORIANI GALINHA CAIPIRA 85G</t>
  </si>
  <si>
    <t>MAC INST FLORIANI LEGUMES 85G</t>
  </si>
  <si>
    <t>MAC INST FLORIANI PICANHA 85G</t>
  </si>
  <si>
    <t>MAC INST FLORIANI CREM 4 QUEIJOS 88G</t>
  </si>
  <si>
    <t>MAC INST FLORIANI CREM BOLONHESA 88G</t>
  </si>
  <si>
    <t>MAC INST FLORIANI CREM FRANGO 88G</t>
  </si>
  <si>
    <t>MAC INST FLORIANI CREM PIZZA 88G</t>
  </si>
  <si>
    <t xml:space="preserve">ACHOC NESCAU 2 0 400G </t>
  </si>
  <si>
    <t>Ervilha Fugini Sachê 200g</t>
  </si>
  <si>
    <t>Leite Uht Itambé Nolac Integral/Desnatado/Semidesnatado Tp 1L</t>
  </si>
  <si>
    <t>Extrato de Tomate Olé Lata 340g</t>
  </si>
  <si>
    <t>ACHOC MUKY SCH 400G</t>
  </si>
  <si>
    <t>BATATA PALITO MAIS BATATA PCT 2KG</t>
  </si>
  <si>
    <t>ERVILHA FUGINI SCH 200G</t>
  </si>
  <si>
    <t>WHISKY BALLANTINES FINEST 8 ANOS 1L</t>
  </si>
  <si>
    <t>REF PO CAMP ABACAXI 15G</t>
  </si>
  <si>
    <t>REF PO CAMP ACAI C GUARANA 15G</t>
  </si>
  <si>
    <t>REF PO CAMP CAJA 15G</t>
  </si>
  <si>
    <t>REF PO CAMP CAJU 15G</t>
  </si>
  <si>
    <t>REF PO CAMP COLA 15G</t>
  </si>
  <si>
    <t>REF PO CAMP COLA C LIMAO 15G</t>
  </si>
  <si>
    <t>REF PO CAMP GOIABA 15G</t>
  </si>
  <si>
    <t>REF PO CAMP GRAVIOLA 15G</t>
  </si>
  <si>
    <t>REF PO CAMP GUARANA 15G</t>
  </si>
  <si>
    <t>REF PO CAMP LARANJA 15G</t>
  </si>
  <si>
    <t>REF PO CAMP LIMAO 15G</t>
  </si>
  <si>
    <t>REF PO CAMP MANGA 15G</t>
  </si>
  <si>
    <t>REF PO CAMP MARACUJA 15G</t>
  </si>
  <si>
    <t>REF PO CAMP MORANGO 15G</t>
  </si>
  <si>
    <t>REF PO CAMP SALADA DE FRUTAS 15G</t>
  </si>
  <si>
    <t>REF PO CAMP TANGERINA 15G</t>
  </si>
  <si>
    <t>REF PO CAMP UVA 15G</t>
  </si>
  <si>
    <t>EXTRATO TOM OLE LT 340G</t>
  </si>
  <si>
    <t>LEITE UHT ZLACTOSE NOLAC SEMI DESN TP 1L</t>
  </si>
  <si>
    <t>LEITE UHT ZLACTOSE NOLAC DESNATADO TP 1L</t>
  </si>
  <si>
    <t>PEITO DE FRANGO C OSSO SANTA CECILIA</t>
  </si>
  <si>
    <t>Cafeteira Elétrica 3 Corações Lov G1 Preta 110V</t>
  </si>
  <si>
    <t>Vinho Dom Bosco 750ml</t>
  </si>
  <si>
    <t>Xarope de Groselha Cereser Pet 1L</t>
  </si>
  <si>
    <t>Ketchup Hemmer Tradicional 1Kg</t>
  </si>
  <si>
    <t>Leite Jussara Uht Integral/Desnatado/Semidesnatado Garrafa 1L</t>
  </si>
  <si>
    <t>LEITE UHT JUSSARA INTEGRAL GFA 1L</t>
  </si>
  <si>
    <t>LEITE UHT JUSSARA DESNATADO GFA 1L</t>
  </si>
  <si>
    <t>LEITE UHT JUSSARA SEMI DESN GFA 1L</t>
  </si>
  <si>
    <t>CAFETEIRA 3C G1 LOV PRETA 127V</t>
  </si>
  <si>
    <t xml:space="preserve">BALA BUT TOF CHOC 100G </t>
  </si>
  <si>
    <t>BALA BUT TOF CHOC AMAR 100G</t>
  </si>
  <si>
    <t xml:space="preserve">BALA BUT TOF CHOC BCO 100G </t>
  </si>
  <si>
    <t xml:space="preserve">BALA BUT TOF CHOK MENT 100G </t>
  </si>
  <si>
    <t xml:space="preserve">BALA BUT TOF CHOK TRUF 100G </t>
  </si>
  <si>
    <t xml:space="preserve">BALA BUT TOF CHOKKO 100G </t>
  </si>
  <si>
    <t xml:space="preserve">BALA BUT TOF COCO 100G </t>
  </si>
  <si>
    <t xml:space="preserve">BALA BUT TOF CR AVELA 100G </t>
  </si>
  <si>
    <t xml:space="preserve">BALA BUT TOF LEITE 100G </t>
  </si>
  <si>
    <t xml:space="preserve">BALA BUT TOF MARACUJA 100G </t>
  </si>
  <si>
    <t xml:space="preserve">BALA BUT TOF MORANGO 100G </t>
  </si>
  <si>
    <t xml:space="preserve">BALA BUT TOF T LIMAO 100G </t>
  </si>
  <si>
    <t>VH BRA DOM BOSCO T SUAVE 750ML</t>
  </si>
  <si>
    <t>VH BRA DOM BOSCO T SECO 750ML</t>
  </si>
  <si>
    <t>ADOC SC MAGRO 100ML</t>
  </si>
  <si>
    <t>AZEITONA VERDE DON PEPE FATIADA SACHE 120G</t>
  </si>
  <si>
    <t>AZEITONA VERDE DON PEPE S CAROCO SCH 120G</t>
  </si>
  <si>
    <t>Azeitona Verde Don Pepe Fatiada/Sem Caroço Sachê 120g</t>
  </si>
  <si>
    <t xml:space="preserve">SORV NESTLE TRAD CREME 1 5L </t>
  </si>
  <si>
    <t xml:space="preserve">SORV NESTLE TRAD FLOCOS 1 5L </t>
  </si>
  <si>
    <t>SORV NESTLE TRAD NAPOLITANO 1 5L</t>
  </si>
  <si>
    <t xml:space="preserve">SORV NESTLE TRAD PASSAS AO RUM 1 5L </t>
  </si>
  <si>
    <t xml:space="preserve">SORV NESTLE 1,5 L TRAD NAPOLITANO FLOCOS </t>
  </si>
  <si>
    <t>XAROPE GROSELHA CERESER PET 1L</t>
  </si>
  <si>
    <t>Óleo de Canola Vitaliv Pet 900ml</t>
  </si>
  <si>
    <t>Atum Coqueiro Pedaço Óleo/Natural Lata 170g</t>
  </si>
  <si>
    <t>Panos Umedecidos Coperalcool Clássico/Eucalipto/Lavanda/Mimo c/ 35 Unidades</t>
  </si>
  <si>
    <t>Vinho Pérgola Seleção 1L</t>
  </si>
  <si>
    <t>Refresco Magro Zero Açúcares Sabores 8g</t>
  </si>
  <si>
    <t>Cápsula de Café 3 Corações Cartucho com 10 Unidades</t>
  </si>
  <si>
    <t>Feijão Carioca Ramagem 1Kg</t>
  </si>
  <si>
    <t>LEITE UHT JUSSARA 1L DESN FD 6UN</t>
  </si>
  <si>
    <t>LEITE UHT JUSSARA 1L SEMIDESN FD 6UN</t>
  </si>
  <si>
    <t>LEITE UHT JUSSARA 1L INTEGRAL FD 6UN</t>
  </si>
  <si>
    <t>VH BRA DOM BOSCO BCO SUAVE 750ML</t>
  </si>
  <si>
    <t>MAC INST RENATA EXPRESS CONJUNTO C4 85G</t>
  </si>
  <si>
    <t>Maionese Hellmann's Tradicional 500g</t>
  </si>
  <si>
    <t>Peito de Frango com Osso Congelado Do Sítio Pacote - Kg</t>
  </si>
  <si>
    <t>Tabloide</t>
  </si>
  <si>
    <t>FEIJAO RAMAGEM 1KG</t>
  </si>
  <si>
    <t>OLEO DE CANOLA VITALIV 900ML</t>
  </si>
  <si>
    <t>ATUM COQUEIRO PED AO NAT 170G</t>
  </si>
  <si>
    <t>ATUM COQUEIRO PED C OLEO 170G</t>
  </si>
  <si>
    <t>PANO LIMP COPERALCOOL BACFREE 70 CLASSICO C35</t>
  </si>
  <si>
    <t>PANO LIMP COPERALCOOL BACFREE 70 EUCALIPTO C35</t>
  </si>
  <si>
    <t>PANO LIMP COPERALCOOL BACFREE 70 LAVANDA C35</t>
  </si>
  <si>
    <t>PANO LIMP COPERALCOOL BACFREE 70 MIMO C35</t>
  </si>
  <si>
    <t>VH BRA PERGOLA SELECAO T SECO 1L</t>
  </si>
  <si>
    <t>VH BRA PERGOLA SELECAO T SUAVE 1L</t>
  </si>
  <si>
    <t>VH BRA ESP SALTON BRUT 750ML</t>
  </si>
  <si>
    <t>VH BRA ESP SALTON D SECO 750ML</t>
  </si>
  <si>
    <t>REF PO MAGRO ZERO UVA 8G</t>
  </si>
  <si>
    <t>REF PO MAGRO ZERO TANGERINA 8G</t>
  </si>
  <si>
    <t>REF PO MAGRO ZERO PESSEGO 8G</t>
  </si>
  <si>
    <t>REF PO MAGRO ZERO MORANGO 8G</t>
  </si>
  <si>
    <t>REF PO MAGRO ZERO MARACUJA 8G</t>
  </si>
  <si>
    <t>REF PO MAGRO ZERO MANGA 8G</t>
  </si>
  <si>
    <t>REF PO MAGRO ZERO LIMAO 8G</t>
  </si>
  <si>
    <t>REF PO MAGRO ZERO LARANJA 8G</t>
  </si>
  <si>
    <t>REF PO MAGRO ZERO ABACAXI 8G</t>
  </si>
  <si>
    <t>ALCOOL LIQ 46 COPERALCOOL TRADICIONAL 1L</t>
  </si>
  <si>
    <t>PEITO CONG DO SITIO</t>
  </si>
  <si>
    <t>Bebida Sufresh Sabores Tp 1L</t>
  </si>
  <si>
    <t>Arroz Meu Biju Tipo 1 - 5Kg</t>
  </si>
  <si>
    <t>MAC CAS RENATA TALHARIM 1 500G</t>
  </si>
  <si>
    <t>MAC CAS RENATA TALHARIM 2 500G</t>
  </si>
  <si>
    <t>MAC CAS RENATA TALHARIM 3 500G</t>
  </si>
  <si>
    <t>CHOC BR LACTA TB 90 G AO LEITE</t>
  </si>
  <si>
    <t xml:space="preserve">CHOC BR LACTA TB 100 G CF CARAMELO SALG/ COCO </t>
  </si>
  <si>
    <t>BEBIDA SUFRESH MORANGO TP 1L</t>
  </si>
  <si>
    <t>BEBIDA SUFRESH CAJU TP 1L</t>
  </si>
  <si>
    <t>BEBIDA SUFRESH GOIABA TP 1L</t>
  </si>
  <si>
    <t>BEBIDA SUFRESH UVA TP 1L</t>
  </si>
  <si>
    <t>BEBIDA SUFRESH ABACAXI TP 1L</t>
  </si>
  <si>
    <t>BEBIDA SUFRESH LARANJA TP 1L</t>
  </si>
  <si>
    <t>BEBIDA SUFRESH MARACUJA TP 1L</t>
  </si>
  <si>
    <t>BEBIDA SUFRESH PESSEGO TP 1L</t>
  </si>
  <si>
    <t>AGUA SANITARIA SANOL 2L</t>
  </si>
  <si>
    <t>LEITE UHT NINHO LEVINHO TP - CAIXA C/12</t>
  </si>
  <si>
    <t>LEITE UHT NINHO INTEGRAL TP  - CAIXA C/12</t>
  </si>
  <si>
    <t>LEITE UHT MOLICO DESNATADO TP - CAIXA C/12</t>
  </si>
  <si>
    <t>Ervilha Predilecta Lata 170g</t>
  </si>
  <si>
    <t>ERVILHA PREDILECTA LT 170G</t>
  </si>
  <si>
    <t xml:space="preserve">Farofa de Mandioca Deusa Pronta Tradicional/Bacon 500g </t>
  </si>
  <si>
    <t>Sorvete Kibon Cremosíssimo Sabores 1,5L</t>
  </si>
  <si>
    <t>Ketchup Fugini Tradicional 400g</t>
  </si>
  <si>
    <t xml:space="preserve">Bolo Pullman Sabores 250g </t>
  </si>
  <si>
    <t>QUEIJO PARM RALADO VIGOR 50G</t>
  </si>
  <si>
    <t>FAROFA PRONTA MAND DEUSA TRAD 500G</t>
  </si>
  <si>
    <t>FAROFA PRONTA MAND DEUSA BACON 500G</t>
  </si>
  <si>
    <t>PANETTONE PARATI BRIGADEIRO SACHE 450G</t>
  </si>
  <si>
    <t>PANETTONE PARATI CHOCOLATE SACHE 450G</t>
  </si>
  <si>
    <t>PANETTONE PARATI FRUTAS SACHE 500G</t>
  </si>
  <si>
    <t>KETCHUP FUGINI 400G</t>
  </si>
  <si>
    <t>BOLO PULLMAN ABACAXI 250G</t>
  </si>
  <si>
    <t>BOLO PULLMAN CHOCOLATE 250G</t>
  </si>
  <si>
    <t>BOLO PULLMAN COCO 250G</t>
  </si>
  <si>
    <t>BOLO PULLMAN FRAPPE CALIF CHOC 250G</t>
  </si>
  <si>
    <t>BOLO PULLMAN GOTAS CHOC 250G</t>
  </si>
  <si>
    <t>BOLO PULLMAN LARANJA 250G</t>
  </si>
  <si>
    <t>Ovo Branco São José Médio PVC - Bandeja com 12 Unidades</t>
  </si>
  <si>
    <t>Chocolate Nestlé Kit Kat 41,5g</t>
  </si>
  <si>
    <t>OVO SAO JOSE MEDIO BRANCO PVC C12</t>
  </si>
  <si>
    <t>PIPOCA MICROOND ZILIO 100 G DOCE</t>
  </si>
  <si>
    <t>PIPOCA MICROOND ZILIO 100 G LIGHT</t>
  </si>
  <si>
    <t>Bala Dori Sabores 150g</t>
  </si>
  <si>
    <t>Queijo Ralado Gran Mestri 40g</t>
  </si>
  <si>
    <t>Toalha Umedecida Huggies Turma da Mônica Tripla Proteção c/96</t>
  </si>
  <si>
    <t>Bala Gelatina/Marshmallow Fini 60g/80g/90g/100g</t>
  </si>
  <si>
    <t>60 Unidades</t>
  </si>
  <si>
    <t>Achocolatado em Pó Nescau 2.0 Lata 400g</t>
  </si>
  <si>
    <t>QUEIJO PARM GRAN MESTRI RALADO 40G</t>
  </si>
  <si>
    <t>BALA DORI HORTELA MINT 150G</t>
  </si>
  <si>
    <t>BALA RECH DORI HORTELA 150G</t>
  </si>
  <si>
    <t>BALA RECH DORI MEL 150G</t>
  </si>
  <si>
    <t>Z BALA DE YOGURTE 100 DORI MACBANANA 150G</t>
  </si>
  <si>
    <t>Z BALA DE YOGURTE 100 PESSEGO DORI 150G</t>
  </si>
  <si>
    <t>Z BALA DORI DODS 150G</t>
  </si>
  <si>
    <t>Z BALA MENTA E CHOCOLATE DORI 150G</t>
  </si>
  <si>
    <t>Z BUM BALA DORI FRAMBOESA 150G</t>
  </si>
  <si>
    <t>Z BUM BALA DORI MORANGO C LIMAO 150G</t>
  </si>
  <si>
    <t>BALA GELATINA FINI TUBE TROLLS 80G</t>
  </si>
  <si>
    <t>BALA GELATINA FINI TUBES MINIONS 80G</t>
  </si>
  <si>
    <t>BALA GELATINA FINI TUBES MORANGO 80G</t>
  </si>
  <si>
    <t>BALA GELATINA FINI TUBES MORANGO CITRICO 80G</t>
  </si>
  <si>
    <t>BALA GELATINA FINI TUBES T FRUTTI CITRICO 80G</t>
  </si>
  <si>
    <t>BALA GELATINA FINI TUBES TIRAS MORANGO CITRICO 80G</t>
  </si>
  <si>
    <t>BALA GELATINA FINI TUBES TWIST 80G</t>
  </si>
  <si>
    <t>BALA GELATINA FINI TUBES TWIST CITRUS 80G</t>
  </si>
  <si>
    <t>BALA GELATINA FINI TUBES UVA BRILHO 80G</t>
  </si>
  <si>
    <t>BALA GELATINA FINI TUBES UVA CITRICA 80G</t>
  </si>
  <si>
    <t>BALA FINI GELAT 90GR MELANCIA FATIAS FFFFF</t>
  </si>
  <si>
    <t>BALA GELATINA FINI EMOJI 90G</t>
  </si>
  <si>
    <t>BALA GELATINA FINI MINIONS 90G</t>
  </si>
  <si>
    <t>BALA GELATINA FINI OVOS FRITOS 90G</t>
  </si>
  <si>
    <t>BALA GELATINA FINI TROLLS 90G</t>
  </si>
  <si>
    <t>BALA GELATINA FINI AMORA 100G</t>
  </si>
  <si>
    <t>BALA GELATINA FINI AROS DE MORANGO 100G</t>
  </si>
  <si>
    <t>BALA GELATINA FINI BANANAS 100G</t>
  </si>
  <si>
    <t>BALA GELATINA FINI BEIJOS DE MORANGO 100G</t>
  </si>
  <si>
    <t>BALA GELATINA FINI DENTADURA 100G</t>
  </si>
  <si>
    <t>BALA GELATINA FINI FINIBURGUERS 100G</t>
  </si>
  <si>
    <t>BALA GELATINA FINI MINHOCAS BRILHO 100G</t>
  </si>
  <si>
    <t>BALA GELATINA FINI MINHOCAS CITRICAS 100G</t>
  </si>
  <si>
    <t>BALA GELATINA FINI TUBAROES 100G</t>
  </si>
  <si>
    <t>BALA GELATINA FINI URSINHOS 100G</t>
  </si>
  <si>
    <t>MARSHMALLOW FINI ALVORADA 80GR</t>
  </si>
  <si>
    <t>MARSHMALLOW FINI CORACAO 80G</t>
  </si>
  <si>
    <t>MARSHMALLOW FINI FLOR 80G</t>
  </si>
  <si>
    <t>MARSHMALLOW FINI TORCAO 80G</t>
  </si>
  <si>
    <t>Z FINI TUBES MARACUJA CITRICO 80G</t>
  </si>
  <si>
    <t>COXAS SOBRECOXAS CONG DO SITIO</t>
  </si>
  <si>
    <t>BALA DORI 150 G CHICLE BOLETE</t>
  </si>
  <si>
    <t>BALA DORI 150 G FRUTSY SORT</t>
  </si>
  <si>
    <t xml:space="preserve">BALA DORI 150 G GOTA COLA </t>
  </si>
  <si>
    <t>BALA DORI 150 G LUA CHEIA CHANTILLY</t>
  </si>
  <si>
    <t xml:space="preserve">BALA DORI 150 G LUA CHEIA FRUTAS </t>
  </si>
  <si>
    <t>BALA DORI 150 G POLAR CEREJA</t>
  </si>
  <si>
    <t>BALA DORI 150 G YOG 100 RECH MOR</t>
  </si>
  <si>
    <t>BALA DORI 150 G YOGURTE 100</t>
  </si>
  <si>
    <t>MARSHMALLOW FINI 80 G MORANGO</t>
  </si>
  <si>
    <t>CHICLETE FINI 80G COLA E HAMB</t>
  </si>
  <si>
    <t>CHICLETE FINI 80G MELANCIA</t>
  </si>
  <si>
    <t>CHICLETE FINI 80G SALAD FRUTAS</t>
  </si>
  <si>
    <t>CHICLETE FINI 80G OVOS ACIDO</t>
  </si>
  <si>
    <t xml:space="preserve">RACAO DOG CHOW 1 KG ADULTO RC PQ </t>
  </si>
  <si>
    <t>BALA DORI 150G TRINK SORTIDA</t>
  </si>
  <si>
    <t>FILE DE PEITO CONG STA CECILIA KG</t>
  </si>
  <si>
    <t>TOALHA UM T MONICA TRIPLA PROT 96UN</t>
  </si>
  <si>
    <t>Suco Natural One Integral Refrigerado Laranja 900ml</t>
  </si>
  <si>
    <t>Iogurte Danone Bandeja c/ 6 - 540g</t>
  </si>
  <si>
    <t>Vinho Sinuelo 750ml (Exceto Uva Bordô)</t>
  </si>
  <si>
    <t>Lâmpada Ourolux Superled 4,7W 6500K Bivolt</t>
  </si>
  <si>
    <t>Pano Reutilizável Scott Duramax c/58</t>
  </si>
  <si>
    <t>Pão de Forma Pullman Integral 500g</t>
  </si>
  <si>
    <t>Cerveja Brahma Duplo Malte Lata 350ml</t>
  </si>
  <si>
    <t>IOG POLPA DANONE MORANGO BJ C6 90G</t>
  </si>
  <si>
    <t>PAO DE FORMA PULLMAN INTEGRAL 500G</t>
  </si>
  <si>
    <t>SUCO NATURAL ONE LARANJA 900ML</t>
  </si>
  <si>
    <t>VH BRA SINUELO BCO MESA SECO 750ML</t>
  </si>
  <si>
    <t>VH BRA SINUELO BCO MESA SUAVE 750ML</t>
  </si>
  <si>
    <t>VH BRA SINUELO ROSADO MESA SUAVE 750ML</t>
  </si>
  <si>
    <t>VH BRA SINUELO T MESA SECO TRAD 750ML</t>
  </si>
  <si>
    <t>VH BRA SINUELO T MESA SUAVE TRAD 750ML</t>
  </si>
  <si>
    <t>LAMP OUROLUX SUPERLED CX 4,7W BIV 3000K</t>
  </si>
  <si>
    <t>PANO SCOTT DURAMAX C58</t>
  </si>
  <si>
    <t>IOG POLPA DANONE MIX BJ C6 90GR</t>
  </si>
  <si>
    <t>Manteiga Matilat Com Sal/Sem Sal Pote 200g</t>
  </si>
  <si>
    <t>Café Pilão Tradicional Vácuo 500g</t>
  </si>
  <si>
    <t>Vinho Italiano Lambrusco Villa Fabrizia Branco/Tinto 750ml</t>
  </si>
  <si>
    <t>Arroz Italiano Arbório Paganini 500g</t>
  </si>
  <si>
    <t>Lava Roupas em pó Tixan Maciez Leve 2Kg Pague 1,9Kg</t>
  </si>
  <si>
    <t>CAFE PILAO TRAD VACUO 500G</t>
  </si>
  <si>
    <t>VH ITA VILLA FABRIZIA LAMB BRANCO 750ML</t>
  </si>
  <si>
    <t>VH ITA VILLA FABRIZIA LAMB TINTO 750ML</t>
  </si>
  <si>
    <t>LAVA ROUPAS PO TIXAN MACIEZ LV 2KG PG 1 9KG</t>
  </si>
  <si>
    <t>MANTEIGA C SAL MATILAT PT 200G</t>
  </si>
  <si>
    <t>MANTEIGA S SAL MATILAT PT 200G</t>
  </si>
  <si>
    <t>ARROZ ITA ARBOREO PAGANINI 500G</t>
  </si>
  <si>
    <t>AGUA DE COCO DO VALE 1L</t>
  </si>
  <si>
    <t>PALMITO ACAI GENTLEMAN INTEIRO 180G</t>
  </si>
  <si>
    <t>LAMP OUROLUX SUPERLED CX 4,7W BIV 6500K</t>
  </si>
  <si>
    <t>SH SEDA ONDAS ANTI FRIZZ 325ML</t>
  </si>
  <si>
    <t>Requeijão Gran Mestri Tradicional/Light 180g</t>
  </si>
  <si>
    <t>Farofa de Mandioca Zilio Tradicional 400g</t>
  </si>
  <si>
    <t>Queijo Parmesão Ralado Faixa Azul 50g</t>
  </si>
  <si>
    <t>BEB MISTA VIGOR VIG UVA 200ML</t>
  </si>
  <si>
    <t>BEB MISTA VIGOR VIG MORANGO 200ML</t>
  </si>
  <si>
    <t>BEB MISTA VIGOR VIG MARACUJA 200ML</t>
  </si>
  <si>
    <t>BEB MISTA VIGOR VIG MACA 200ML</t>
  </si>
  <si>
    <t>BEB MISTA VIGOR VIG LARANJA 200ML</t>
  </si>
  <si>
    <t>REQUEIJAO CREM GRAN MESTRI LIGHT 180G</t>
  </si>
  <si>
    <t>QUEIJO PARM RALADO F AZUL 50G</t>
  </si>
  <si>
    <t>COXA SOBRECOXA SANTA CECILIA</t>
  </si>
  <si>
    <t>VH BRA ESP SALTON PROSECCO BRUT 750ML</t>
  </si>
  <si>
    <t>Leite Fermentado Danoninho 450g</t>
  </si>
  <si>
    <t>Inseticida Mat Inset Ação Total 360ml Grátis 33%</t>
  </si>
  <si>
    <t>LTE FERM DANONINHO 450G</t>
  </si>
  <si>
    <t xml:space="preserve">Leite Piracanjuba Uht Integral/Semidesnatado/Desnatado Tp 1L </t>
  </si>
  <si>
    <t>Café 3 Corações Extra Forte/Tradicional Vácuo 500g</t>
  </si>
  <si>
    <t>CHUVEIRO LORENZETTI BELLA DUCHA 4T 220V</t>
  </si>
  <si>
    <t>INSET MAT INSET ACAO TOTAL 360ML GTS 33</t>
  </si>
  <si>
    <t>FEIJAO PICININ PREMIUM 1KG</t>
  </si>
  <si>
    <t>LEITE UHT SEMIDESNATADO PIRACANJUBA 1L</t>
  </si>
  <si>
    <t>LEITE UHT INTEGRAL PIRACANJUBA 1L</t>
  </si>
  <si>
    <t>LEITE UHT DESNATADO PIRACANJUBA 1L</t>
  </si>
  <si>
    <t>Manteiga Gran Mestri Com Sal/Sem Sal Lata 200g</t>
  </si>
  <si>
    <t>MANTEIGA GRAN MESTRI C SAL LT 200G</t>
  </si>
  <si>
    <t>MANTEIGA GRAN MESTRI S SAL LT 200G</t>
  </si>
  <si>
    <t xml:space="preserve">LEITE UHT PIRACANJUBA DESNATADO 1L CX 12UN </t>
  </si>
  <si>
    <t xml:space="preserve">LEITE UHT PIRACANJUBA INTEGRAL 1L CX 12UN </t>
  </si>
  <si>
    <t xml:space="preserve">LEITE UHT PIRACANJUBA SEMIDESNATADO 1L CX 12UN </t>
  </si>
  <si>
    <t>CAPSULA 3C ESPRESSO FORZA 8G C10</t>
  </si>
  <si>
    <t>INSET MAT INSET MULTI EUCALIPTO 360ML GTS 33</t>
  </si>
  <si>
    <t>INSET MAT INSET MULTI CITRONELA 360ML GTS 33</t>
  </si>
  <si>
    <t>Leite Fermentado Chamyto Nestlé Tradicional c/6 - 450g</t>
  </si>
  <si>
    <t>Absorvente Intimus Gel Noturno Suave Com Abas Leve 9 Pague 8</t>
  </si>
  <si>
    <t>Patê de Atum Coqueiro Tradicional Pouch 170g</t>
  </si>
  <si>
    <t>Filé de Peito de Frango Congelado Do Sítio Pacote - Kg</t>
  </si>
  <si>
    <t>Feijão Carioca Premium Picinin 2Kg</t>
  </si>
  <si>
    <t>Panettone Triunfo Frutas/Gotas de Chocolate 400g</t>
  </si>
  <si>
    <t>LEITE FERM CHAMYTO TRAD C6 75G</t>
  </si>
  <si>
    <t xml:space="preserve">ABS INTIMUS NOT SUAVE C ABAS L9P8 </t>
  </si>
  <si>
    <t>PANETTONE TRIUNFO FRUTAS 400G</t>
  </si>
  <si>
    <t>PATE ATUM COQUEIRO TRAD 170G</t>
  </si>
  <si>
    <t>FILE PEITO CONG DO SITIO</t>
  </si>
  <si>
    <t>COXINHA DA ASA CONG STA CECILIA KG</t>
  </si>
  <si>
    <t>PANETTONE TRIUNFO GOTAS C CHOCOLATE 400G</t>
  </si>
  <si>
    <t>Polpa de Tomate Olé Sig 520g</t>
  </si>
  <si>
    <t>Farofa de Milho Caseira/Farofa de Mandioca Caseira Zilio Tradicional/Apimentada 300g</t>
  </si>
  <si>
    <t>Sabonete Farnese 85g</t>
  </si>
  <si>
    <t>Macarrão Galo Semolado Tipos 500g</t>
  </si>
  <si>
    <t>Mop Noviça Sekito Bettanin Leve Mais Pague Menos- (Ref: 1442144)</t>
  </si>
  <si>
    <t>MOP SEKITO NOVICA BETTANIN PROMOCIONAL REF.1442144</t>
  </si>
  <si>
    <t>Snacks Crocantissímo Peito de Peru/Queijo/Salame 40g</t>
  </si>
  <si>
    <t>POLPA TOM OLE SIG 520G</t>
  </si>
  <si>
    <t>FAROFA MILHO ZILIO CASEIRA 300G</t>
  </si>
  <si>
    <t>FAROFA CASEIRA ZILIO APIMENTADA 300G</t>
  </si>
  <si>
    <t>FAROFA CASEIRA ZILIO TRAD 300G</t>
  </si>
  <si>
    <t>PANETTONE DI LUCCA CHOC 400G</t>
  </si>
  <si>
    <t>PANETTONE DI LUCCA FRUTAS 400G</t>
  </si>
  <si>
    <t>SAB FARNESE ALGODAO AVELA 85G</t>
  </si>
  <si>
    <t>SAB FARNESE LAVANDA 85G</t>
  </si>
  <si>
    <t xml:space="preserve">Ave Natalina Gran Ave Macedo - Kg </t>
  </si>
  <si>
    <t>SNACK CROCANTISSIMO P PEITO PERU REQ 40G</t>
  </si>
  <si>
    <t>SNACK CROCANTISSIMO QUEIJO CEBOLA 40G</t>
  </si>
  <si>
    <t>SNACK CROCANTISSIMO SALAME 40G</t>
  </si>
  <si>
    <t>AVE GRAN AVE MACEDO TEMP KG</t>
  </si>
  <si>
    <t>Achocolatado em Pó Toddy Original 400g</t>
  </si>
  <si>
    <t xml:space="preserve">Antisséptico Bucal Sensodyne 500ml </t>
  </si>
  <si>
    <t>Queijo Coalho Hércules Espeto - Kg</t>
  </si>
  <si>
    <t xml:space="preserve">Petit Suisse Danoninho Sabores Bandeja c/8 - 320g </t>
  </si>
  <si>
    <t>Repelente Aerosol No Inset 150ml</t>
  </si>
  <si>
    <t>SNACK CROCANTISSIMO INT SUOR CREAM 40G</t>
  </si>
  <si>
    <t>REF COCA COLA 350ML - Fardo c/ 6</t>
  </si>
  <si>
    <t>PETIT SUISSE DANONINHO MOR BAN MACA BJ C8 40G</t>
  </si>
  <si>
    <t>PETIT SUISSE DANONINHO MOR FRAMB UVA BJ C8 40G</t>
  </si>
  <si>
    <t>PETIT SUISSE DANONINHO MORANGO BJ C8 40G</t>
  </si>
  <si>
    <t>ANTI SEP SENSODYNE COLL MINT 500ML</t>
  </si>
  <si>
    <t>REPEL AEROSOL NO INSET 150ML</t>
  </si>
  <si>
    <t>QUEIJO COALHO HERCULES</t>
  </si>
  <si>
    <t>COND SEDA ONDAS ANTI FRIZZ 325ML</t>
  </si>
  <si>
    <t>Peru Sadia Temperado Congelado Peça - Kg</t>
  </si>
  <si>
    <t>Batata Palha Yoki Tradicional 105g</t>
  </si>
  <si>
    <t>Néctar de Frutas Izzy Sabores Tp 1L</t>
  </si>
  <si>
    <t>Iogurte Grego Vigor Sabores 100g</t>
  </si>
  <si>
    <t>Chester Perdigão Temperado Congelado Peça - Kg</t>
  </si>
  <si>
    <t>Espumante Sidra Cereser 660ml</t>
  </si>
  <si>
    <t>Leite Condensado Itambé Lata 395g</t>
  </si>
  <si>
    <t>Doce de Leite Itambé Lata 395g</t>
  </si>
  <si>
    <t>LEITE COND ITAMBE LT 395G</t>
  </si>
  <si>
    <t>DOCE DE LEITE ITAMBE LT 395G</t>
  </si>
  <si>
    <t>IOG GREGO VIGOR  BANANA C CHOC 100G</t>
  </si>
  <si>
    <t>IOG GREGO VIGOR BANANA 100G</t>
  </si>
  <si>
    <t>IOG GREGO VIGOR BAUNILHA 100G</t>
  </si>
  <si>
    <t>IOG GREGO VIGOR BLUEBERRY 100G</t>
  </si>
  <si>
    <t>IOG GREGO VIGOR CAFE 100G</t>
  </si>
  <si>
    <t>IOG GREGO VIGOR CEREJA 100G</t>
  </si>
  <si>
    <t>IOG GREGO VIGOR COCO QUEIM 100G</t>
  </si>
  <si>
    <t>IOG GREGO VIGOR FLOCOS 100G</t>
  </si>
  <si>
    <t>IOG GREGO VIGOR FLOCOS CARAMELO 100G</t>
  </si>
  <si>
    <t>IOG GREGO VIGOR FLOCOS CH BR 100G</t>
  </si>
  <si>
    <t>IOG GREGO VIGOR FR AMARELAS 100G</t>
  </si>
  <si>
    <t>IOG GREGO VIGOR FR VERMELHAS 100G</t>
  </si>
  <si>
    <t>IOG GREGO VIGOR GOIABADA 100G</t>
  </si>
  <si>
    <t>IOG GREGO VIGOR LIMAO SICILIANO 100G</t>
  </si>
  <si>
    <t>IOG GREGO VIGOR MARACUJA 100G</t>
  </si>
  <si>
    <t>IOG GREGO VIGOR MERENGUE 100G</t>
  </si>
  <si>
    <t>IOG GREGO VIGOR MORANGO C BAUN 100G</t>
  </si>
  <si>
    <t>IOG GREGO VIGOR MORANGO C CHOC 100G</t>
  </si>
  <si>
    <t>IOG GREGO VIGOR PEDACOS COCO 120G</t>
  </si>
  <si>
    <t>IOG GREGO VIGOR PEDACOS CRANBERRY 120G</t>
  </si>
  <si>
    <t>IOG GREGO VIGOR PEDACOS MORANGO 120G</t>
  </si>
  <si>
    <t>IOG GREGO VIGOR TRAD 100G</t>
  </si>
  <si>
    <t>CHESTER PERDIGAO CONG KG</t>
  </si>
  <si>
    <t>HAMB BOVINO FRIMESA 672G</t>
  </si>
  <si>
    <t>NECTAR IZZY UVA TP 1L</t>
  </si>
  <si>
    <t>NECTAR IZZY PESSEGO TP 1L</t>
  </si>
  <si>
    <t>NECTAR IZZY MARACUJA TP 1L</t>
  </si>
  <si>
    <t>NECTAR IZZY MANGA TP 1L</t>
  </si>
  <si>
    <t>NECTAR IZZY LARANJA TP 1L</t>
  </si>
  <si>
    <t>NECTAR IZZY GOIABA TP 1L</t>
  </si>
  <si>
    <t>NECTAR IZZY CAJU TP 1L</t>
  </si>
  <si>
    <t>NECTAR IZZY ABACAXI TP 1L</t>
  </si>
  <si>
    <t>SIDRA CERESER 660ML</t>
  </si>
  <si>
    <t>BATATA PALHA TRADICIONAL YOKI 105G</t>
  </si>
  <si>
    <t>PERU SADIA TEMP CONG</t>
  </si>
  <si>
    <t>MANT GRAN MESTRI 200 G C/ SAL</t>
  </si>
  <si>
    <t>MANT GRAN MESTRI 200 G S/ SAL</t>
  </si>
  <si>
    <t>Cápsula de Café 3 Corações Cartucho Com 10 Unidades</t>
  </si>
  <si>
    <t>Pão de Alho Híper Tradicional/Calabresa Baguete 310g</t>
  </si>
  <si>
    <t>Batata Palha Yoki Tradicional/Extra Fina 100g/105g</t>
  </si>
  <si>
    <t xml:space="preserve">Mistura para Bolo Renata Sabores 400g </t>
  </si>
  <si>
    <t>Azeitona Verde Tozzi Com Caroço Sachê 200g</t>
  </si>
  <si>
    <t>Néctar de Frutas Izzy Sabores Tp 200ml</t>
  </si>
  <si>
    <t>Frango Especial Frimesa Temperado Congelado - Kg</t>
  </si>
  <si>
    <t>IOG GREGO VIGOR AMORA ZERO 100G</t>
  </si>
  <si>
    <t>IOG GREGO VIGOR MORANGO ZERO 100G</t>
  </si>
  <si>
    <t>IOG GREGO VIGOR TRAD ZERO 100G</t>
  </si>
  <si>
    <t>IOG GREGO VIGOR FR VERMELHAS ZERO100G</t>
  </si>
  <si>
    <t>BATATA PALHA E FINA YOKI 100G</t>
  </si>
  <si>
    <t>PAO DE ALHO HIPER CALABRESA 310G</t>
  </si>
  <si>
    <t>PAO DE ALHO HIPER TRADICIONAL 310G</t>
  </si>
  <si>
    <t>DESINF URCA CITRONELA 2L</t>
  </si>
  <si>
    <t>DESINF URCA EUCALIPTO 2L</t>
  </si>
  <si>
    <t>DESINF URCA EUCALIPTO FRESH 2L</t>
  </si>
  <si>
    <t>DESINF URCA FLORAL 2L</t>
  </si>
  <si>
    <t>DESINF URCA LAVANDA 2L</t>
  </si>
  <si>
    <t>MIST BOLO RENATA ABACAXI 400G</t>
  </si>
  <si>
    <t>MIST BOLO RENATA AIPIM 400G</t>
  </si>
  <si>
    <t>MIST BOLO RENATA BAUNILHA 400G</t>
  </si>
  <si>
    <t>MIST BOLO RENATA CENOURA 400G</t>
  </si>
  <si>
    <t>MIST BOLO RENATA COCO 400G</t>
  </si>
  <si>
    <t>MIST BOLO RENATA FESTA 400G</t>
  </si>
  <si>
    <t>MIST BOLO RENATA FUBA 400G</t>
  </si>
  <si>
    <t>MIST BOLO RENATA LARANJA 400G</t>
  </si>
  <si>
    <t>MIST BOLO RENATA LIMAO 400G</t>
  </si>
  <si>
    <t>AZEITONA VERDE TOZZI C CAR SACHE 200G</t>
  </si>
  <si>
    <t>Coxa e Sobrecoxa de Frango Congelado Itabom Pacote - Kg</t>
  </si>
  <si>
    <t>Cerveja Heineken Lata 350ml</t>
  </si>
  <si>
    <t xml:space="preserve">CAPSULA 3C CAPPUC DOCE DE LEITE 11G C10 </t>
  </si>
  <si>
    <t>NECTAR IZZY LARANJA TP 200ML</t>
  </si>
  <si>
    <t>NECTAR IZZY CAJU TP 200ML</t>
  </si>
  <si>
    <t>NECTAR IZZY MANGA TP 200ML</t>
  </si>
  <si>
    <t>NECTAR IZZY MARACUJA TP 200ML</t>
  </si>
  <si>
    <t>NECTAR IZZY PESSEGO TP 200ML</t>
  </si>
  <si>
    <t>NECTAR IZZY GOIABA TP 200ML</t>
  </si>
  <si>
    <t>NECTAR IZZY UVA TP 200ML</t>
  </si>
  <si>
    <t>NECTAR IZZY ABACAXI TP 200ML</t>
  </si>
  <si>
    <t>COXAS SOBRECOXAS CONG ITABOM KG</t>
  </si>
  <si>
    <t>FRANGO ESPECIAL FRIMESA TEMP CONG KG</t>
  </si>
  <si>
    <t>Peru Seara Temperado Congelado Peça - Kg</t>
  </si>
  <si>
    <t>Lentilha Zilio 500g</t>
  </si>
  <si>
    <t>Açúcar Demerara União Naturale 1Kg</t>
  </si>
  <si>
    <t>Chopp de Vinho Grape Cool Góes Sabores Long Neck 269ml</t>
  </si>
  <si>
    <t>Cerveja Burguesa Lata 350ml Fardo c/12</t>
  </si>
  <si>
    <t>Cerveja Itaipava Sem Álcool Lata 350ml Fardo c/12</t>
  </si>
  <si>
    <t>Cerveja Itaipava Pilsen Lata 350ml Fardo C/12</t>
  </si>
  <si>
    <t>Cerveja Conti Zero Grau Lata 350ml Fardo C/12</t>
  </si>
  <si>
    <t>ACUCAR DEMERARA UNIAO NATURALE 1KG</t>
  </si>
  <si>
    <t>Carne Bovina Picanha Fatiada Ao Ponto Embalada – Kg</t>
  </si>
  <si>
    <t>Caixa c/6</t>
  </si>
  <si>
    <t>Garrafa</t>
  </si>
  <si>
    <t>GRAPE COOL PEACH LN 269ML</t>
  </si>
  <si>
    <t>GRAPE COOL PINA LN 269ML</t>
  </si>
  <si>
    <t>ESP PETERLONGO VERSE MOSCATEL 660ML</t>
  </si>
  <si>
    <t>LENTILHA ZILIO 500G</t>
  </si>
  <si>
    <t>ESPUMA PRATA PETERLONGO DOCE BCO 660ML</t>
  </si>
  <si>
    <t>ESPUMA PRATA PETERLONGO DOCE ROSE 660ML</t>
  </si>
  <si>
    <t>BEB LACT VIGOR 540 G POLPA COCO</t>
  </si>
  <si>
    <t>BEB LACT VIGOR 540 G POLPA MOR TODO DIA</t>
  </si>
  <si>
    <t>VH STA CAROLINA 750 ML RESERV CAB SAUV MERLOT</t>
  </si>
  <si>
    <t>VH STA CAROLINA 750 ML RESERV CHARDONNAY</t>
  </si>
  <si>
    <t>VH STA CAROLINA 750 ML RESERV MALBEC</t>
  </si>
  <si>
    <t>VH STA CAROLINA 750 ML RESERV MERLOT</t>
  </si>
  <si>
    <t>VH STA CAROLINA 750 ML SHIRAZ</t>
  </si>
  <si>
    <t>SORV KIBON CREMOSISSIMO CHOCOLATE 1 5L</t>
  </si>
  <si>
    <t xml:space="preserve">GRAPE COOL TINTO ZERO ALCOOL LN 269ML </t>
  </si>
  <si>
    <t>Água de Coco Izzy Tp 1L</t>
  </si>
  <si>
    <t>Batata Palha Yoki Tradicional/Extra Fina Sabores 100g/105g</t>
  </si>
  <si>
    <t>QUEIJO PARMESAO RAL MATILAT 50G</t>
  </si>
  <si>
    <t>AGUA DE COCO IZZY TP 1L</t>
  </si>
  <si>
    <t>LASANHA SADIA PEITO DE PERU 600G</t>
  </si>
  <si>
    <t>LASANHA SADIA VERDE A BOLONHESA 600G</t>
  </si>
  <si>
    <t>BATATA PALHA YOKI 100 G FINA CEB/SALSA</t>
  </si>
  <si>
    <t>BATATA PALHA YOKI 100 G FINA HOT DOG</t>
  </si>
  <si>
    <t>BATATA PALHA YOKI 100 G FINA PARMESAO</t>
  </si>
  <si>
    <t>REF 15 ABACAXI 2L</t>
  </si>
  <si>
    <t>Café Bom Jesus Tradicional/Extra Forte Pouch 500g</t>
  </si>
  <si>
    <t>Açaí Frooty Congelado Sabores Pote 200ml (Exceto Açaí Zero Açúcar 200g)</t>
  </si>
  <si>
    <t>Presunto Frimesa Fatiado cada 100g</t>
  </si>
  <si>
    <t>CAFE BOM JESUS EXT FORTE POUCH 500G</t>
  </si>
  <si>
    <t>CAFE BOM JESUS TRAD POUCH 500G</t>
  </si>
  <si>
    <t>ACAI FROOTY BANANA COM GRANOLA 200ML</t>
  </si>
  <si>
    <t>ACAI FROOTY MORANGO COM GRANOLA 200ML</t>
  </si>
  <si>
    <t>ACAI FROOTY ORIGINAL COM GRANOLA 200ML</t>
  </si>
  <si>
    <t>PRESUNTO COZ FRIMESA KG</t>
  </si>
  <si>
    <t>Leite Uht Nestlé Ninho Tradicional Tp 1L</t>
  </si>
  <si>
    <t xml:space="preserve">ACAI FROOTY ORIGINAL COM GRANOLA 200ML </t>
  </si>
  <si>
    <t>Palmito de Açaí Lapap Tolete Inteiro 180g</t>
  </si>
  <si>
    <t>Espumante Salton Moscatel/Demi-Sec/Brut/Prosecco 750ml</t>
  </si>
  <si>
    <t>Iogurte Polpa Danone Bandeja c/6 - 540g</t>
  </si>
  <si>
    <t>Azeitona Verde Tozzi Com Caroço Vidro 200g</t>
  </si>
  <si>
    <t>Queijo Parmesão Ralado Matilat 50g</t>
  </si>
  <si>
    <t>Palmito de Açaí Lapap Inteiro 300g</t>
  </si>
  <si>
    <t>LAVA ROUPAS EM PÓ ÁPYCE SACHÊ 1KG</t>
  </si>
  <si>
    <t>IOG POLPA DANONE MIX BJ C6 90G</t>
  </si>
  <si>
    <t>Frango a Passarinho Itabom Temperado Congelado Pacote - Kg</t>
  </si>
  <si>
    <t>Filé de Peito de Frango Congelado Itabom Pacote - Kg</t>
  </si>
  <si>
    <t>FRANGO PASSARINHO ITABOM TEMPERADO kg</t>
  </si>
  <si>
    <t>FILÉ PEITO FRANGO ITABOM kg</t>
  </si>
  <si>
    <t>AZEITONA VERDE TOZZI C CAR VD 200G</t>
  </si>
  <si>
    <t>MAIONESE TRADICIONAL HELLMANN´S 500G</t>
  </si>
  <si>
    <t>Kit Pantene Shampoo 350ml/Condicionador 175ml</t>
  </si>
  <si>
    <t>Mortadela Seara Cada 100g</t>
  </si>
  <si>
    <t>Amaciante Concentrado Downy Água Fresca/Brisa de Verão/Frescor da Primavera/Lírios do Campo 500ml</t>
  </si>
  <si>
    <t>Empanados Tekitos Tradicional Pacote 1Kg</t>
  </si>
  <si>
    <t>Salsicha Hot Dog Rezende - Kg</t>
  </si>
  <si>
    <t>KIT PANTENE SH 350ML COND 175ML CAUTERIZACAO</t>
  </si>
  <si>
    <t>KIT PANTENE SH 350ML COND 175ML HIDRATACAO</t>
  </si>
  <si>
    <t>KIT PANTENE SH 350ML COND 175ML LISO EXTREMO</t>
  </si>
  <si>
    <t>KIT PANTENE SH 350ML COND 175ML RESTAURACAO</t>
  </si>
  <si>
    <t>AMAC CONC DOWNY AGUA FRESCA 500ML</t>
  </si>
  <si>
    <t>REFRIGERANTE COCA COLA PET TRADICIONAL 2L</t>
  </si>
  <si>
    <t>EMPANADO TEKITOS PCT 1KG</t>
  </si>
  <si>
    <t>Pão de Forma/Leite PANUTRIR 450g</t>
  </si>
  <si>
    <t>Bisnaguinha PANUTRIR 300g</t>
  </si>
  <si>
    <t>BISNAGA BISNUTRINHAS PANUTRIR 300G</t>
  </si>
  <si>
    <t>Pão de Hambúrguer Gourmet PANUTRIR 500g/Pão de Hot Dog Gourmet PANUTRIR 400g</t>
  </si>
  <si>
    <t>PAO DE HAMBURGUER PANUTRIR 500G</t>
  </si>
  <si>
    <t>PAO DE HOT DOG PANUTRIR 400G</t>
  </si>
  <si>
    <t>PAO DE LEITE PANUTRIR 450G</t>
  </si>
  <si>
    <t>PAO DE FORMA PANUTRIR 450G</t>
  </si>
  <si>
    <t>Panettone PANUTRIR Frutas/Chocolate 400g</t>
  </si>
  <si>
    <t>PANETONE PANUTRIR FRUTAS 400G</t>
  </si>
  <si>
    <t>PANETONE PANUTRIR GOTAS CHOC 400G</t>
  </si>
  <si>
    <t>ACAI FROOTY 200 ML PITAYA C/ GRANOLA</t>
  </si>
  <si>
    <t>CAPS NESCAFE DOLCE GUSTO 16 CP CAFE CASEIRO INT</t>
  </si>
  <si>
    <t>CAPS NESCAFE DOLCE GUSTO 16 CP DESN CAFE AU LAIT</t>
  </si>
  <si>
    <t>CÁPSULA NESCAFÉ DOLCE GUSTO CORTADO 16 CP</t>
  </si>
  <si>
    <t>FEIJAO PICININ PREMIUM 2KG</t>
  </si>
  <si>
    <t>LING TOSCANA SEARA KG</t>
  </si>
  <si>
    <t>Creme dental Oral B 100% - 70g</t>
  </si>
  <si>
    <t>Patê de Atum Coqueiro Tradicional/Light Pouch 170g</t>
  </si>
  <si>
    <t>Sardinha Coqueiro Óleo 125g</t>
  </si>
  <si>
    <t>Lava Roupas Líquido Ariel Clássico Refil 700ml</t>
  </si>
  <si>
    <t>Coxa de Frango Assa Fácil Temperada Alho/Cebola/Ervas Sadia 800g</t>
  </si>
  <si>
    <t>CD ORAL B 100 70G</t>
  </si>
  <si>
    <t>LAVA ROUPAS LIQ ARIEL CLASSICO RF 700ML</t>
  </si>
  <si>
    <t>PATE ATUM COQUEIRO LIGHT 170G</t>
  </si>
  <si>
    <t>Z  PATE ATUM COQUEIRO LIGHT 170G</t>
  </si>
  <si>
    <t>COXA FRANGO FACIL SADIA ALHO CEB ERVAS 800G</t>
  </si>
  <si>
    <t>Cerveja Crystal Lata 350ml</t>
  </si>
  <si>
    <t>Fardo c/ 12</t>
  </si>
  <si>
    <t>Leite Fermentado Vigor Tradicional 450g</t>
  </si>
  <si>
    <t>Barra de Cereal Nutry Sabores 66g c/3</t>
  </si>
  <si>
    <t>AMAC YPE ACONCHEGO LV 2L PG 1 6L</t>
  </si>
  <si>
    <t>AMAC YPE NTENSO LV 2L PG 1 6L</t>
  </si>
  <si>
    <t>AMAC YPE TERNURA LV 2L PG1 6L</t>
  </si>
  <si>
    <t>Queijo Mussarela São Leopoldo Pedaço/Fatiado Cada 100g</t>
  </si>
  <si>
    <t>BISC WAFER MARILAN BAUNY 115G</t>
  </si>
  <si>
    <t>BISC WAFER MARILAN BRIGADEIRO 115G</t>
  </si>
  <si>
    <t>BISC WAFER MARILAN CHOC 115G</t>
  </si>
  <si>
    <t>BISC WAFER MARILAN LIMAO 115G</t>
  </si>
  <si>
    <t>BISC WAFER MARILAN MARACUJA 115G</t>
  </si>
  <si>
    <t>BISC WAFER MARILAN MORANGO 115G</t>
  </si>
  <si>
    <t>Z  BISC WAFER MARILAN CHOC SUICO 115G</t>
  </si>
  <si>
    <t>MUSSARELA SAO LEOPOLDO - Fatiado</t>
  </si>
  <si>
    <t>MUSSARELA SAO LEOPOLDO - Pedaço</t>
  </si>
  <si>
    <t>BC NUTRY BANANA CHOC 24X3X22G</t>
  </si>
  <si>
    <t>BC NUTRY CASTANHA CHOC24X3X22G</t>
  </si>
  <si>
    <t>BC NUTRY BOLO CHOC 24X3X22G</t>
  </si>
  <si>
    <t>BC NUTRY BANANA DIET 24X3X22G</t>
  </si>
  <si>
    <t>BC NUTRY AVELA CHOC 24X3X22G</t>
  </si>
  <si>
    <t>BC NUTRY AVEIA BAN MEL24X3X22G</t>
  </si>
  <si>
    <t>BC NUTRY MORANGO CHOC 24X3X22G</t>
  </si>
  <si>
    <t>BC NUTRY COCO CHOC 24X3X22G</t>
  </si>
  <si>
    <t>BC NUTRY FRUTAS VERM 24X3X22G</t>
  </si>
  <si>
    <t>BC NUTRY CAJU CHOC 24X3X22G</t>
  </si>
  <si>
    <t>LEITE FERMENTADO VIGOR 75G - UNIDADE</t>
  </si>
  <si>
    <t>LEITE FERMENTADO VIGOR 75G C6 - PACK</t>
  </si>
  <si>
    <t>COXA SOBRECOXA SANTA CECILIA C/ OSSO</t>
  </si>
  <si>
    <t>Arroz Integral Picinin 1Kg</t>
  </si>
  <si>
    <t>Chinelo Ipanema Oasis Adulto Feminino Cores - (Ref: 26571)</t>
  </si>
  <si>
    <t>ENERGETICO MONSTER ABSOLUTELY ZERO 473ML</t>
  </si>
  <si>
    <t>ENERGETICO MONSTER JUICE MANGO LOCO 473ML</t>
  </si>
  <si>
    <t>ENERGETICO MONSTER LOW CARB 473ML</t>
  </si>
  <si>
    <t>ENERGETICO MONSTER TRAD 473ML</t>
  </si>
  <si>
    <t>ENERGETICO MONSTER ULTRA 473ML</t>
  </si>
  <si>
    <t>ENERGETICO MONSTER ULTRA VIOLET 473ML</t>
  </si>
  <si>
    <t>Z  MONSTER ENERGY KHAOS 473ML LT</t>
  </si>
  <si>
    <t>Aperitivo Campari 900ml</t>
  </si>
  <si>
    <t>APERITIVO CAMPARI 900ML</t>
  </si>
  <si>
    <t>ARROZ INT PICININ 1KG</t>
  </si>
  <si>
    <t>CHINELO IPANEMA OASIS AD ROSA/PRETO</t>
  </si>
  <si>
    <t>CHINELO IPANEMA 26571 OASIS AD RS PRETO</t>
  </si>
  <si>
    <t>ENERGETICO MONSTER DRAGON ICE TEA 473ML</t>
  </si>
  <si>
    <t>ENERGETICO MONSTER ULTRA PARADISE 473ML</t>
  </si>
  <si>
    <t>Atum Coqueiro Ralado Óleo/Natural 170g/Molho de Tomate 160g</t>
  </si>
  <si>
    <t>Fraldas Huggies Tripla Proteção Jumbinho (P/24 - M/18 - G/18 - XG/14 - XXG/12)</t>
  </si>
  <si>
    <t>Ovo de Páscoa Arcor Tortuguita Brigadeiro/Confeito/Formato 120g</t>
  </si>
  <si>
    <t>Água Mineral Sem Gás Crystal Pet 1,5L</t>
  </si>
  <si>
    <t>Frango Inteiro Congelado Santa Cecilia Pacote - Kg</t>
  </si>
  <si>
    <t>VH STA CAROLINA 750 ML ROSE</t>
  </si>
  <si>
    <t>FLD HUGGIES TRIPLA PROT JUMBINHO G C18</t>
  </si>
  <si>
    <t>FLD HUGGIES TRIPLA PROT JUMBINHO M C18</t>
  </si>
  <si>
    <t>FLD HUGGIES TRIPLA PROT JUMBINHO P C24 NE</t>
  </si>
  <si>
    <t>FLD HUGGIES TRIPLA PROT JUMBINHO XG C14</t>
  </si>
  <si>
    <t>FLD HUGGIES TRIPLA PROT JUMBINHO XXG C12</t>
  </si>
  <si>
    <t>ATUM COQUEIRO RAL M TOM 160G</t>
  </si>
  <si>
    <t>Atum Coqueiro Ralado Molho de Tomate 160g</t>
  </si>
  <si>
    <t>OVO PASCOA  ARCOR TORTUGUITA BRIGADEIRO 120G</t>
  </si>
  <si>
    <t>OVO PASCOA  ARCOR TORTUGUITA CONFEITO 120G</t>
  </si>
  <si>
    <t>OVO PASCOA  ARCOR TORTUGUITA FORMATO 120G</t>
  </si>
  <si>
    <t>Desodorante Aerosol Dove 150ml</t>
  </si>
  <si>
    <t>FRANGO INTEIRO COM STA CECILIA</t>
  </si>
  <si>
    <t>AGUA MINERAL CRYSTAL S GAS 1 5L</t>
  </si>
  <si>
    <t>SHAM SEDA 325 ML POS DANOS</t>
  </si>
  <si>
    <t>FRALDA DESC HUGGIES JUMBIN G 20 UM</t>
  </si>
  <si>
    <t xml:space="preserve">LAMP OUROLUX SUPERLED BLISTER 12W BIV 6500K </t>
  </si>
  <si>
    <t>Ovo de Páscoa Arcor Tortuguita Cabeça Maluca Chocolate Ao Leite/Chocolate Branco 120g</t>
  </si>
  <si>
    <t>Chocolate Milka Sabores Tablete 87g/90g/93g/100g</t>
  </si>
  <si>
    <t>CHOC MILKA TUC 87G</t>
  </si>
  <si>
    <t>CHOC MILKA LU 87G</t>
  </si>
  <si>
    <t>CHOC MILKA TRIPLE COCOA 90G</t>
  </si>
  <si>
    <t>CHOC MILKA TRIPLE CARAMEL CHOC 90G</t>
  </si>
  <si>
    <t>CHOC MILKA PEANUT CRISPY CARAMEL 90G</t>
  </si>
  <si>
    <t>CHOC MILKA BUBBLY ALPINE MILK 90G</t>
  </si>
  <si>
    <t>CHOC MILKA COLLAGE RASPBERRY 93G</t>
  </si>
  <si>
    <t>CHOC MILKA COLLAGE CARAMEL 93G</t>
  </si>
  <si>
    <t>CHOC MILKA WHOLE HAZELNUT 100G</t>
  </si>
  <si>
    <t>CHOC MILKA RASPBERRY 100G</t>
  </si>
  <si>
    <t>CHOC MILKA RAISINS NUTS 100G</t>
  </si>
  <si>
    <t>CHOC MILKA OREO BROWNIE 100G</t>
  </si>
  <si>
    <t>CHOC MILKA OREO 100G</t>
  </si>
  <si>
    <t>CHOC MILKA NOISETTE 100G</t>
  </si>
  <si>
    <t>CHOC MILKA HAZELNUT 100G</t>
  </si>
  <si>
    <t>CHOC MILKA HAPPY COWS 100G</t>
  </si>
  <si>
    <t>CHOC MILKA DESERT 100G</t>
  </si>
  <si>
    <t>CHOC MILKA DARK EXTRA COCOA 100G</t>
  </si>
  <si>
    <t>CHOC MILKA DAIM 100G</t>
  </si>
  <si>
    <t>CHOC MILKA CHIPS AHOY 100G</t>
  </si>
  <si>
    <t>CHOC MILKA CHERRY CREAM 100G</t>
  </si>
  <si>
    <t>CHOC MILKA CARAMEL 100G</t>
  </si>
  <si>
    <t>CHOC MILKA BUBBLY COCONUT 100G</t>
  </si>
  <si>
    <t>CHOC MILKA ALPINE WHITE 100G</t>
  </si>
  <si>
    <t>CHOC MILKA ALPINE MILK 100G</t>
  </si>
  <si>
    <t>OVO PASCOA  ARCOR TORTUGUITA  AO LEITE 120G</t>
  </si>
  <si>
    <t>OVO PASCOA  ARCOR TORTUGUITA BRANCO 120G</t>
  </si>
  <si>
    <t>CHOC BR MILKA TB 100 G ERDBEER STRAWBERRY</t>
  </si>
  <si>
    <t>CHOC BR MILKA TB 100 G OREO SANDWICH</t>
  </si>
  <si>
    <t>Fraldas Huggies Tripla Proteção Mega (P/46 - M/42 - G/36 - XG/32 - XXG/32)</t>
  </si>
  <si>
    <t>Extrato de Tomate Elefante Leve Mais Pague Menos Lata 375g</t>
  </si>
  <si>
    <t>Cerveja Amstel Lager Lata 350ml</t>
  </si>
  <si>
    <t>Água de Coco Izzy Tp 200ml</t>
  </si>
  <si>
    <t>Ovo de Páscoa Arcor Authentic Games/Dinossauros/Lucas Neto/Moranguinho/Patrulha Canina/Pet Lovers/Unicórnio 100g</t>
  </si>
  <si>
    <t>Azeite Borges Extra Virgem Clássico 500ml (Acidez Máxima 0,5%)</t>
  </si>
  <si>
    <t>AZEITE EXT VIRGEM BORGES CLASSICO 500ML</t>
  </si>
  <si>
    <t>FLD HUGGIES TRIPLA PROT MEGA P C46</t>
  </si>
  <si>
    <t>FLD HUGGIES TRIPLA PROT MEGA M C42</t>
  </si>
  <si>
    <t>FLD HUGGIES TRIPLA PROT MEGA G C36</t>
  </si>
  <si>
    <t>FLD HUGGIES TRIPLA PROT MEGA XG C32</t>
  </si>
  <si>
    <t>FLD HUGGIES TRIPLA PROT MEGA XXG C32</t>
  </si>
  <si>
    <t>EXTRATO TOM ELEFANTE LV MAIS PG MENOS LATA 375G</t>
  </si>
  <si>
    <t>AGUA DE COCO IZZY TP 200ML</t>
  </si>
  <si>
    <t>OVO PASCOA  ARCOR AUTHENTIC GAMES COPO 100G</t>
  </si>
  <si>
    <t>OVO PASCOA  ARCOR LUCCAS NETO BONECO 100G</t>
  </si>
  <si>
    <t>OVO PASCOA  ARCOR MORANGUINHO CANECA 100G</t>
  </si>
  <si>
    <t>OVO PASCOA  ARCOR PATRULHA CANINA LANTERNA 100G</t>
  </si>
  <si>
    <t>OVO PASCOA  ARCOR PET LOVERS CANECA 100G</t>
  </si>
  <si>
    <t>OVO PASCOA  ARCOR UNICORNIO SLIME 100G</t>
  </si>
  <si>
    <t xml:space="preserve">KIT PANTENE SH 400ML COND 175ML HIDRATACAO </t>
  </si>
  <si>
    <t>KIT PANTENE SH 400ML COND 175ML MICELAR</t>
  </si>
  <si>
    <t>KIT PANTENE LIZO EXTREMO SHAM + COND</t>
  </si>
  <si>
    <t>KIT PANTENE RESTAURACAO SHAM + COND</t>
  </si>
  <si>
    <t>CHOCOLATE LACTA BUBBLY AO LEITE 110G</t>
  </si>
  <si>
    <t>Filé de Merluza Iglu Pacote 800g</t>
  </si>
  <si>
    <t>Vodka Finlandia Tradicional 1L</t>
  </si>
  <si>
    <t>Chocolate Arcor Barra Sabores 80g (Exceto Amargo 70%/Amargo 53% com Laranja/Zero Lactose)</t>
  </si>
  <si>
    <t xml:space="preserve">Clube Das Ofertas - </t>
  </si>
  <si>
    <t>VODKA FINLANDIA CLASSIC 1L</t>
  </si>
  <si>
    <t>FILE MERLUZA IGLU PCT 800G</t>
  </si>
  <si>
    <t>WHISKEY JACK DANIELS APPLE 1L</t>
  </si>
  <si>
    <t>WHISKEY JACK DANIELS FIRE 1L</t>
  </si>
  <si>
    <t>WHISKY JACK DANIELS 1L</t>
  </si>
  <si>
    <t>Refrigerante It 2L</t>
  </si>
  <si>
    <t>Whiskey Jack Daniel´s Apple/Fire/Old Nº7 - 1L</t>
  </si>
  <si>
    <t>REF IT COLA PET 2L</t>
  </si>
  <si>
    <t>REF IT GUARANA PET 2L</t>
  </si>
  <si>
    <t>REF IT LARANJA PET 2L</t>
  </si>
  <si>
    <t>REF IT LEMON ICE PET 2L</t>
  </si>
  <si>
    <t>REF IT LIMAO PET 2L</t>
  </si>
  <si>
    <t>LEITE UHT ZLACTOSE SEMI PIRACANJUBA TP 1L  CAIXA COM 12 UNIDADES</t>
  </si>
  <si>
    <t>Ketchup Fugini Tradiconal Frasco 400g</t>
  </si>
  <si>
    <t>LEITE PO INTEGRAL PIRACANJUBA 400G</t>
  </si>
  <si>
    <t>LEITE PO INT INST PIRACANJUBA 400G</t>
  </si>
  <si>
    <t>RACAO FRISKIES S SABOROSA MIX CARNE 1KG</t>
  </si>
  <si>
    <t>RACAO FRISKIES PEIXES FRUTOS DO MAR 1KG</t>
  </si>
  <si>
    <t>RACAO FRISKIES MEGAMIX CASTRADOS 1KG</t>
  </si>
  <si>
    <t>RACAO FRISKIES FRANGO 1KG</t>
  </si>
  <si>
    <t>RACAO FRISKIES ATUM 1KG</t>
  </si>
  <si>
    <t>WHISKEY JACK DANIELS HONEY 1L</t>
  </si>
  <si>
    <t>Coxa e Sobrecoxa de Frango com Osso Congelado do Sítio Pacote - Kg</t>
  </si>
  <si>
    <t>Whiskey Jack Daniel´s Apple/Fire/Old Nº7/Honey 1L</t>
  </si>
  <si>
    <t>Suco de Uva Del Valle 100% Uva 1,5L</t>
  </si>
  <si>
    <t>Requeijão Frimesa Tradicional/Light 200g</t>
  </si>
  <si>
    <t xml:space="preserve">Salame Italiano Sadia Peça - Kg </t>
  </si>
  <si>
    <t xml:space="preserve">Arroz Empório São João Tipo 1 - 5Kg </t>
  </si>
  <si>
    <t>Creme de Avelã Nutella 350g</t>
  </si>
  <si>
    <t>Bebida Láctea Uht Matilat Chocolate Tp 200ml</t>
  </si>
  <si>
    <t>RACAO FRISKIES 1 KG FILHOTES</t>
  </si>
  <si>
    <t>Cerveja Eisenbahn Pilsen Caixa com 6 Garrafas de 600ml</t>
  </si>
  <si>
    <t>ARROZ EMPORIO SAO JOAO 5KG</t>
  </si>
  <si>
    <t>CREME DE AVELA NUTELLA 350G</t>
  </si>
  <si>
    <t>REQUEIJAO FRIMESA 200G</t>
  </si>
  <si>
    <t>REQUEIJAO FRIMESA LIGHT 200G</t>
  </si>
  <si>
    <t>BEB LAC CHOC MATILAT TP 200 ML</t>
  </si>
  <si>
    <t>SUCO DE UVA INT DEL VALLE 1 5L</t>
  </si>
  <si>
    <t>AMAC CONC DOWNY SENSITIVE 450ML</t>
  </si>
  <si>
    <t>SALAME ITALIANO SADIA PEÇA</t>
  </si>
  <si>
    <t>120 Unidades</t>
  </si>
  <si>
    <t>AMAC CONC DOWNY AGUA COCO 450ML</t>
  </si>
  <si>
    <t>AMAC CONC DOWNY COCO MENTA 450ML</t>
  </si>
  <si>
    <t>AMAC CONC DOWNY ROMA BAUNILHA 450ML</t>
  </si>
  <si>
    <t>10 Fardos</t>
  </si>
  <si>
    <t>Molho de Tomate Olé Tradicional Sachê 340g</t>
  </si>
  <si>
    <t>DUCHA ELÉTRICA 4 TEMPERATURAS BELLA DUCHA 4T LORENZETTI 127V</t>
  </si>
  <si>
    <t>CHUVEIRO BELLA DUCHA 4T 6800W BRANCO 220V LORENZETTI</t>
  </si>
  <si>
    <t>MOLHO TOM OLE TRAD SCH 340G</t>
  </si>
  <si>
    <t>VODKA VORUS 1L</t>
  </si>
  <si>
    <t>FLD PAMPERS CONFORT SEC BAG M C70</t>
  </si>
  <si>
    <t>FLD PAMPERS CONFORT SEC BAG G 60</t>
  </si>
  <si>
    <t>FLD PAMPERS CONFORT SEC BAG XG 58</t>
  </si>
  <si>
    <t xml:space="preserve">Leite Condensado Piracanjuba Tp 395g </t>
  </si>
  <si>
    <t>FLD PAMPERS CONFORT SEC BAG P C72</t>
  </si>
  <si>
    <t>FLD PAMPERS CONFORT SEC BAG XXG 56</t>
  </si>
  <si>
    <t>Leite Condensado Frimesa Tp 395g</t>
  </si>
  <si>
    <t>SALSICHA SADIA KG</t>
  </si>
  <si>
    <t>Fatiado</t>
  </si>
  <si>
    <t>Peça</t>
  </si>
  <si>
    <t>OLEO DE SOJA CONCORDIA PET 900ML</t>
  </si>
  <si>
    <t>Óleo de Girassol Liza Pet 900ml</t>
  </si>
  <si>
    <t>Azeitona Verde Com Caroço Tozzi Vidro 500g</t>
  </si>
  <si>
    <t>Pão de Mel Pan 200g</t>
  </si>
  <si>
    <t xml:space="preserve">Massa Fresca Para Lasanha Massa Da Feira 500g </t>
  </si>
  <si>
    <t>Hambúrguer Bovino Mr. Beef c/12 - 672g</t>
  </si>
  <si>
    <t>AZEITONA VERDE TOZZI C CAR VD 500G</t>
  </si>
  <si>
    <t>Café Caboclo Extr Forte Vácuo 500g</t>
  </si>
  <si>
    <t>PAO DE MEL PAN 200G</t>
  </si>
  <si>
    <t>MASSA DE LASANHA MASSA DA FEIRA 500G</t>
  </si>
  <si>
    <t>HAMB BOV MISTER BEEF  672G</t>
  </si>
  <si>
    <t>Vodka Smirnoff 998ml</t>
  </si>
  <si>
    <t>OLEO DE GIRASSOL LIZA 900ML</t>
  </si>
  <si>
    <t>Óleo Composto Maria Tradicional Pet 500ml</t>
  </si>
  <si>
    <t>OLEO COMPOSTO MARIA TRAD PET 500ML</t>
  </si>
  <si>
    <t>Cerveja Heineken Long Neck 330ml</t>
  </si>
  <si>
    <t>Desodorante Aerosol Rexona 150ml</t>
  </si>
  <si>
    <t>Óleo de Canola Liza Pet 900ml</t>
  </si>
  <si>
    <t>Pão de Queijo Congelado Forno de Minas Lanche/Coquetel 1Kg</t>
  </si>
  <si>
    <t>OLEO DE CANOLA LIZA 900ML</t>
  </si>
  <si>
    <t>PAO DE QUEIJO LANCHE FORNO DE MINAS 1KG</t>
  </si>
  <si>
    <t>PAO DE QUEIJO COQ FORNO DE MINAS  1KG</t>
  </si>
  <si>
    <t>PAO DE QUEIJO FORNO DE MINAS COQ 1KG</t>
  </si>
  <si>
    <t>Pão de Forma Pullman Tradicional 480g</t>
  </si>
  <si>
    <t>Chocolate Lacta Sabores Tablete 90g/110g</t>
  </si>
  <si>
    <t>Pão de Mel Pan 100g</t>
  </si>
  <si>
    <t>Desodorante Aerosol Old Spice 150ml</t>
  </si>
  <si>
    <t>PAO DE MEL PAN 100G</t>
  </si>
  <si>
    <t>HAMB BOVINO PERDIGAO 672G</t>
  </si>
  <si>
    <t>DEO AERO OLD SPICE CABRA MACHO 150ML</t>
  </si>
  <si>
    <t>DEO AERO OLD SPICE LENHA 150ML</t>
  </si>
  <si>
    <t>DEO AERO OLD SPICE MAR PROF 150ML</t>
  </si>
  <si>
    <t>DEO AERO OLD SPICE MATADOR 150ML</t>
  </si>
  <si>
    <t>DEO AERO OLD SPICE PEGADOR 150ML</t>
  </si>
  <si>
    <t>DEO AERO OLD SPICE VIP 150ML</t>
  </si>
  <si>
    <t>PAO DE FORMA PULLMAN TRAD 480G</t>
  </si>
  <si>
    <t>Amaciante Concentrado Downy 450ml/500ml</t>
  </si>
  <si>
    <t>Carne Bovina Fraldinha Frigol Embalada – Kg</t>
  </si>
  <si>
    <t>CARNE BOVINA FRALDINHA FRIGOL</t>
  </si>
  <si>
    <t>SH SEDA COLAGENO VITAMINA C 325ML</t>
  </si>
  <si>
    <t>COND SEDA COLAGENO VITAMINA C 325ML</t>
  </si>
  <si>
    <t>ATUM COQUEIRO RAL M TOM  160G</t>
  </si>
  <si>
    <t>Whiskey Jack Daniel´s Old Nº7/Honey 1L</t>
  </si>
  <si>
    <t>Vinho Argentino Nieto Senetiner Reserva Malbec/Cabernet Sauvignon 750ml</t>
  </si>
  <si>
    <t xml:space="preserve">Leite Uht Nestlé Ninho Zero Lactose Integral/Molico Zero Lactose Desnatado Tp 1L </t>
  </si>
  <si>
    <t xml:space="preserve">Arroz Empório São João Tipo 1 - 2Kg </t>
  </si>
  <si>
    <t>VH ARG NIETO SENETINER MALBEC 750ML</t>
  </si>
  <si>
    <t>VH ARG NIETO SENETINER MALBEC DOC 750ML</t>
  </si>
  <si>
    <t>VH ARG NIETO SENETINER CAB SAU 750ML</t>
  </si>
  <si>
    <t>ARROZ EMPORIO SAO JOAO 2KG</t>
  </si>
  <si>
    <t>WHISKY JACK DANIELS OLD 1L</t>
  </si>
  <si>
    <t>Cápsula de Café Pilão Cartucho com 10 Unidades</t>
  </si>
  <si>
    <t>Kit Vinho Espanhol Pata Negra Oro Tempranillo 750ml + Grátis 1 Decanter</t>
  </si>
  <si>
    <t xml:space="preserve">Hambúrguer Bovino Sadia 672g </t>
  </si>
  <si>
    <t xml:space="preserve">Bombom Montevérgine Cereja ao Licor 94g/Cereja Picada 100g/Cereja Picada sem Álcool 100g                                                                                                                                                                                                                                           </t>
  </si>
  <si>
    <t>CHOC MMS AO LEITE POUCH 148G</t>
  </si>
  <si>
    <t>CHOC MMS COM AMENDOIM POUCH 148G</t>
  </si>
  <si>
    <t>BOMBOM MONTEVERGINE DE CEREJA AO LICOR 94G</t>
  </si>
  <si>
    <t>BOMBOM MONTEVERGINE LICOR CEREJAS PICADAS 100G</t>
  </si>
  <si>
    <t>BOMBOM MONTEVERGINE CEREJAS PICADAS S ALCOOL 100G</t>
  </si>
  <si>
    <t>KIT VH ESP PATA NEGRA ORO TEMP DECANTER 750ML</t>
  </si>
  <si>
    <t>CAPSULA PILAO ESP LUNGO 10 52G C10</t>
  </si>
  <si>
    <t>CAPSULA PILAO ESP LUNGO 6 52G C10</t>
  </si>
  <si>
    <t>CAPSULA PILAO ESP LUNGO 8 52G C10</t>
  </si>
  <si>
    <t>CAPSULA PILAO ESPRESSO 10 52G C10</t>
  </si>
  <si>
    <t>CAPSULA PILAO ESPRESSO 12 52G C10</t>
  </si>
  <si>
    <t>CAPSULA PILAO ESPRESSO 7 52G C10</t>
  </si>
  <si>
    <t>HAMB BOVINO SADIA 672G</t>
  </si>
  <si>
    <t>Carne Bovina Maminha Frigol Peça Embalada - Kg</t>
  </si>
  <si>
    <t>MAMINHA FRIGOL PEÇA EMBALADA</t>
  </si>
  <si>
    <t>ACHOC NESCAU 2 0 LATA 400G</t>
  </si>
  <si>
    <t>KIT VH ESP PATA NEGRA ORO DECANTER 750ML</t>
  </si>
  <si>
    <t>Chocolate Twix Caramelo 40g/Triplo Chocolate 40g</t>
  </si>
  <si>
    <t>CHOC TWIX CARAMELO 40G</t>
  </si>
  <si>
    <t xml:space="preserve">CHOC TWIX TRIPLO CHOCOLATE  40G </t>
  </si>
  <si>
    <t>-</t>
  </si>
  <si>
    <t>Queijo Mussarela Piloto Pedaço/Fatiado cada 100g</t>
  </si>
  <si>
    <t>Feijão Preto Felgran Nobre 1Kg</t>
  </si>
  <si>
    <t>Barra de Cereal Nutry Muito Mais Sabores 60g/66g c/3</t>
  </si>
  <si>
    <t>Garrafa Térmica Termolar Personal Rolha Clean Preta/Vermelha 1L - (Ref: 54967/55822)</t>
  </si>
  <si>
    <t>Tapete Higiênico Sanol Dog c/7</t>
  </si>
  <si>
    <t>BARRA CEREAL NUTRY M MAIS BANANA 66G C3</t>
  </si>
  <si>
    <t>BARRA CEREAL NUTRY M MAIS CASTANHA 66G C3</t>
  </si>
  <si>
    <t>BARRA CEREAL NUTRY M MAIS TRUFA 60G C3</t>
  </si>
  <si>
    <t>GRF TERMICA R C PERSONAL PRETA 1L REF 54967</t>
  </si>
  <si>
    <t>GRF TERMICA R C PERSONAL VERMELHA 1L REF 55822</t>
  </si>
  <si>
    <t>TAPETE HIG SANOL DOG C7</t>
  </si>
  <si>
    <t>FEIJAO PRETO FELGRAN 1KG</t>
  </si>
  <si>
    <t>RACAO QUALIDY CAES AD ORIG CARNE FGO 1KG</t>
  </si>
  <si>
    <t xml:space="preserve">Vinho Argentino Benjamin Nieto 750ml </t>
  </si>
  <si>
    <t>VH ARG BENJAMIN NIETO MALBEC 750ML</t>
  </si>
  <si>
    <t>VH ARG BENJAMIN NIETO CAB SAUV 750ML</t>
  </si>
  <si>
    <t>Requeijão Catupiry Tradicional/Light Copo 200g</t>
  </si>
  <si>
    <t>Whisky Chivas Regal 12 Anos 1L</t>
  </si>
  <si>
    <t>Conjunto com 2 Ketchup Tradicional Predilecta 400g + 1 Mostarda Predilecta 180g</t>
  </si>
  <si>
    <t>CONJ 2 KETCHUP TRAD 400G 1 MOSTARD 180G PREDILECTA</t>
  </si>
  <si>
    <t>REQUEIJAO LIGHT CATUPIRY CP 200G</t>
  </si>
  <si>
    <t>REQUEIJAO TRAD CATUPIRY CP 200G</t>
  </si>
  <si>
    <t>CAPPUCCINO MELITTA TRADICIONAL 200G</t>
  </si>
  <si>
    <t>CAPPUCCINO MELITTA CHOCOLATE 200G</t>
  </si>
  <si>
    <t>Iogurte Polpa Paulista Bandeja Sabores c/6 - 510g</t>
  </si>
  <si>
    <t>Batata Mister Potato Sabores 100g</t>
  </si>
  <si>
    <t>AMAC CONC PAIXÃO DOWNY 450ML</t>
  </si>
  <si>
    <t>AMAC DOWNY SPORTS FRASCO 450ML</t>
  </si>
  <si>
    <t>WHISKY BALLANTINE´S 12 ANOS 1L</t>
  </si>
  <si>
    <t>IOG  POLPA PAULISTA COCO 510G</t>
  </si>
  <si>
    <t>IOG POLPA PAULISTA FEST FRUTAS 510G</t>
  </si>
  <si>
    <t xml:space="preserve">BATATA MR POTATO BARBECUE </t>
  </si>
  <si>
    <t>BATATA MR POTATO CREME CEBOLA 100G</t>
  </si>
  <si>
    <t>BATATA MR POTATO ORIGINAL 100G</t>
  </si>
  <si>
    <t xml:space="preserve">BATATA MR POTATO PIZZA 100G </t>
  </si>
  <si>
    <t xml:space="preserve">BATATA MR POTATO QUEIJO 100G </t>
  </si>
  <si>
    <t>TOMATES PELADOS EM CUBOS OLE 240G</t>
  </si>
  <si>
    <t>TOMATES PELADOS INTEIROS OLE 240G</t>
  </si>
  <si>
    <t>WHISKY BALLANTINE´S 12 ANOS 1L - Caixa</t>
  </si>
  <si>
    <t>Sardinha Pescador Óleo/Molho de Tomate 125g</t>
  </si>
  <si>
    <t xml:space="preserve">Molho de Tomate Fugini Tradicional Sachê 300g </t>
  </si>
  <si>
    <t>MOLHO TOM TRADICIONAL FUGINI 300G</t>
  </si>
  <si>
    <t>Desodorizador de Ambiente Glade 360ml Oferta Especial</t>
  </si>
  <si>
    <t>GLADE AERO FRESCOR AGUAS FLORAIS OF ESPECIAL 360ML</t>
  </si>
  <si>
    <t>GLADE AERO LAVANDA OF ESPECIAL 360ML</t>
  </si>
  <si>
    <t>GLADE AERO LEMB INFANCIA OF ESPECIAL 360ML</t>
  </si>
  <si>
    <t>L ROUPAS LIQ ARIEL 1 2L CONC SV GENTIL</t>
  </si>
  <si>
    <t>Milho Verde Fugini Sachê 170g</t>
  </si>
  <si>
    <t>Sorvete Kibon Cremosíssimo 4 em 1 Chocolate/ Tropical/ Morango/ Napolitano Especial 2L</t>
  </si>
  <si>
    <t>Barra de Frutas Nutry Sabores 60g c/3</t>
  </si>
  <si>
    <t>Peito de Frango com Osso Congelado Sta. Cecília Pacote – Kg</t>
  </si>
  <si>
    <t>BARRA FRUTAS NUTRY MORANGO/CHOC 60G C3</t>
  </si>
  <si>
    <t>BARRA FRUTAS NUTRY BANANA/CHOC 60G C3</t>
  </si>
  <si>
    <t>SORV KIBON CREMOSISSIMO 4 EM 1 CHOC 2L</t>
  </si>
  <si>
    <t>SORVETE KIBON 4EM1 TROPICAL 2L</t>
  </si>
  <si>
    <t>SORV KIBON CREMOSISSIMO 4 EM 1 2L</t>
  </si>
  <si>
    <t>SORV KIBON CREMOSISSIMO NAPOLITANO ESPECIAL 2L</t>
  </si>
  <si>
    <t>Filé de Peito de Frango Congelado Sta. Cecília Pacote - Kg</t>
  </si>
  <si>
    <t>Coxa e Sobrecoxa de Frango Sem Osso Congelado Sta. Cecília Pacote - Kg</t>
  </si>
  <si>
    <t>Coxinha da Asa de Frango Congelada Sta. Cecília Pacote - Kg</t>
  </si>
  <si>
    <t>Coxa e Sobrecoxa de Frango Com Osso Congelado Sta. Cecília Pacote - Kg</t>
  </si>
  <si>
    <t>MILHO VERDE FUGINI SACHÊ 170G</t>
  </si>
  <si>
    <t xml:space="preserve">BARRA FRUTAS NUTRY FRUTAS COCO CHOC 57G </t>
  </si>
  <si>
    <t>Lava Roupas Líquido Ariel Concentrado Tradicional/Toque de Downy/Sensitive 1,2L</t>
  </si>
  <si>
    <t>Bombom Arcor Tortuguita Mix Caixa 155g</t>
  </si>
  <si>
    <t xml:space="preserve">Chinelo Cartago Dakar Masculino Cores - (Ref: 10738) </t>
  </si>
  <si>
    <t>BOMBOM ARCOR TORTUGUITA MIX 155G</t>
  </si>
  <si>
    <t>CHINELO IPANEMA CARTAGO DAKAR 10738</t>
  </si>
  <si>
    <t>HAMB BOVINO DEF PERDIGAO 672G</t>
  </si>
  <si>
    <t xml:space="preserve">KIT PANTENE SH 400ML COND 175ML BAMBU </t>
  </si>
  <si>
    <t xml:space="preserve">Cerveja Itaipava Pilsen Lata 350ml </t>
  </si>
  <si>
    <t>Pão de Queijo Congelado Forno de Minas Lanche/Coquetel/ Tradicional 1Kg</t>
  </si>
  <si>
    <t>PAO DE QUEIJO FORNO MINAS TRAD 1KG</t>
  </si>
  <si>
    <t xml:space="preserve">DEO DOVE 87G GO FRESH PERA E ALOE VERA </t>
  </si>
  <si>
    <t>DEO DOVE 87G GO FRESH AMORA E FLOR LOTUS</t>
  </si>
  <si>
    <t>VH BRA SALTON CLASSIC T SUAVE 750ML</t>
  </si>
  <si>
    <t>Iogurte Líquido Paulista Morango 850g</t>
  </si>
  <si>
    <t>IOG LIQ PAULISTA MORANGO 850G</t>
  </si>
  <si>
    <t>Torta de Frango com Requeijão Sadia 500g</t>
  </si>
  <si>
    <t>Filé de Frango à Parmegiana Seara 500g</t>
  </si>
  <si>
    <t>Chuveiro Lorenzetti Maxi Ducha 127V/220V 5500W</t>
  </si>
  <si>
    <t>LAVA ROUPAS PÓ OMO LAVAGEM PERFEITA 1,6KG</t>
  </si>
  <si>
    <t>Lava Roupas em Pó Omo Lavagem Perfeita 1,6Kg</t>
  </si>
  <si>
    <t>TORTA SADIA FRANGO CATUPIRY 500G</t>
  </si>
  <si>
    <t>FILE FRANGO PARMEGIANA SEARA 500G</t>
  </si>
  <si>
    <t>CHUV LORENZETTI MAXI DUCHA 127V 5500W BLISTER</t>
  </si>
  <si>
    <t>CHUV LORENZETTI MAXI DUCHA 220V 5500W BLISTER</t>
  </si>
  <si>
    <t xml:space="preserve">LAVA ROUPAS PO OMO LAVAGEM PERFEITA 1,6KG GTS 150G </t>
  </si>
  <si>
    <t>Óleo de Milho Liza Pet 900ml</t>
  </si>
  <si>
    <t xml:space="preserve">Inseticida Aerosol Raid Multi Insetos Base Água/Citronela/Eucalipto 300ml+120ml </t>
  </si>
  <si>
    <t>Vinho Português do Porto Valdouro Tinto Ruby/Tawny 750ml</t>
  </si>
  <si>
    <t>OLEO DE MILHO LIZA 900ML</t>
  </si>
  <si>
    <t>VH PORT VALDOURO TT RUBY 750ML</t>
  </si>
  <si>
    <t>VH PORT VALDOURO TT TAWNY 750ML</t>
  </si>
  <si>
    <t>INSET AERO RAID CITRONELA 300G120ML</t>
  </si>
  <si>
    <t>INSET AERO RAID MULTINSETOS B AGUA 300G120ML</t>
  </si>
  <si>
    <t>INSET AERO RAID MULTINSETOS EUCALIPTO 300G120ML</t>
  </si>
  <si>
    <t>Refrigerante Pepsi Cola Tradicional Pet 2L</t>
  </si>
  <si>
    <t>REF PEPSI PET 2LT</t>
  </si>
  <si>
    <t>AMACIANTE CONC DOWNY MÍSTICO 450ML</t>
  </si>
  <si>
    <t>Whisky Johnnie Walker Red Label 1L</t>
  </si>
  <si>
    <t>Gin Tanqueray London Dry 750ml</t>
  </si>
  <si>
    <t>Achocolatado em Pó Nescau 2.0 Sachê 730g</t>
  </si>
  <si>
    <t>ACHOC NESCAU 2 0 SCH 730G</t>
  </si>
  <si>
    <t>VH ITA FRISANTE CELLA LAMB BRANCO 750ML</t>
  </si>
  <si>
    <t>VH ITA FRISANTE CELLA LAMB ROSE 750ML</t>
  </si>
  <si>
    <t>VH ITA FRISANTE CELLA LAMB TINTO 750ML</t>
  </si>
  <si>
    <t>WHISKY JOHNNIE WALKER RED LABEL 1L</t>
  </si>
  <si>
    <t>GIN LONDON DRY TANQUERAY 750ML</t>
  </si>
  <si>
    <t>Pão de Alho Zinho Baguete Tradicional/Picante 300g</t>
  </si>
  <si>
    <t>PAO DE ALHO BAGUETE ZINHO PICANTE 300G</t>
  </si>
  <si>
    <t>PAO DE ALHO BAGUETE ZINHO TRAD 300G</t>
  </si>
  <si>
    <t>NESCAFE D GUSTO LATE MACCHIATO 180G</t>
  </si>
  <si>
    <t>NESCAFE D GUSTO CAFE CASEIRO 128G</t>
  </si>
  <si>
    <t>Whisky White Horse 1L</t>
  </si>
  <si>
    <t>Whisky Johnnie Walker Black Label 1L</t>
  </si>
  <si>
    <t>WHISKY WHITE HORSE 1L</t>
  </si>
  <si>
    <t>VODKA SMIRNOFF RED N21 998ML</t>
  </si>
  <si>
    <t>WHISKY JOHNNIE WALKER BLACK LABEL 1L</t>
  </si>
  <si>
    <t>Papel Higiênico Neve Neutro Supreme F/T 20m c/4</t>
  </si>
  <si>
    <t>AMACIANTE CONC DOWNY LIBERDADE 450ML</t>
  </si>
  <si>
    <t>Filtro de Papel Descartável Melitta 103 c/30</t>
  </si>
  <si>
    <t>Panettone Parati Brigadeiro/Chocolate/Frutas Sachê 450g/500g</t>
  </si>
  <si>
    <t>Refrigerante Guaraná Antarctica Tradicional 2L</t>
  </si>
  <si>
    <t>SUCO LIFE LARANJA 900ML</t>
  </si>
  <si>
    <t>REF GUARANA ANTARCTICA TRAD 2L</t>
  </si>
  <si>
    <t>FILTRO DE PAPEL MELITTA GRANDE 103 C30</t>
  </si>
  <si>
    <t>Atum Coqueiro Sólido Óleo 170g</t>
  </si>
  <si>
    <t xml:space="preserve">Suco de Laranja Ambiente Natural One 900ml </t>
  </si>
  <si>
    <t>SUCO AMB NATURAL ONE LARANJA 900ML</t>
  </si>
  <si>
    <t>Cloro Granulado Genco 3 em 1 - 7,5Kg</t>
  </si>
  <si>
    <t>Leite Lider Uht Integral/Desnatado/Semidesnatado 1L</t>
  </si>
  <si>
    <t>Chocolate Snickers 45g/Snickers Dark 42g/Snickers Pé de Moleque 42g</t>
  </si>
  <si>
    <t xml:space="preserve">Amaciante Mon Bijou 2L </t>
  </si>
  <si>
    <t>LEITE UHT LIDER DESNATADO 1L</t>
  </si>
  <si>
    <t>LEITE UHT LIDER INTEGRAL 1L</t>
  </si>
  <si>
    <t>LEITE UHT LIDER SEMI DESN 1L</t>
  </si>
  <si>
    <t>CHOC SNICKERS 45G</t>
  </si>
  <si>
    <t>CHOC SNICKERS DARK 42G</t>
  </si>
  <si>
    <t>CHOC SNICKERS PE DE MOLEQUE 42G</t>
  </si>
  <si>
    <t>AMAC MON BIJOU BABY 2L</t>
  </si>
  <si>
    <t>AMAC MON BIJOU HARMONIA 2L</t>
  </si>
  <si>
    <t>AMAC MON BIJOU INTENSE 2L</t>
  </si>
  <si>
    <t>AMAC MON BIJOU MAGIA 2L</t>
  </si>
  <si>
    <t>AMAC MON BIJOU NATUREZA 2L</t>
  </si>
  <si>
    <t>LAVA LOUCAS LIQ LIMPOL LIMAO 500ML</t>
  </si>
  <si>
    <t>LAVA LOUCAS LIQ LIMPOL MACA 500ML</t>
  </si>
  <si>
    <t>LAVA LOUCAS LIQ LIMPOL NEUTRO 500ML</t>
  </si>
  <si>
    <t>LAVA LOUCAS LIQ LIMPOL COCO 500ML</t>
  </si>
  <si>
    <t>LAVA LOUCAS LIQ LIMPOL CRISTAL 500ML</t>
  </si>
  <si>
    <t>CLORO GRANULADO GENCO MULTIPLA ACAO 3X1 7 5KG</t>
  </si>
  <si>
    <t>BATATA MCCAIN SMILES 500G</t>
  </si>
  <si>
    <t>LEITE UHT LIDER DESNATADO 1L CX 12UN</t>
  </si>
  <si>
    <t xml:space="preserve">LEITE UHT LIDER INTEGRAL 1L CX 12UN </t>
  </si>
  <si>
    <t>LEITE UHT LIDER SEMI DESN 1L CX 12UN</t>
  </si>
  <si>
    <t xml:space="preserve">LAVA LOUCAS LIQ LIMPOL JABUTICABA 500ML </t>
  </si>
  <si>
    <t>LAVA LOUCAS LIQ LIMPOL LAVANDA 500ML</t>
  </si>
  <si>
    <t xml:space="preserve">VINHO CHI CAS DEL DIABLO PEDRO JIMENEZ 750ML </t>
  </si>
  <si>
    <t>Macarrão Renata Trigo Duro Fusilli/Penne/Linguine/Spaghetti 500g</t>
  </si>
  <si>
    <t>Salame Frimesa Italiano Peça Fechada - Kg</t>
  </si>
  <si>
    <t>Batata Palha Yoki Tradicional Leve 105g Pague 90g</t>
  </si>
  <si>
    <t>Creme Dental Colgate Máxima Proteção Anticáries 90g</t>
  </si>
  <si>
    <t>CR DENTAL COLGATE MPA 90G</t>
  </si>
  <si>
    <t>MAC T DURO RENATA FUSILLI 500G</t>
  </si>
  <si>
    <t>MAC T DURO RENATA LINGUINE 500G</t>
  </si>
  <si>
    <t>MAC T DURO RENATA PENNE 500G</t>
  </si>
  <si>
    <t>MAC T DURO RENATA SPAG 10 500G</t>
  </si>
  <si>
    <t>MAC T DURO RENATA SPAG 8 500G</t>
  </si>
  <si>
    <t>SALAME FRIMESA ITALIANO KG</t>
  </si>
  <si>
    <t>BATATA PALHA TRADICIONAL YOKI LV105 PG 90G</t>
  </si>
  <si>
    <t>Linguiça Toscana Na Brasa Perdigão - Kg</t>
  </si>
  <si>
    <t>INSET MAT INSET MULTI S CHEIRO 360ML GTS 33</t>
  </si>
  <si>
    <t>Lâmpada Lorenzetti Led 12W 6500K Bivolt</t>
  </si>
  <si>
    <t>LAMP LORENZETTI LED 12W 6500K BIVOLT</t>
  </si>
  <si>
    <t>Amaciante Concentrado Downy Brisa de Verão Leve 500ml Pague 450ml</t>
  </si>
  <si>
    <t>FEIJAO CARIOCA FELGRAN 2KG</t>
  </si>
  <si>
    <t>AMAC DOWNY BRISA DE VERAO LV500ML PG 450ML</t>
  </si>
  <si>
    <t>PANETTONE CASA SUICA FRUTAS 400G</t>
  </si>
  <si>
    <t>PANETTONE CASA SUICA GOTAS CHOCOLATE 400G</t>
  </si>
  <si>
    <t>Margarina Delícia Tradicional com Sal/Sem Sal 500g</t>
  </si>
  <si>
    <t>CERVEJA HEINEKEN BARRIL 5L</t>
  </si>
  <si>
    <t>MARGARINA DELICIA C SAL 500G</t>
  </si>
  <si>
    <t>MARGARINA DELICIA S SAL 500G</t>
  </si>
  <si>
    <t>AMENDOIM JAPONES DORI 500G</t>
  </si>
  <si>
    <t>Chocolate Snickers 45g/Snickers Dark 42g</t>
  </si>
  <si>
    <t>MOLHO TOM PREDILECTA REFOGADO SCH 300G</t>
  </si>
  <si>
    <t>Cerveja Heineken Zero Álcool Long Neck 330ml</t>
  </si>
  <si>
    <t>Kit 2 Cervejas Alemã Paulaner e um Copo Exclusivo</t>
  </si>
  <si>
    <t>Whisky J&amp;B Rare 1L</t>
  </si>
  <si>
    <t>Limpador Perfumado Sanol 500ml</t>
  </si>
  <si>
    <t>Inseticida Aerosol Baygon 360ml</t>
  </si>
  <si>
    <t>Petit Suisse Nestlé Chambinho Morango Bandeja c/8 - 320g</t>
  </si>
  <si>
    <t>WHISKY J B RARE 1L</t>
  </si>
  <si>
    <t>LIMP PERF SANOL INTENSE CITRIC FLOWERS 500ML</t>
  </si>
  <si>
    <t>LIMP PERF SANOL INTENSE GREEN FLOWER 500ML</t>
  </si>
  <si>
    <t>LIMP PERF SANOL INTENSE JASMINE 500ML</t>
  </si>
  <si>
    <t>LIMP PERF SANOL INTENSE LAVANDER 500ML</t>
  </si>
  <si>
    <t>LIMP PERF SANOL INTENSE ROSE PETALS 500ML</t>
  </si>
  <si>
    <t>KIT PAULANER C COPO</t>
  </si>
  <si>
    <t>PETIT SUISSE CHAMBINHO MORANCO C8 40G</t>
  </si>
  <si>
    <t>Molho de Tomate Predilecta Sachê 300g</t>
  </si>
  <si>
    <t>Cerveja Heineken Barril Keg 5L</t>
  </si>
  <si>
    <t xml:space="preserve">Biscoito Marilan Água e Sal/Cream Cracker/Leite/Maizena/Maria 350g </t>
  </si>
  <si>
    <t>Lâmpada Lorenzetti Led 9W 6500K Bivolt</t>
  </si>
  <si>
    <t>BISC AGUA E SAL MARILAN 350G</t>
  </si>
  <si>
    <t>BISC CREAM CRACKER MARILAN 350G</t>
  </si>
  <si>
    <t>BISC LAMINADO MARILAN LEITE 350G</t>
  </si>
  <si>
    <t>BISC LAMINADO MARILAN MARIA 350G</t>
  </si>
  <si>
    <t>LAMP LORENZETTI LED 9W 6500K BIVOLT</t>
  </si>
  <si>
    <t xml:space="preserve">CHUVEIRO LORENZETTI MAXI DUCHA 127V 5500W </t>
  </si>
  <si>
    <t xml:space="preserve">CHUVEIRO LORENZETTI MAXI DUCHA 220V 5500W </t>
  </si>
  <si>
    <t>BISC MARI MAIZENA 350G</t>
  </si>
  <si>
    <t>Para cadastrar os itens na plataforma do Cresce Vendas: Filtrar pelos que não estão cadastrados e que não estão com ofertas no tabloide, depois cadastrar de acordo com a data. 
ATENÇÃO: Os códigos de barra do aplicativo que estão, também, em ofertas no tabloide não podem ser cadastrados, senão haverá cadastro duplicado na plataforma do CV e ocasionará no recadastro (só pode repetir quando for o barras que estiver cadastrado na parte do aplicativo, os demais, que são cadastro loja, não podem).</t>
  </si>
  <si>
    <t>WHISKY WHITE HORSE 1L - Caixa</t>
  </si>
  <si>
    <t>Vinho Meisterwein Tinto Bordo Seco/Suave 750ml</t>
  </si>
  <si>
    <t>Fralda Pampers Confort Sec Fortebag (M-70 /G-60 /XG-58)</t>
  </si>
  <si>
    <t>Vinho Francês Baron D' Arignac 750ml</t>
  </si>
  <si>
    <t>BOMBOM ARCOR TORTUGUITA MIX 135 5G</t>
  </si>
  <si>
    <t>VH BRA MEISTERWEIN T MESA SECO BORDO 750ML</t>
  </si>
  <si>
    <t>VH BRA MEISTERWEIN T MESA SUAVE BORDO 750ML</t>
  </si>
  <si>
    <t>VH FRA BARON D ARIGNAC TT 750ML</t>
  </si>
  <si>
    <t xml:space="preserve">VH FRA BARON D ARIGNAC MOELLEUX 750ML </t>
  </si>
  <si>
    <t>Licor Baileys Original 750ml</t>
  </si>
  <si>
    <t>Vodka Cîroc 750ml</t>
  </si>
  <si>
    <t>Batata McCain Tradicional 1,5Kg</t>
  </si>
  <si>
    <t>INSET MAT INSET MATA BARATAS 360ML GTS 33</t>
  </si>
  <si>
    <t>LICOR BAILEYS ORIGINAL 750ML</t>
  </si>
  <si>
    <t>VODKA CIROC 750ML</t>
  </si>
  <si>
    <t>BATATA MCCAIN TRADICIONAL 1 5KG</t>
  </si>
  <si>
    <t>ENERGETICO MORMAI 2L</t>
  </si>
  <si>
    <t>Leite Condensado Integral Moça Lata 395g</t>
  </si>
  <si>
    <t>LEITE COND MOCA LT 395G</t>
  </si>
  <si>
    <t>CHOC MILKA 100G CARAMEL UN</t>
  </si>
  <si>
    <t xml:space="preserve">CHOC MILKA 85G DARK MILK </t>
  </si>
  <si>
    <t>CHOC MILKA BUBBLY WHITE 95G</t>
  </si>
  <si>
    <t>Chocolate M&amp;M´s Ao Leite Tubo 30g</t>
  </si>
  <si>
    <t>KIT PANTENE SH 350ML COND 175ML CACHOS HIDRA-VITAMINADOS</t>
  </si>
  <si>
    <t>CHOC MMS TUBO AO LEITE 30G</t>
  </si>
  <si>
    <t>Achocolatado em Pó Nescau Lata 370g</t>
  </si>
  <si>
    <t>Quantos códigos de barra esse item tem na base?</t>
  </si>
  <si>
    <t>Ao enviar as lojas, enviar da coluna A até H. Da coluna I até T não precisa ser enviada, pois são informações internas da Rede</t>
  </si>
  <si>
    <t>LEITE UHT NINHO ZLACTOSE - Fardo com 12</t>
  </si>
  <si>
    <t>ACHOC NESCAU LATA 370G</t>
  </si>
  <si>
    <t>LEITE UHT MOLICO ZLACTOSE DESNATADO -</t>
  </si>
  <si>
    <t>LEITE LV NINHO ZERO LACTOSE UHT 1L CX 12UN -  Fardo com 12</t>
  </si>
  <si>
    <t>Sorvete Jundiá Fascino Sabores Pote 1,5L</t>
  </si>
  <si>
    <t>SORV JUNDIA FASCINO CARAMELT 1 5L</t>
  </si>
  <si>
    <t>SORV JUNDIA FASCINO CHOCO AVELA 1 5L</t>
  </si>
  <si>
    <t>SORV JUNDIA FASCINO IOG E F VERM 1 5L</t>
  </si>
  <si>
    <t>SORV JUNDIA FASCINO TORTA LIMAO 1 5L</t>
  </si>
  <si>
    <t>SORV JUNDIA FASCINO TRUF BIANCO 1 5L</t>
  </si>
  <si>
    <t>SORV JUNDIA FASCINO TRUFADO 1 5L</t>
  </si>
  <si>
    <t>SORV JUNDIA FASCINO TRUFATINE 1 5L</t>
  </si>
  <si>
    <t>SAB FARNESE 180G ALGODAO AVELA</t>
  </si>
  <si>
    <t>Cereal Kellogg´s Sucrilhos Original/Chocolate 240g</t>
  </si>
  <si>
    <t>CEREAL SUCRILHOS ORIG 240G</t>
  </si>
  <si>
    <t>CEREAL SUCRILHOS CHOC 240G</t>
  </si>
  <si>
    <t>Whiskey Jack Daniel´s Apple/Fire/Old Nº 7 - 1L</t>
  </si>
  <si>
    <t>Detergente Líquido Limpol 500ml</t>
  </si>
  <si>
    <t>Feijão Carioca Empório São João 2Kg</t>
  </si>
  <si>
    <t>Inseticida Mat Inset 360ml Grátis 33% (Citronela/Eucalipto/Sem Cheiro)</t>
  </si>
  <si>
    <t>BISC LAMINADO MARILAN COCO 350G</t>
  </si>
  <si>
    <t>FEIJAO CARIOCA EMPORIO SAO JOAO 2KG</t>
  </si>
  <si>
    <t>BISC LAMINADO MARILAN MANTEIGA 350G</t>
  </si>
  <si>
    <t>BISC CREAM CRAKER MARILAN MANTEIGA 350G</t>
  </si>
  <si>
    <t>Vinho Góes Tradição 750ml</t>
  </si>
  <si>
    <t>VH BRA GOES TRADICAO B SECO 750ML</t>
  </si>
  <si>
    <t>VH BRA GOES TRADICAO B SUAVE 750ML</t>
  </si>
  <si>
    <t>VH BRA GOES TRADICAO ROS LICOROSO 750ML</t>
  </si>
  <si>
    <t>VH BRA GOES TRADICAO T SECO 750ML</t>
  </si>
  <si>
    <t>Chuveiro Lorenzetti Maxi Ducha 127V 5500W</t>
  </si>
  <si>
    <t>FLD HUGGIES S CARE ROUP MEGA G30</t>
  </si>
  <si>
    <t>FLD HUGGIES S CARE ROUP MEGA XG24</t>
  </si>
  <si>
    <t>FLD HUGGIES S CARE ROUP MEGA XXG24</t>
  </si>
  <si>
    <t>FLD HUGGIES S CARE ROUP MEGA M36</t>
  </si>
  <si>
    <t xml:space="preserve">AMAC DOWNY 500ML CONC BRISA INTENSO UN </t>
  </si>
  <si>
    <t xml:space="preserve">VINHO MEISTERWEIN GF 750ML TTO SV BORDO </t>
  </si>
  <si>
    <t>AMAC CONC DOWNY ADORÁVEL PERFUME COLLECTION 450ML</t>
  </si>
  <si>
    <t>Sabonete La Flore/La Fruta Davene 150g</t>
  </si>
  <si>
    <t>Amaciante Urca Brisa da Primavera Leve 2L Pague 1,8L</t>
  </si>
  <si>
    <t>Biscoito Pit Stop 162g Sabores (Exceto Recheado e Integral)</t>
  </si>
  <si>
    <t>Margarina Doriana Tradicional com Sal/sem Sal 500g</t>
  </si>
  <si>
    <t>Café Melitta Tradicional Caixa 500g</t>
  </si>
  <si>
    <t>SAB DAVENE LA FLORE FL VANILA 150G</t>
  </si>
  <si>
    <t>SAB DAVENE LA FLORE FL CEREJA 150G</t>
  </si>
  <si>
    <t>SAB DAVENE LA FRUTA MORANGO 150G</t>
  </si>
  <si>
    <t>SAB DAVENE LA FLORE FL MARACUJA 150G</t>
  </si>
  <si>
    <t>SAB DAVENE LA FLORE FL ERVA DOCE 150G</t>
  </si>
  <si>
    <t>SAB DAVENE LA FLORE FL LAVANDA 150G</t>
  </si>
  <si>
    <t>SAB DAVENE LA FRUTA MANDARINA 150G</t>
  </si>
  <si>
    <t>AMAC URCA BRISA PRIMAVERA LV2L PG1,8L</t>
  </si>
  <si>
    <t>BISC PIT STOP ORIGINAL 162G</t>
  </si>
  <si>
    <t>BISC PIT STOP PAO NA CHAPA 162G</t>
  </si>
  <si>
    <t>BISC PIT STOP PIZZA 162G</t>
  </si>
  <si>
    <t>BISC PIT STOP PRESUNTO 162G</t>
  </si>
  <si>
    <t>BISC PIT STOP QUEIJO 162G</t>
  </si>
  <si>
    <t>Z BISC MARILAN PIT STOP CEBOLA 162G</t>
  </si>
  <si>
    <t>Z BISC MARILAN PIT STOP GERGELIN 162G</t>
  </si>
  <si>
    <t>Z BISC MARILAN PIT STOP LIGHT 162G</t>
  </si>
  <si>
    <t xml:space="preserve">Batata McCain Smiles 400g </t>
  </si>
  <si>
    <t>BOMBOM BONOBON BRIGADEIRO 750G</t>
  </si>
  <si>
    <t>BATATA MCCAIN SMILES 400G</t>
  </si>
  <si>
    <t>Leite em Pó Ninho Instantâneo/Integral Lata 380g</t>
  </si>
  <si>
    <t>LEITE PO NINHO INST FORTI+ 380G</t>
  </si>
  <si>
    <t>LEITE PO NINHO INST INTEGRAL 380G</t>
  </si>
  <si>
    <t>Pão de Forma Integral Panutrir 500g</t>
  </si>
  <si>
    <t>Pão de Queijo Forno de Minas Coquetel/Tradicional 400g</t>
  </si>
  <si>
    <t>Leite Uht Nestlé Ninho Zero Lactose Integral Tp 1L</t>
  </si>
  <si>
    <t>PAO DE FORMA INTEGRAL PANUTRI 500G</t>
  </si>
  <si>
    <t>LEITE LV NINHO ZERO LACTOSE UHT 1L</t>
  </si>
  <si>
    <t>RACAO CAO DOG CHOW 1KG FILHOTES MINI PQ CRN FG ARR</t>
  </si>
  <si>
    <t xml:space="preserve">RACAO CAO DOG CHOW 1KG AD MINIS PQ CRN FG ARROZ </t>
  </si>
  <si>
    <t>Whiskey Jack Daniel´s Fire/Old Nº 7 - 1L</t>
  </si>
  <si>
    <t>Chocolate para Cobertura Nestlé Ao Leite 1Kg</t>
  </si>
  <si>
    <t>Shampoo Elseve 200ml</t>
  </si>
  <si>
    <t>Condicionador Elseve 200ml</t>
  </si>
  <si>
    <t>CHOC COBERTURA NESTLE AO LEITE 1KG</t>
  </si>
  <si>
    <t>Z SH ELSEVE ANTICASPA NOMAIS OLEOSOS 200ML</t>
  </si>
  <si>
    <t>Z SH ELSEVE ARGININA CERAMIDA 200ML</t>
  </si>
  <si>
    <t>Z SH ELSEVE ARGININA SECOS 200ML</t>
  </si>
  <si>
    <t>Z SH ELSEVE CITRUS 200ML</t>
  </si>
  <si>
    <t>Z SH ELSEVE COLORVIVE COLORIDOS 200ML</t>
  </si>
  <si>
    <t>Z SH ELSEVE HYDRA MAX COLAGENO 200ML</t>
  </si>
  <si>
    <t>Z SH ELSEVE NUTRICAO 10X 200ML</t>
  </si>
  <si>
    <t>Z SH ELSEVE QUERA LISO HIDRATANTE 200ML</t>
  </si>
  <si>
    <t>Z SH ELSEVE QUERA LISO RECONST 200ML</t>
  </si>
  <si>
    <t>Z SH ELSEVE REPARACAO TOTAL 5 200ML</t>
  </si>
  <si>
    <t>Z SH ELSEVE REPARACAO TOTAL5 EX PROF 200ML</t>
  </si>
  <si>
    <t>Z SH ELSEVE REPARACAO TOTAL5 QUIMICA 200ML</t>
  </si>
  <si>
    <t>Z COND ELSEVE CITRUS CR 200ML</t>
  </si>
  <si>
    <t>Z COND ELSEVE HYDRA MAX COLAGENO 200ML</t>
  </si>
  <si>
    <t>Z COND ELSEVE HYDRA MAX FLEXIUM 200ML</t>
  </si>
  <si>
    <t>Z COND ELSEVE LISS INTENSE 200ML</t>
  </si>
  <si>
    <t>Z COND ELSEVE NUTRICAO 10 200ML</t>
  </si>
  <si>
    <t>Z COND ELSEVE QUERA LISO HIDRATANTE 200ML</t>
  </si>
  <si>
    <t>Z COND ELSEVE QUERA LISO RECONST 200ML</t>
  </si>
  <si>
    <t>Z COND ELSEVE REGENIUM 200ML</t>
  </si>
  <si>
    <t>Z COND ELSEVE REPACAO TOTAL 5 200ML</t>
  </si>
  <si>
    <t>Z COND ELSEVE REPACAO TOTAL 5 ESP QUIMICA 200ML</t>
  </si>
  <si>
    <t>Z COND ELSEVE REPACAO TOTAL 5 EX PROF 200ML</t>
  </si>
  <si>
    <t>SHAMPOO LORÉAL PARIS ELSEVE HIDRA HIALURÔNICO</t>
  </si>
  <si>
    <t>CONDICIONADOR LORÉAL PARIS ELSEVE HIDRA HIALURÔNICO</t>
  </si>
  <si>
    <t xml:space="preserve">SHAMPOO LORÉAL PARIS ELSEVE LISO DOS SONHOS 200ML </t>
  </si>
  <si>
    <t>SHAMPOO ELSEVE OLEO EXTRAORDINARIO NUTRICAO 200ML</t>
  </si>
  <si>
    <t>SHAMPOO HYDRA DETOX 48H 200ML ELSEVE</t>
  </si>
  <si>
    <t>SHAMPOO LORÉAL PARIS ELSEVE SUPREME CONTROL 4D FRASCO 200ML</t>
  </si>
  <si>
    <t>SHAMPOO LORÉAL PARIS ELSEVE LONGO DOS SONHOS FRASCO 200ML</t>
  </si>
  <si>
    <t>CONDICIONADOR LORÉAL PARIS ELSEVE LISO DOS SONHOS FRASCO 200ML</t>
  </si>
  <si>
    <t>CONDICIONADOR UMECTANTE LORÉAL PARIS ELSEVE ÓLEO EXTRAORDINÁRIO CACHOS FRASCO 200ML</t>
  </si>
  <si>
    <t>CONDICIONADOR ELSEVE COLORVIVE 200ML LOREAL</t>
  </si>
  <si>
    <t>CONDICIONADOR ELSEVE ARGININA RESIST X3 200ML LOREAL</t>
  </si>
  <si>
    <t>CONDICIONADOR HYDRA DETOX ANTIOLEOSIDADE 200G ELSEVE</t>
  </si>
  <si>
    <t>CONDICIONADOR LORÉAL PARIS ELSEVE LONGO DOS SONHOS FRASCO 200ML</t>
  </si>
  <si>
    <t xml:space="preserve">PETIT DANONE DANONINHO BDJ 320G ALG DOCE T FRUTTI </t>
  </si>
  <si>
    <t>SH ELSEVE 200ML ARG RESIST R MASSA</t>
  </si>
  <si>
    <t xml:space="preserve">SH ELSEVE 200ML OL EXTR CACHOS OLEO COCO </t>
  </si>
  <si>
    <t>SH ELSEVE 200ML OLEO EXTR NUT INT</t>
  </si>
  <si>
    <t>COND ELSEVE 200ML OLEO EXT NUTRICAO</t>
  </si>
  <si>
    <t xml:space="preserve">COND ELSEVE 200ML OLEO EXT NUTR INTENSA </t>
  </si>
  <si>
    <t xml:space="preserve">COND ELSEVE 200ML S CONTROL 4D MANT BAB </t>
  </si>
  <si>
    <t>COND ELSEVE 200ML ARGININA NUTRI INTE</t>
  </si>
  <si>
    <t xml:space="preserve">COND ELSEVE 200ML ARGININA RESTIT MASSA </t>
  </si>
  <si>
    <t>SHAMPOO HYDRA DETOX 48H ANTI CASPA 200ML ELSEVE</t>
  </si>
  <si>
    <t>CONDICIONADOR ANTICASPA LORÉAL PARIS ELSEVE HYDRA-DETOX FRASCO 200ML</t>
  </si>
  <si>
    <t>Empanados Seara Turma da Mônica Tradicional 300g</t>
  </si>
  <si>
    <t>Bombom Arcor Bon o Bon Brigadeiro 750g</t>
  </si>
  <si>
    <t>SEARA TURMA DA MÔNICA TRADICIONAL 300G</t>
  </si>
  <si>
    <t>Creme Dental Oral-B Extra Branco 70g</t>
  </si>
  <si>
    <t>Lava Roupas em Pó Urca Maxx Sachê 3Kg Grátis 300g</t>
  </si>
  <si>
    <t>CD ORAL B EXTRA BCO 70G</t>
  </si>
  <si>
    <t>LAVA ROUPAS PO URCA MAXX SCH 3KG GRATIS 300G</t>
  </si>
  <si>
    <t>BEB LAC VIGOR CHOC 200ML</t>
  </si>
  <si>
    <t>SORV CHOCOLATE TRADICIONAL NESTLÉ POTE 1,5L</t>
  </si>
  <si>
    <t>Conjunto Porta Mantimentos Rosca Plasútil 5 Peças - (Ref: 4115)</t>
  </si>
  <si>
    <t>CJ POTE MANTIMENTOS PLASUTIL C 5 REF 4115</t>
  </si>
  <si>
    <t>RACAO QUALIDY DOG 1KG PEQ. PORTE CARNE</t>
  </si>
  <si>
    <t>Toalha de Papel Kitchen TotalAbsorv Folha Tripla c/2</t>
  </si>
  <si>
    <t>Chinelo Ipanema Kirei Adulto Feminino Cores - (Ref: 25835)</t>
  </si>
  <si>
    <t>Chinelo Ipanema Nó Adulto Feminino Cores - (Ref: 26511)</t>
  </si>
  <si>
    <t>Garrafa Térmica Termolar Rolha Clean Lumina 1L  - (Ref: 55580)</t>
  </si>
  <si>
    <t>Lenços Umedecidos Huggies c/48 (Max Clean/Supreme Care)</t>
  </si>
  <si>
    <t>LENCO UMED HUGGIES MAX CLEAN C48</t>
  </si>
  <si>
    <t>LENCO UMED HUGGIES SUPREME CARE C48</t>
  </si>
  <si>
    <t>TOALHA DE PAPEL KITCHEN FOLHA TRIPLA 100F C1</t>
  </si>
  <si>
    <t>GRF TERMICA R C PREMIUM LUMINA 1L REF 55580</t>
  </si>
  <si>
    <t>CHINELO IPANEMA KIREI ADULTO FEMININO CORES REF 25835</t>
  </si>
  <si>
    <t>CHINELO IPANEMA NÓ ADULTO FEMININO CORES REF 26511</t>
  </si>
  <si>
    <t xml:space="preserve">CHINELO IPANEMA KIREI AZ BCO REF 25835 </t>
  </si>
  <si>
    <t>CHINELO IPANEMA KIREI PTO DOURADO</t>
  </si>
  <si>
    <t>Amaciante de Roupas Urca Brisa Leve 5L Pague 4,5L</t>
  </si>
  <si>
    <t>Lava Roupas em Pó Assim Triplação CT 800g</t>
  </si>
  <si>
    <t>Açúcar Light Magro Refil 500g</t>
  </si>
  <si>
    <t>LAVA ROUPAS PO ASSIM TRIPLACAO CT 800G</t>
  </si>
  <si>
    <t>LAVA ROUPAS PO ASSIM TRIPLACAO FLORAL CT 800G</t>
  </si>
  <si>
    <t>CERV CONTI ZERO GRAU PACK C18 350ML</t>
  </si>
  <si>
    <t>AMAC URCA BRISA LV 5L PG 4,5L</t>
  </si>
  <si>
    <t>ACUCAR LIGHT MAGRO FIT 500G</t>
  </si>
  <si>
    <t>KIT DET LIQ YPE CLEAR 500ML C6</t>
  </si>
  <si>
    <t>KIT DET LIQ YPE NEUTRO 500ML C6</t>
  </si>
  <si>
    <t>Vinho Chileno Chilano 750ml</t>
  </si>
  <si>
    <t>Vinho Chileno Ventisquero Reserva 750ml</t>
  </si>
  <si>
    <t>Café Melitta Tradicional Leve 500g Pague 450g</t>
  </si>
  <si>
    <t>Tomate Pelado Inteiro/Cubos Olé Lata 240g</t>
  </si>
  <si>
    <t>Vinho Argentino The Grill Master 750ml</t>
  </si>
  <si>
    <t>Lava Roupas em Pó Ápyce Sachê 800g</t>
  </si>
  <si>
    <t>Creme Dental Oral-B 123 - 70g</t>
  </si>
  <si>
    <t>CAFE MELITTA TRAD VACUO L500G P450G</t>
  </si>
  <si>
    <t>VH ARG THE GRILL MASTER BRANCO 750ML</t>
  </si>
  <si>
    <t>VH ARG THE GRILL MASTER MALBEC 750ML</t>
  </si>
  <si>
    <t>VH ARG THE GRILL MASTER ROSE 750ML</t>
  </si>
  <si>
    <t>VH ARG THE GRILL MASTER SAUVIGNON BLANC 750ML</t>
  </si>
  <si>
    <t>VH ARG THE GRILL MASTER TINTO 750ML</t>
  </si>
  <si>
    <t>VH CHI VENTISQUERO RESERVA RED BLEND 750ML</t>
  </si>
  <si>
    <t>VH CHI VENTISQUERO RESERVA CARMENERE 750ML</t>
  </si>
  <si>
    <t>VH CHI VENTISQUERO RESERVA CAB SAUVIGNON 750ML</t>
  </si>
  <si>
    <t>VH CHI VENTISQUERO RESERVA CASABLANCA T PINOT NOIR</t>
  </si>
  <si>
    <t>VH CHI CHILANO SAUVIGNON BLANC 750ML</t>
  </si>
  <si>
    <t>VH CHI CHILANO CARMENERE 750ML</t>
  </si>
  <si>
    <t>VH CHI CHILANO CHARDONNAY BRANCO 750ML</t>
  </si>
  <si>
    <t>VH CHI CHILANO T RED BLEND 750ML</t>
  </si>
  <si>
    <t>VH CHI CHILANO MERLOT 750ML</t>
  </si>
  <si>
    <t>VH CHI CHILANO MOSCATO BRANCO 750ML</t>
  </si>
  <si>
    <t>VH CHI CHILANO ROSE 750ML</t>
  </si>
  <si>
    <t>VH CHI CHILANO CAB SAUVIGNON 750ML</t>
  </si>
  <si>
    <t>VH CHI CHILANO SYRAH TINTO 750ML</t>
  </si>
  <si>
    <t>VH CHI CHILANO PINK MOSCATO ROSE 750ML</t>
  </si>
  <si>
    <t>LAVA ROUPAS PO APYCE MULTIACAO SCH 800G</t>
  </si>
  <si>
    <t>Vinho Chileno Cousiño-Macul Don Luis Cabernet Sauvignon/Carmenere 750ml</t>
  </si>
  <si>
    <t>Maionese Liza Pote 500g</t>
  </si>
  <si>
    <t>Vinho Chileno Cousiño-Macul Antiguas Reservas Cabernet Sauvignon 750ml</t>
  </si>
  <si>
    <t>Ração para Cães Pedigree Equílibrio Natural 1Kg</t>
  </si>
  <si>
    <t>Ração para Gatos Whiskas 1Kg</t>
  </si>
  <si>
    <t>Absorvente Always Básico Seca/Suave c/Abas c/32</t>
  </si>
  <si>
    <t>Chocolate Arcor Barra Sabores 80g (Exceto Amargo 70%)</t>
  </si>
  <si>
    <t>Vinho Almadén Vintage Cabernet Shiraz/Chenin Muscat/Rose750ml</t>
  </si>
  <si>
    <t>Desodorante Roll-on Davene Corpo a Corpo 50ml</t>
  </si>
  <si>
    <t>Chinelo Ipanema Clássica Adulto Feminino/Masculino Cores - (Ref: 06466/05320)</t>
  </si>
  <si>
    <t>Chinelo Ipanema Clássica Infantil Feminino/Masculino Cores - (Ref: 05766)</t>
  </si>
  <si>
    <t>VH BRA ALMADEN VINT M SEC C BLANC MOSC 750ML</t>
  </si>
  <si>
    <t>VH BRA ALMADEN VINT M SEC ROSE 750ML</t>
  </si>
  <si>
    <t>VH BRA ALMADEN VINT M SEC CAB SHIRAZ 750ML</t>
  </si>
  <si>
    <t>DEO ROLL ON DAVENE CAC ENVOLVENTE 50ML</t>
  </si>
  <si>
    <t>DEO ROLL ON DAVENE CAC NATURAL 50ML</t>
  </si>
  <si>
    <t>DEO ROLL ON DAVENE CAC SUAVE 50ML</t>
  </si>
  <si>
    <t>CHINELO IPANEMA CLASSICA FEM 06466</t>
  </si>
  <si>
    <t>CHINELO IPANEMA CLASSICA MASC 05320</t>
  </si>
  <si>
    <t>CHINELO IPANEMA CLASSICA INF 05766</t>
  </si>
  <si>
    <t>RACAO PEDIGREE EQUIL NATURAL JR 1KG</t>
  </si>
  <si>
    <t>RACAO PEDIGREE EQUIL NATURAL RMG 1KG</t>
  </si>
  <si>
    <t>RACAO PEDIGREE EQUIL NATURAL RP 1KG</t>
  </si>
  <si>
    <t>RACAO WHISKAS CARNE 1KG</t>
  </si>
  <si>
    <t>RACAO WHISKAS CARNE FRANGO LEITE 1KG</t>
  </si>
  <si>
    <t>RACAO WHISKAS CARNE SENIOR 7+ 1KG</t>
  </si>
  <si>
    <t>RACAO WHISKAS FILHOTE 1KG</t>
  </si>
  <si>
    <t>RACAO WHISKAS PEIXE 1KG</t>
  </si>
  <si>
    <t>VH CHI C MACUL D LUIS CAB SAUVIGNON 750ML</t>
  </si>
  <si>
    <t>VH CHI C MACUL D LUIS CARMENERE 750ML</t>
  </si>
  <si>
    <t>MAIONESE LIZA TRADICIONAL 500G</t>
  </si>
  <si>
    <t>VH CHI C MACUL ANT RES CAB SAUVIGNON 750ML</t>
  </si>
  <si>
    <t>Atum Pescador Ralado Óleo Lata 170g</t>
  </si>
  <si>
    <t>Fraldas Babysec Ultra Jumbinho (P/20 - M/18 - G/16 - XG/12 - XXG/12)</t>
  </si>
  <si>
    <t>Sabonete Elite 85g</t>
  </si>
  <si>
    <t>Chuveiro Lorenzetti Maxi Ducha 127V/220V 5500W Blister</t>
  </si>
  <si>
    <t>Ração para Cães Pedigree Adulto 1Kg</t>
  </si>
  <si>
    <t>Chinelo Cartago Atlanta Adulto Masculino – (Ref:11840)</t>
  </si>
  <si>
    <t>Chinelo Ipanema Elo Print Adulto Feminino Cores - (Ref: 26468)</t>
  </si>
  <si>
    <t>FLD BABYSEC ULTRA JUMBINHO G C16</t>
  </si>
  <si>
    <t>FLD BABYSEC ULTRA JUMBINHO M C18</t>
  </si>
  <si>
    <t>FLD BABYSEC ULTRA JUMBINHO P C20</t>
  </si>
  <si>
    <t>FLD BABYSEC ULTRA JUMBINHO XG C12</t>
  </si>
  <si>
    <t>FLD BABYSEC ULTRA JUMBINHO XXG C12</t>
  </si>
  <si>
    <t>SAB BARRA ELITE HIDRATANTE 85G</t>
  </si>
  <si>
    <t>SAB BARRA ELITE ANTIBAC 85G</t>
  </si>
  <si>
    <t>RACAO PEDIGREE CARNE VEGETAIS 1KG</t>
  </si>
  <si>
    <t>RACAO PEDIGREE CARNE FRANGO CEREAIS 1KG</t>
  </si>
  <si>
    <t>CHINELO CARTAGO ATLANTA 11840 PAR</t>
  </si>
  <si>
    <t>Vinho Almadén Vintage Cabernet Shiraz/Chenin Muscat/Rose 750ml</t>
  </si>
  <si>
    <t>Óleo Composto Olívia Tradicional Pet 500ml</t>
  </si>
  <si>
    <t>Toalha de Papel Yuri c/2 - 100 Folhas</t>
  </si>
  <si>
    <t>Chuveiro Lorenzetti Loren Shower Multitemperaturas 127V 5500W/220V/7500W</t>
  </si>
  <si>
    <t>TOALHA DE PAPEL FD YURI 100F C2</t>
  </si>
  <si>
    <t>CHUV LORENZETTI SHOWER MULTI 127V 5500W</t>
  </si>
  <si>
    <t>CHUV LORENZETTI SHOWER MULTI 220V 7500W</t>
  </si>
  <si>
    <t>OLEO COMPOSTO OLIVIA TRAD PET 500ML</t>
  </si>
  <si>
    <t>Leite em Pó Frimesa Integral/Instantâneo Sachê 400g (Rende até 4 Litros de Leite)</t>
  </si>
  <si>
    <t>Detergente Líquido Ypê 500ml</t>
  </si>
  <si>
    <t>LEITE PO FRIMESA INTEGRAL SCH 400G</t>
  </si>
  <si>
    <t>LEITE PO INST FRIMESA INTEGRAL SCH 400G</t>
  </si>
  <si>
    <t>DET LIQ YPE CAPIM E LIMAO 500ML</t>
  </si>
  <si>
    <t>DET LIQ YPE CLEAR 500ML</t>
  </si>
  <si>
    <t>DET LIQ YPE CLEAR CARE 500ML</t>
  </si>
  <si>
    <t>DET LIQ YPE COCO 500ML</t>
  </si>
  <si>
    <t>DET LIQ YPE LIMAO 500ML</t>
  </si>
  <si>
    <t>DET LIQ YPE MACA 500ML</t>
  </si>
  <si>
    <t>DET LIQ YPE NEUTRO 500ML</t>
  </si>
  <si>
    <t>Cachaça Ypioca Ouro Sem Palha 965ml</t>
  </si>
  <si>
    <t>Milho Verde Fugini Lata 170g</t>
  </si>
  <si>
    <t>Vinho Pérgola Seleção 2L</t>
  </si>
  <si>
    <t>Cerveja Antarctica Pilsen Lata 350ml</t>
  </si>
  <si>
    <t>CERVEJA ANTARCTICA PILSEN LATA 350ML</t>
  </si>
  <si>
    <t>CACHACA OURO YPIOCA 965ML</t>
  </si>
  <si>
    <t>VH BRA PERGOLA SELECAO T SUAVE 2L</t>
  </si>
  <si>
    <t>CERV ANTARCTICA BOA 350ML FD 12UN</t>
  </si>
  <si>
    <t xml:space="preserve">VINHO PERGOLA SELECAO SC 2L TTO </t>
  </si>
  <si>
    <t>Cream Cheese Philadelphia Tradicional/Light 150g</t>
  </si>
  <si>
    <t>Batata Palha Yoki Extra Fina Sabores 100g</t>
  </si>
  <si>
    <t>CREAM CHEESE PHILADELPHIA LIGHT 150G</t>
  </si>
  <si>
    <t>CREAM CHEESE PHILADELPHIA ORIG 150G</t>
  </si>
  <si>
    <t>Biscoito Orquídea Sortidos Amanteigados 300g</t>
  </si>
  <si>
    <t>Detergente Líquido Limpol Cristal/Neutro Pack com 6 Unidades de 500ml</t>
  </si>
  <si>
    <t>Linguiça Toscana Seara - Kg</t>
  </si>
  <si>
    <t>Chuveiro Lorenzetti Bella Ducha 4T Blister 127V/220V 5500W</t>
  </si>
  <si>
    <t>BISC AMANT ORQUIDEA SORTIDOS 300G</t>
  </si>
  <si>
    <t>LAVA LOUCAS LIQ LIMPOL KITC6 LM PM CRISTAL 500ML</t>
  </si>
  <si>
    <t>LAVA LOUCAS LIQ LIMPOL KITC6 LM PM NEUTRO 500ML</t>
  </si>
  <si>
    <t>Mercearia - Básico</t>
  </si>
  <si>
    <t>Matinais</t>
  </si>
  <si>
    <t>Frios</t>
  </si>
  <si>
    <t>Bebidas</t>
  </si>
  <si>
    <t>Mercearia - Alto Giro</t>
  </si>
  <si>
    <t>Perfumaria</t>
  </si>
  <si>
    <t>Limpeza</t>
  </si>
  <si>
    <t>Bazar</t>
  </si>
  <si>
    <t>Sobremesa</t>
  </si>
  <si>
    <t>CHOC LACTA BARRA 90G OREO</t>
  </si>
  <si>
    <t>Achocolatado em Pó Toddy Original 370g</t>
  </si>
  <si>
    <t>Bebida Láctea Polpa Danone Bandeja c/6 - 510g</t>
  </si>
  <si>
    <t>Lava Roupas em Pó Omo Lavagem Perfeita Caixa 800g</t>
  </si>
  <si>
    <t>Ração para Cães Pedigree Filhotes Raças Pequenas 900g</t>
  </si>
  <si>
    <t>BEB LACTEA POLPA DANONE MIX FRUTA BJ 510G</t>
  </si>
  <si>
    <t>BEB LACTEA POLPA DANONE MORANGO BJ 510G</t>
  </si>
  <si>
    <t>RACAO PEDIGREE FILHOTE RP 900G</t>
  </si>
  <si>
    <t>Categoria</t>
  </si>
  <si>
    <t>ACHOC PO TODDY ORIG 370G</t>
  </si>
  <si>
    <t>Hortifruti</t>
  </si>
  <si>
    <t>Bebida Alcoólica Mista de Limão Smirnoff Ice Lata 269ml</t>
  </si>
  <si>
    <t>Fraldas Capricho Baby Hiper (P/80 - M/70 - G/60 - XG/50 - XXG/40)</t>
  </si>
  <si>
    <t>Garrafa Térmica Termolar Magic Pump Branca/Preta 1L - (Ref: 54813/54814)</t>
  </si>
  <si>
    <t>FLD CAPRICHO BABY HIPER EG C50</t>
  </si>
  <si>
    <t>FLD CAPRICHO BABY HIPER G C60</t>
  </si>
  <si>
    <t>FLD CAPRICHO BABY HIPER M C70</t>
  </si>
  <si>
    <t>FLD CAPRICHO BABY HIPER P C80</t>
  </si>
  <si>
    <t>FLD CAPRICHO BABY HIPER XXG C40</t>
  </si>
  <si>
    <t>BEB ALC MISTA SMIRNOFF ICE LT 269ML</t>
  </si>
  <si>
    <t>GRF TERMICA M P COLLECTION BRANCA 1L REF 54813</t>
  </si>
  <si>
    <t>GRF TERMICA M P COLLECTION PRETA 1L REF 54814</t>
  </si>
  <si>
    <t>CHOC ARCOR 80G ROCKLETS BCO UN</t>
  </si>
  <si>
    <t>CEREAL SUCRILHOS DOCE DE LEITE 240G</t>
  </si>
  <si>
    <t>ATUM PESCADOR RAL NAT 140G</t>
  </si>
  <si>
    <t>ATUM PESCADOR RAL OLEO 140G</t>
  </si>
  <si>
    <t>Garrafa Térmica Unitermi Roma 500ml</t>
  </si>
  <si>
    <t xml:space="preserve">Cerveja Baden Baden Cristal Lata 350ml </t>
  </si>
  <si>
    <t xml:space="preserve">Cerveja Baden Baden Cristal Garrafa 600ml </t>
  </si>
  <si>
    <t>789607460008-5</t>
  </si>
  <si>
    <t>789607460346-8</t>
  </si>
  <si>
    <t>CERV BADEN PILSEN CRISTAL LT 350ML</t>
  </si>
  <si>
    <t>CERV BADEN PILSEN CRISTAL 600ML</t>
  </si>
  <si>
    <t>GRF TERM UNITERMI ROMA VERM 500ML</t>
  </si>
  <si>
    <t>GRF TERM UNITERMI ROMA VERDE 500ML</t>
  </si>
  <si>
    <t>GRF TERM UNITERMI ROMA PRETA 500ML</t>
  </si>
  <si>
    <t>GRF TERM UNITERMI ROMA AZUL 500ML</t>
  </si>
  <si>
    <t>GRF TERM UNITERMI ROMA AMARELA 500ML</t>
  </si>
  <si>
    <t/>
  </si>
  <si>
    <t>Suco Life da Fazenda Integral Laranja 900ml</t>
  </si>
  <si>
    <t>Bebida Alcoólica Mista de Limão Smirnoff Ice Long Neck 275ml</t>
  </si>
  <si>
    <t>Garrafa Térmica Unitermi Siena 750ml</t>
  </si>
  <si>
    <t>GRF TERM UNITERMI SIENA VERDE TIFFANY 750ML</t>
  </si>
  <si>
    <t>GRF TERM UNITERMI SIENA AZUL 750ML</t>
  </si>
  <si>
    <t>GRF TERM UNITERMI SIENA VERM 750ML</t>
  </si>
  <si>
    <t>GRF TERM UNITERMI SIENA PRETA 750ML</t>
  </si>
  <si>
    <t>GRF TERM UNITERMI SIENA AMARELA 750ML</t>
  </si>
  <si>
    <t xml:space="preserve">BEB ALC MISTA SMIRNOFF ICE 275ML ORIGINAL </t>
  </si>
  <si>
    <t>FLD HUGGIES TRIPLA PROT JUMBINHO G C14</t>
  </si>
  <si>
    <t>FLD HUGGIES TRIPLA PROT JUMBINHO M C16</t>
  </si>
  <si>
    <t>FLD HUGGIES TRIPLA PROT JUMBINHO P C18</t>
  </si>
  <si>
    <t>Vodka Smirnoff Infusions Maracujá e Jasmin/Melância e Menta 998ml</t>
  </si>
  <si>
    <t>VODKA SMIRNOFF MARAC E JASMIN 998ML</t>
  </si>
  <si>
    <t>VODKA SMIRNOFF MELANCIA E MENTA 998ML</t>
  </si>
  <si>
    <t>ATUM PESCADOR SOL NATURAL 140G</t>
  </si>
  <si>
    <t>ATUM PESCADOR SOL OLEO 140G</t>
  </si>
  <si>
    <t>Molho para Salada Liza 234ml</t>
  </si>
  <si>
    <t>Chinelo Rider Street Masculino Cores – (Ref: 11573)</t>
  </si>
  <si>
    <t>CHINELO RIDER STREET MASCULINO CORES – (REF: 11573)</t>
  </si>
  <si>
    <t>MOLHO SALADA LIZA ROSE 234ML</t>
  </si>
  <si>
    <t>MOLHO SALADA LIZA QUEIJOS 234ML</t>
  </si>
  <si>
    <t>MOLHO SALADA LIZA MEL MOST 234ML</t>
  </si>
  <si>
    <t>MOLHO SALADA LIZA LIMAO 234ML</t>
  </si>
  <si>
    <t>MOLHO SALADA LIZA IOGURTE 234ML</t>
  </si>
  <si>
    <t>MOLHO SALADA LIZA ERVAS FINAS 234ML</t>
  </si>
  <si>
    <t>MOLHO SALADA LIZA CASEIRO LIGHT 234ML</t>
  </si>
  <si>
    <t>MOLHO SALADA LIZA CASEIRO 234ML</t>
  </si>
  <si>
    <t>MOLHO SALADA LIZA CAESAR 234ML</t>
  </si>
  <si>
    <t>Atum Pescador Ralado Óleo Lata 140g</t>
  </si>
  <si>
    <t>Papel Higiênico Neve Supreme F/T 20m L16 P15</t>
  </si>
  <si>
    <t>LAVA ROUPAS PO URCA MAXX SCH 3KG</t>
  </si>
  <si>
    <t>PAPEL HIG FT NEVE SUPREME 20M L16P15</t>
  </si>
  <si>
    <t>PESSEGO EM CALDA OLE LT 450G</t>
  </si>
  <si>
    <t>Ração para Gatos Whiskas 900g</t>
  </si>
  <si>
    <t>RACAO WHISKAS GATOS CASTRADOS PEIXE 900G</t>
  </si>
  <si>
    <t>RACAO WHISKAS FRANGO 900G</t>
  </si>
  <si>
    <t>RACAO WHISKAS PEIXE 900G</t>
  </si>
  <si>
    <t>RACAO UMIDA WHISKAS MELHOR P NATUREZA SALMAO 900G</t>
  </si>
  <si>
    <t>RACAO WHISKAS CARNE 900G</t>
  </si>
  <si>
    <t>RACAO WHISKAS FILHOTE CARNE LEITE 900G</t>
  </si>
  <si>
    <t>RACAO WHISKAS GATOS CASTRADOS CARNE 900G</t>
  </si>
  <si>
    <t xml:space="preserve">RACAO GATO WHISKAS 900G FGO UN </t>
  </si>
  <si>
    <t>Cafeteira Elétrica 3 Corações Lov G1 Premium Vermelha 110V</t>
  </si>
  <si>
    <t>Biscoito Marilan Água e Sal/Cream Cracker/Coco/Leite/Maizena/Maria 350g</t>
  </si>
  <si>
    <t>Suco Concentrado Maguary Cajú 500ml</t>
  </si>
  <si>
    <t>Lava Roupas em Pó Assim Triplação Sachê 1,6Kg</t>
  </si>
  <si>
    <t>Ração para Cães Qualidy Carne e Frango 11,1Kg Grátis 1Kg</t>
  </si>
  <si>
    <t>Chinelo Ipanema Polly/Max Steel Infantil - (Ref: 26048)</t>
  </si>
  <si>
    <t>CAFETEIRA 3C G1 LOV BASIC VERM 127V</t>
  </si>
  <si>
    <t>LAVA ROUPAS PO ASSIM TRIPLACAO FLORAL SCH 1,6KG</t>
  </si>
  <si>
    <t>LAVA ROUPAS PO ASSIM TRIPLACAO SCH 1,6KG</t>
  </si>
  <si>
    <t>RACAO QUALIDY CAES CARNE FRANGO 11 1KG GTS 1KG</t>
  </si>
  <si>
    <t>SUCO CONC MAGUARY CAJU 500ML</t>
  </si>
  <si>
    <t>CHINELO POLLY</t>
  </si>
  <si>
    <t>CH IPANEMA 26048 POLLY MAX STEEL RS VERDE</t>
  </si>
  <si>
    <t>CAP 3 CORACOES CAFE ICED COFFEE 7G C10</t>
  </si>
  <si>
    <t>CAP 3 CORACOES CAFE C LEITE BAILEYS 11G C10</t>
  </si>
  <si>
    <t>CAP 3 CORACOES CHA HIBISCO MACA 3G C10</t>
  </si>
  <si>
    <t>CAP 3 CORACOES CAFE C LEITE PINGADO 11G C10</t>
  </si>
  <si>
    <t>CAP 3 CORACOES CHA MACA VERDE C CRANBERRY 3G C10</t>
  </si>
  <si>
    <t>CAP 3 CORACOES CHA VERDE LIMAO GENGIBRE 3 5G C10</t>
  </si>
  <si>
    <t>CAFETEIRA 3 CORACOES G1 LOV 127V VERM UN</t>
  </si>
  <si>
    <t>Panettone Casa Suíça Frutas/Gotas de Chocolate 400g</t>
  </si>
  <si>
    <t>Refresco em Pó Trink Sabores 25g</t>
  </si>
  <si>
    <t>Cerveja Conti Zero Grau Lata Pack com 18 Unidades de 350ml (Nesta embalagem, no Clube Das Ofertas, a unidade sai a R$ 1,89)</t>
  </si>
  <si>
    <t>Ketchup Tchetto 3,1Kg</t>
  </si>
  <si>
    <t>KETCHUP TCHETTO TRAD 3,1L</t>
  </si>
  <si>
    <t>REF PO TRINK ABACAXI 25G</t>
  </si>
  <si>
    <t>REF PO TRINK ABACAXI HORTELA 25G</t>
  </si>
  <si>
    <t>REF PO TRINK GOIABA 25G</t>
  </si>
  <si>
    <t>REF PO TRINK GUARANA 25G</t>
  </si>
  <si>
    <t>REF PO TRINK JABUTICABA  25G</t>
  </si>
  <si>
    <t>REF PO TRINK LAR ACEROLA 25G</t>
  </si>
  <si>
    <t>REF PO TRINK LARANJA 25G</t>
  </si>
  <si>
    <t>REF PO TRINK LARANJA BAHIA 25G</t>
  </si>
  <si>
    <t>REF PO TRINK LARANJA E MAMÃO 25G</t>
  </si>
  <si>
    <t>REF PO TRINK LIMAO 25G</t>
  </si>
  <si>
    <t>REF PO TRINK LIMAO HORTELA 25G</t>
  </si>
  <si>
    <t>REF PO TRINK LIMONADA SUICA 25G</t>
  </si>
  <si>
    <t>REF PO TRINK MACA 25G</t>
  </si>
  <si>
    <t>REF PO TRINK MANGA 25G</t>
  </si>
  <si>
    <t>REF PO TRINK MARACUJA 25G</t>
  </si>
  <si>
    <t>REF PO TRINK MOR LIMAO 25G</t>
  </si>
  <si>
    <t>REF PO TRINK MORANGO 25G</t>
  </si>
  <si>
    <t>REF PO TRINK PESSEGO 25G</t>
  </si>
  <si>
    <t>REF PO TRINK PITANGA 25G</t>
  </si>
  <si>
    <t>REF PO TRINK TANGERINA 25G</t>
  </si>
  <si>
    <t>REF PO TRINK UVA 25G</t>
  </si>
  <si>
    <t>REF GUARANA ANTARCTICA LT 350ML</t>
  </si>
  <si>
    <t>Lava Roupas Líquido Plush Biopower 1L</t>
  </si>
  <si>
    <t>LAVA ROUPAS LIQ PLUSH BIOPOWER 1L</t>
  </si>
  <si>
    <t xml:space="preserve">LAVA RP LIQ PLUSH 1L BIOPOWER TQ AMAC CONFORTO   </t>
  </si>
  <si>
    <t xml:space="preserve">LAVA RP LIQ PLUSH 1L BIOPOWER DELICADO    </t>
  </si>
  <si>
    <t>LAVA RP LIQ PLUSH 1L BIOPOWER COCO</t>
  </si>
  <si>
    <t>GATORADE 500ML MELANCIA MOR PET</t>
  </si>
  <si>
    <t>Vodka Vorus Tradicional/Red Berry 1L</t>
  </si>
  <si>
    <t>Bombom Arcor Tortuguita Mix 134,5g</t>
  </si>
  <si>
    <t>AGUA SANITARIA YPE L 2L P 1,8L</t>
  </si>
  <si>
    <t>VODKA VORUS FR VERMELHAS 1L</t>
  </si>
  <si>
    <t>RACAO PEDIGREE NUTR ESSENCIAL AD 900G</t>
  </si>
  <si>
    <t>Batata Palito Mais Batata Pacote 2Kg</t>
  </si>
  <si>
    <t>KIT PANTENE SH 350ML COND 150ML COLAGENO</t>
  </si>
  <si>
    <t>DESOD AR GLADE AERO 360ML OF ESP FRUTAS FLORES VIB</t>
  </si>
  <si>
    <t>Amaciante Mon Bijou Mais+ 1,7L</t>
  </si>
  <si>
    <t>Vinho Português Carmim Putos Tinto DOC 750ml</t>
  </si>
  <si>
    <t>VH PORT CARMIM PUTOS T DOC 2021 750ML</t>
  </si>
  <si>
    <t>AMAC MON BIJOU +CUIDADO 1,7L BRANCO</t>
  </si>
  <si>
    <t>AMAC MON BIJOU +FRESCOR 1,7L VERMELHO</t>
  </si>
  <si>
    <t>AMAC MON BIJOU +MACIEZ 1,7L ROSA</t>
  </si>
  <si>
    <t>AMAC MON BIJOU +PERFUME 1,7L  AZUL</t>
  </si>
  <si>
    <t>AMAC MON BIJOU +PROTEÇÃO 1,7L MAGIA</t>
  </si>
  <si>
    <t>Fardo c/18</t>
  </si>
  <si>
    <t>Vinho Argentino Norton Porteño 750ml</t>
  </si>
  <si>
    <t>Ração para Cães Pedigree Lata 280g</t>
  </si>
  <si>
    <t>Ração para Gatos Whiskas Lata 290g</t>
  </si>
  <si>
    <t>RACAO UMIDA PATE PEDIGREE CARNE AD LT 280G</t>
  </si>
  <si>
    <t>RACAO UMIDA PATE PEDIGREE CARNE FRANGO FIL LT 280G</t>
  </si>
  <si>
    <t>RACAO UMIDA PATE PEDIGREE FRANGO AD LT 280G</t>
  </si>
  <si>
    <t>RACAO UMIDA WHISKAS ATUM AO MOLHO LT 290G</t>
  </si>
  <si>
    <t>RACAO UMIDA WHISKAS ATUM LT 290G</t>
  </si>
  <si>
    <t>RACAO UMIDA WHISKAS CARNE LT 290G</t>
  </si>
  <si>
    <t>RACAO UMIDA WHISKAS FRANGO LT 290G</t>
  </si>
  <si>
    <t>RACAO UMIDA WHISKAS PEIXE LT 290G</t>
  </si>
  <si>
    <t>VH ARG NORTON PORTENO T SUAVE 750ML</t>
  </si>
  <si>
    <t>VH ARG NORTON PORTENO MALBEC 2021 750ML</t>
  </si>
  <si>
    <t>VH ARG NORTON PORTENO CHARDONNAY 2021 750ML</t>
  </si>
  <si>
    <t>VH ARG NORTON PORTENO CAB SAUV 2021 750ML</t>
  </si>
  <si>
    <t>VH ARG NORTON PORTENO B SUAVE 2021 750ML</t>
  </si>
  <si>
    <t>SABONETE FARNESE CERAMIDAS 180G</t>
  </si>
  <si>
    <t xml:space="preserve">RACAO UMIDA PATE PEDIGREE FGO AO MOLHO LT 290G </t>
  </si>
  <si>
    <t xml:space="preserve">RACAO UMIDA PATE PEDIGREE CARNE AO MOLHO LT 290G </t>
  </si>
  <si>
    <t xml:space="preserve">RACAO UMIDA WHISKAS CARNE LT 290G </t>
  </si>
  <si>
    <t>Pão de Forma Pullman Artesano Tradicional/Integral/Pão na Chapa 500g</t>
  </si>
  <si>
    <t>Pão de Forma Panutrir 450g</t>
  </si>
  <si>
    <t xml:space="preserve">Petit Suisse Danoninho Bandeja c/8 - 320g </t>
  </si>
  <si>
    <t>Whiskey Jack Daniel´s Old Nº7 - 1L</t>
  </si>
  <si>
    <t>Whisky Bell's Tradicional 700ml</t>
  </si>
  <si>
    <t>WHISKY BELLS ORIGINAL 700ML</t>
  </si>
  <si>
    <t>PAO DE FORMA PULLMAN ARTESANO INTEGRAL 500G</t>
  </si>
  <si>
    <t>PAO DE FORMA PULLMAN ARTESANO PAO NA CHAPA 500G</t>
  </si>
  <si>
    <t>AMAC CONC YPE ALQUIMIA 50DESC 500ML C2</t>
  </si>
  <si>
    <t>RE TRINK 25G MACA UM</t>
  </si>
  <si>
    <t xml:space="preserve">NESCAFE D GUSTO CHOCOCINO ALPINO 216G        </t>
  </si>
  <si>
    <t>Creme Dental Oral-B 3D White Fresh 70g</t>
  </si>
  <si>
    <t>Lava Roupas Líquido Tixan Ypê Primavera Leve 3L Pague 2,7L</t>
  </si>
  <si>
    <t>Biscoito Marilan Recheado 90g (Bauny/Chocolate/Doce de Leite/Morango)</t>
  </si>
  <si>
    <t>Chinelo Ipanema Litoral Adulto Masculino Cores - (Ref: 26769)</t>
  </si>
  <si>
    <t>BISC RECH MARILAN BAUNY 90G</t>
  </si>
  <si>
    <t>BISC RECH MARILAN CHOCOLATE 90G</t>
  </si>
  <si>
    <t>BISC RECH MARILAN DOCE LEITE 90G</t>
  </si>
  <si>
    <t>BISC RECH MARILAN MORANGO 90G</t>
  </si>
  <si>
    <t>CD ORAL B 70G 3D WHITE FRESH</t>
  </si>
  <si>
    <t xml:space="preserve">CHINELO IPANEMA LITORAL ADULTO MASCULINO </t>
  </si>
  <si>
    <t>LAVA ROUPAS LIQ TIXAN YPE PRIMAVERA 10DESC 3L</t>
  </si>
  <si>
    <t>NESCAFE DOLCE GUSTO CHOCOCINO 256G</t>
  </si>
  <si>
    <t xml:space="preserve">CH IPANEMA 26769 LITORAL MASC PAR  </t>
  </si>
  <si>
    <t>Papel Higiênico Neve Neutro F/D 20m c/4</t>
  </si>
  <si>
    <t>Garrafa Térmica Unitermi Florença 650ml</t>
  </si>
  <si>
    <t>Cerveja Budweiser Lata 350ml</t>
  </si>
  <si>
    <t>PAPEL HIG FD NEVE NEUTRO 20M C4</t>
  </si>
  <si>
    <t>GRF TERM UNITERMI FLORENÇA PRETA 650ML</t>
  </si>
  <si>
    <t>GRF TERM UNITERMI FLORENÇA ROSA 650ML</t>
  </si>
  <si>
    <t>GRF TERM UNITERMI FLORENÇA VERM 650ML</t>
  </si>
  <si>
    <t>CERVEJA BUDWEISER LT 350ML</t>
  </si>
  <si>
    <t>CERV BUDWEISER 350ML FD 12UN</t>
  </si>
  <si>
    <t>VODKA VORUS 1L FRUTAS VERM RED BERRIES</t>
  </si>
  <si>
    <t>MORTADELA SEARA - Fatiado</t>
  </si>
  <si>
    <t xml:space="preserve">Arroz Tio João Tipo 1 - 2Kg </t>
  </si>
  <si>
    <t>Ave Fiesta Seara Temperado Congelado - Kg</t>
  </si>
  <si>
    <t xml:space="preserve">AVE FIESTA SEARA TEMPERADO CONGELADO </t>
  </si>
  <si>
    <t>ARROZ TIO JOAO 2KG</t>
  </si>
  <si>
    <t>Chuveiro Lorenzetti Bella Ducha 4T Blister 127V/220V 4800/6800W</t>
  </si>
  <si>
    <t xml:space="preserve">Cerveja Puro Malte Moinho Real Lata 350ml </t>
  </si>
  <si>
    <t>CERV MOINHO REAL LT 350ML</t>
  </si>
  <si>
    <t xml:space="preserve">PETIT DANONE DANONINHO BDJ 320G CR DOCE LEITE </t>
  </si>
  <si>
    <t>Bombom Garoto Sortido 250g</t>
  </si>
  <si>
    <t>Cerveja Brahma Pilsen Lata 350ml/Cerveja Skol Pilsen Lata 350ml</t>
  </si>
  <si>
    <t>Achocolatado em Pó 3 Corações Sachê Leve 750g Pague 700g</t>
  </si>
  <si>
    <t>Vinho Almadén Vintage Cabernet Shiraz/Chenin Muscat 750ml</t>
  </si>
  <si>
    <t>BOMBOM GAROTO SORTIDO 250G</t>
  </si>
  <si>
    <t>CERVEJA BRAHMA LT 350ML</t>
  </si>
  <si>
    <t>CERVEJA SKOL LT 350ML</t>
  </si>
  <si>
    <t>ACHOC CHOCOLATTO 3C RFL L750G P700G</t>
  </si>
  <si>
    <t xml:space="preserve">CERV BRAHMA CHOPP 350ML FD 12UN       </t>
  </si>
  <si>
    <t xml:space="preserve">CERV SKOL 350ML FD 12UN   </t>
  </si>
  <si>
    <t>CHUVEIRO LORENZETTI BELLA DUCHA 4T 127V 4800W</t>
  </si>
  <si>
    <t>CHUVEIRO LORENZETTI BELLA DUCHA 4T 220V 6800W</t>
  </si>
  <si>
    <t>Atum Pescador Ralado Óleo/Natural Lata 140g</t>
  </si>
  <si>
    <t>Fraldas Huggies Tripla Proteção Jumbinho (P/18 - M/16 - G/14)</t>
  </si>
  <si>
    <t>Atum Pescador Sólido Óleo/Natural Lata 140g</t>
  </si>
  <si>
    <t>SUCO DE UVA INT MAGUARY SELECAO TINTO 1,5L</t>
  </si>
  <si>
    <t>MAC INTEGRAL RENATA PENNE 500G</t>
  </si>
  <si>
    <t>MAC INTEGRAL RENATA FUSILLI 500G</t>
  </si>
  <si>
    <t>MAC INTEGRAL RENATA FARFALLE 500G</t>
  </si>
  <si>
    <t>MAC INTEGRAL RENATA ESPAG 8 500G</t>
  </si>
  <si>
    <t>SARDINHA COQUEIRO 125G OLEO</t>
  </si>
  <si>
    <t>Saque Jun Daiti 670ml</t>
  </si>
  <si>
    <t>Cerveja Heineken Zero Álcool Lata 350ml</t>
  </si>
  <si>
    <t>CERVEJA ORIGINAL 600ML C 12UN</t>
  </si>
  <si>
    <t>SAQUE JUN DAITI 670ML</t>
  </si>
  <si>
    <t>CERV HEINEKEN ZERO LT 350ML</t>
  </si>
  <si>
    <t>Bebida Láctea Uht Yopro 15g de Proteína 250ml</t>
  </si>
  <si>
    <t>Toalha de Papel Kitchen Clássica 100 Folhas</t>
  </si>
  <si>
    <t>Sabonete Dove Tradicional 90g</t>
  </si>
  <si>
    <t>TOALHA PAPEL KITCHEN CLASSICA  100F C2</t>
  </si>
  <si>
    <t>BEB LAC YOPRO BANANA 250ML</t>
  </si>
  <si>
    <t>BEB LAC YOPRO CHOC 250ML</t>
  </si>
  <si>
    <t>BEB LAC YOPRO COCO BATATA DOCE 250ML</t>
  </si>
  <si>
    <t>BEB LAC YOPRO MORANGO 250ML</t>
  </si>
  <si>
    <t>NESCAFE D GUSTO DOCE LEITE 204G</t>
  </si>
  <si>
    <t>Cerveja Antarctica Original Garrafa Caixa com 12 unidades de 600ml (Nesta embalagem, no Clube Das Ofertas, a unidade sai a R$7,49) *Vasilhame Grátis</t>
  </si>
  <si>
    <t>Filé de Tilápia Copacol Pacote 400g</t>
  </si>
  <si>
    <t>Água de Coco Puro Coco 1L</t>
  </si>
  <si>
    <t>Bebida Láctea Polpa Vigor Sabores 510g</t>
  </si>
  <si>
    <t>Lava Roupas em Pó Tixan Ypê Antibac 1Kg</t>
  </si>
  <si>
    <t>Suco de Uva Integral Maguary Seleção 1,5L</t>
  </si>
  <si>
    <t>Condicionador Coala Beauty 300ml</t>
  </si>
  <si>
    <t>Shampoo Coala Beauty 300ml</t>
  </si>
  <si>
    <t>BEB LACTEA POLPA VIGOR MORANGO 510G</t>
  </si>
  <si>
    <t>BEB LACTEA POLPA VIGOR VITAMINA 510G</t>
  </si>
  <si>
    <t>AGUA DE COCO PURO COCO 1L</t>
  </si>
  <si>
    <t>COND COALA BEAUTY ABSOLUTE LISS 300ML</t>
  </si>
  <si>
    <t>COND COALA BEAUTY NATURAL HIDRAT 300ML</t>
  </si>
  <si>
    <t>COND COALA BEAUTY NUTRI CONTROL 300ML</t>
  </si>
  <si>
    <t>COND COALA BEAUTY TOTAL RECONSTRUCTION 300ML</t>
  </si>
  <si>
    <t>COND COALA BEAUTY WAVE CONTROL 300ML</t>
  </si>
  <si>
    <t>SH COALA BEAUTY ABSOLUTE LISS 300ML</t>
  </si>
  <si>
    <t>SH COALA BEAUTY MAX BLOND 300ML</t>
  </si>
  <si>
    <t>SH COALA BEAUTY NATURAL HIDRAT 300ML</t>
  </si>
  <si>
    <t>SH COALA BEAUTY NUTRI CONTROL 300ML</t>
  </si>
  <si>
    <t>SH COALA BEAUTY SHOWER 3 EM 1 300ML</t>
  </si>
  <si>
    <t>SH COALA BEAUTY TOTAL RECONSTRUCTION 300ML</t>
  </si>
  <si>
    <t>SH COALA BEAUTY WAVE CONTROL 300ML</t>
  </si>
  <si>
    <t>LAVA ROUPAS PO TIXAN YPE ANTIBAC 1KG</t>
  </si>
  <si>
    <t>FILE TILAPIA COPACOL 400G</t>
  </si>
  <si>
    <t>Energético Red Bull Tradicional 250ml</t>
  </si>
  <si>
    <t>ENERGETICO RED BULL 250ML</t>
  </si>
  <si>
    <t>CERV ORIGINAL 600ML</t>
  </si>
  <si>
    <t xml:space="preserve">FRALDA PAMPERS CONFORT SEC BAG XXG 52UN    </t>
  </si>
  <si>
    <t xml:space="preserve">FRALDA PAMPERS CONFORT SEC BAG XG 54UN     </t>
  </si>
  <si>
    <t>Requeijão Danone Tradicional Copo 200g</t>
  </si>
  <si>
    <t>Kit Amaciante Concentrado Ypê Alquímia 500ml 50% na 2ª Unidade c/2</t>
  </si>
  <si>
    <t>Palmito de Açaí Gentleman Inteiro Vidro 300g</t>
  </si>
  <si>
    <t>REQUEIJAO CREMOSO DANONE 200G</t>
  </si>
  <si>
    <t>PALMITO ACAI GENTLEMAN INTEIRO 300G</t>
  </si>
  <si>
    <t>Fraldas Huggies Tripla Proteção Jumbinho (P/18 - M/16 - G/14 - XG/14 - XXG/12)</t>
  </si>
  <si>
    <t>Filé de Tilápia Iglu Corte V Pacote 800g</t>
  </si>
  <si>
    <t>FILE TILAPIA CORTE V IGLU 800G</t>
  </si>
  <si>
    <t>KIT PANTENE SH 400ML COND 175ML BRILHO EXTREMO UN</t>
  </si>
  <si>
    <t>Azeite Extra Virgem Deleyda Clássico 500ml (Acidez Máxima 0,2%)</t>
  </si>
  <si>
    <t>Macarrão Italiano Paganini Fusilli/Penne/Spaghetti/Tagliatelle 500g</t>
  </si>
  <si>
    <t>AZEITE EXT VIRGEM DELEYDA CLASSICO 500ML</t>
  </si>
  <si>
    <t>MAC PAGANINI FUSILLI 500G</t>
  </si>
  <si>
    <t>MAC PAGANINI PENNE RIGATE 500G</t>
  </si>
  <si>
    <t>MAC PAGANINI SPAGHETTI 500G</t>
  </si>
  <si>
    <t>MAC PAGANINI TAGLIATELLE 500G</t>
  </si>
  <si>
    <t>Iogurte Polpa Nestlé Sabores Bandeja c/6 - 510g</t>
  </si>
  <si>
    <t>IOG POLPA NESTLE BI SABOR C6 85G</t>
  </si>
  <si>
    <t>IOG POLPA NESTLE MORANGO C6 85G</t>
  </si>
  <si>
    <t>Pascoattone Casa Suíça Tradicional Frutas/Gotas de Chocolate 500g</t>
  </si>
  <si>
    <t>PASCOATTONE TRAD CASA SUICA GTS CHOC 500G</t>
  </si>
  <si>
    <t>PASCOATTONE TRAD CASA SUICA FRUTAS 500G</t>
  </si>
  <si>
    <t>Molho de Tomate Hemmer Tradicional 300g</t>
  </si>
  <si>
    <t>Cápsula de Café Melitta Cartucho com 10 Unidades</t>
  </si>
  <si>
    <t>Fraldas Huggies Tripla Proteção Jumbinho (P/18 - M/16 - G/14 - XG/12 - XXG/12)</t>
  </si>
  <si>
    <t>Petit Suisse Batavinho Morango Bandeja c/8 - 320g</t>
  </si>
  <si>
    <t>Chocolate Neugebauer Barra Sabores 90g</t>
  </si>
  <si>
    <t>MOLHO TOM HEMMER TRAD SCH 300G</t>
  </si>
  <si>
    <t>FLD HUGGIES TRIPLA PROT JUMBINHO XG C12</t>
  </si>
  <si>
    <t>PETIT SUISSE BATAVINHO MOR 320G</t>
  </si>
  <si>
    <t>CHOC BARRA NEUGE 40 CACAU 90G</t>
  </si>
  <si>
    <t>CHOC BARRA NEUGE AMENDOIM 90G</t>
  </si>
  <si>
    <t xml:space="preserve">CHOC BARRA NEUGE AO LEITE 90G </t>
  </si>
  <si>
    <t>CHOC BARRA NEUGE BRANCO 90G</t>
  </si>
  <si>
    <t xml:space="preserve">CHOC BARRA NEUGE CARAMELO 90G </t>
  </si>
  <si>
    <t xml:space="preserve">CHOC BARRA NEUGE COOKIES 90G </t>
  </si>
  <si>
    <t xml:space="preserve">CHOC BARRA NEUGE FLOCOS 90G </t>
  </si>
  <si>
    <t>CHOC BARRA NEUGE P&amp;B 90G</t>
  </si>
  <si>
    <t>CAPSULA MELITTA MARCATO BIO 50G C10</t>
  </si>
  <si>
    <t>CAPSULA MELITTA RISTRETTO BIO 50G C10</t>
  </si>
  <si>
    <t>CAPSULA MELITTA STACCATO BIO 50G C10</t>
  </si>
  <si>
    <t xml:space="preserve">Desinfetante Urca Lavanda Leve 2L Pague 1,8L </t>
  </si>
  <si>
    <t>Pano Reutilizável Scott Duramax Antibacteriano c/48</t>
  </si>
  <si>
    <t>PANO SCOTT DURAMAX ANTIBACTERIANO C48</t>
  </si>
  <si>
    <t>DESINF URCA LAVANDA LV2L PG1 8L</t>
  </si>
  <si>
    <t>Lava Roupas em Pó Tixan Ypê Antibac Sachê 1Kg</t>
  </si>
  <si>
    <t>LAVA ROUPAS PO TIXAN YPE ANTIBAC SCH 1KG</t>
  </si>
  <si>
    <t>MARGARINA 80 VIGOR S SAL 500G</t>
  </si>
  <si>
    <t>Requeijão Vigor Tradicional Copo 200g</t>
  </si>
  <si>
    <t>Cerveja Stella Artois Long Neck 330ml</t>
  </si>
  <si>
    <t>CERVEJA STELLA ARTOIS L N 330ML</t>
  </si>
  <si>
    <t>LEITE UHT NINHO ZLACTOSE LEVINHO TP 1L</t>
  </si>
  <si>
    <t>LEITE UHT ZLACTOSE LEVINHO TP 1L</t>
  </si>
  <si>
    <t>NESCAFE D GUSTO MOCHACCINO CANELA 10 CAPSULAS 172g</t>
  </si>
  <si>
    <t>NESCAFE DOLCE GUSTO CAFE AU LAIT 10 CAPSULAS 100g</t>
  </si>
  <si>
    <t>NESCAFE DOLCE GUSTO ESPRESSO 10 CAPSULAS 60g</t>
  </si>
  <si>
    <t>NESCAFE DOLCE GUSTO CAPPUCCINO 10 CAPSULAS 117g</t>
  </si>
  <si>
    <t>NESCAFE DOLVE GUSTO CAFFE MATINAL 10 CAPSULAS 80g</t>
  </si>
  <si>
    <t>NESCAFE DOLCE GUSTO ESPRESSO INTENSO 10 CAPSULAS 80g</t>
  </si>
  <si>
    <t>NESCAFE DOLCE GUSTO CHOCOCINO 10 CAPSULAS 160g</t>
  </si>
  <si>
    <t>NESCAFE DOLCE GUSTO LUNGO 10 CAPSULAS 70g</t>
  </si>
  <si>
    <t>NESCAFE DOLCE GUSTO CAFÉ CASEIRO 10 CAPSULAS 80g</t>
  </si>
  <si>
    <t>NESCAFE DOLCE GUSTO LATTE MACCHIATO 10 CAPSULAS 112,5g</t>
  </si>
  <si>
    <t>NESCAFE DOLCE GUSTO CAFE AU LAIT BAUNILHA 10 CAPSULAS 110g</t>
  </si>
  <si>
    <t>LEITE LV NINHO ZERO LACTOSE UHT 1L - CAIXA</t>
  </si>
  <si>
    <t>Pipoca para Micro-ondas Yoki 100g</t>
  </si>
  <si>
    <t>Bombom Neugebauer Hits 200g</t>
  </si>
  <si>
    <t>Ketchup Heinz Sabores 397g</t>
  </si>
  <si>
    <t>Bebida Láctea Vigor Chocolate Tp 200ml</t>
  </si>
  <si>
    <t>Leite Uht Nestlé Ninho Integral Tp 1L</t>
  </si>
  <si>
    <t>BOMBOM NEUGEBAUER HITS 200G</t>
  </si>
  <si>
    <t>Mercearia</t>
  </si>
  <si>
    <t>KETCHUP HEINZ BACON CEBOLA 397G</t>
  </si>
  <si>
    <t>KETCHUP HEINZ PICANTE 397G</t>
  </si>
  <si>
    <t>KETCHUP HEINZ PICLES 397G</t>
  </si>
  <si>
    <t>Energético Energy 15 - 2L</t>
  </si>
  <si>
    <t>Ração para Gatos Qualidy 1Kg</t>
  </si>
  <si>
    <t xml:space="preserve">Ração para Cães Qualidy Carne e Frango 1Kg </t>
  </si>
  <si>
    <t>ENERGETICO ENERGY 15 2L</t>
  </si>
  <si>
    <t>RACAO QUALIDY GATOS CARNE C NUG 1KG</t>
  </si>
  <si>
    <t>RACAO QUALIDY GATOS CAST FRANGO ARROZ 1KG</t>
  </si>
  <si>
    <t>RACAO QUALIDY GATOS DELICIA MAR 1KG</t>
  </si>
  <si>
    <t>CHOC  MILKA IOGURTE DE MORANGO 100G</t>
  </si>
  <si>
    <t>CHOC MILKA LU BISCUITS 87G</t>
  </si>
  <si>
    <t>Bebida Láctea Pirakids Chocolate Tp 200ml</t>
  </si>
  <si>
    <t>Farofa Tradicional Pronta Yoki 400g</t>
  </si>
  <si>
    <t>Lava Roupas em Pó Tixan Ypê CT 800g</t>
  </si>
  <si>
    <t>FAROFA MAND YOKI TEMP PRONTA 400G</t>
  </si>
  <si>
    <t>BEB LAC CHOC PIRAKIDS 200ML</t>
  </si>
  <si>
    <t>LAVA ROUPAS PO TIXAN YPE MACIEZ 800G</t>
  </si>
  <si>
    <t>LAVA ROUPAS PO TIXAN YPE PRIMAVERA 800G</t>
  </si>
  <si>
    <t>PIPOCA YOKI MICRO PCTE 100G PAPRICA PICANTE</t>
  </si>
  <si>
    <t>Nescafé Dolce Gusto Sabores com 10 Cápsulas (Exceto Achocolatados)</t>
  </si>
  <si>
    <t>Cappuccino Melitta Tradicional/Chocolate 200g</t>
  </si>
  <si>
    <t>Maionese Heinz Tradicional Squeeze 390g/Pote 400g</t>
  </si>
  <si>
    <t>Chuveiro Lorenzetti Bella Ducha 4T Blister 127V/220V 5500/6800W</t>
  </si>
  <si>
    <t>Linguiça Mista Fininha Defumada Perdigão 240g</t>
  </si>
  <si>
    <t>MAIONESE HEINZ 390G</t>
  </si>
  <si>
    <t>MAIONESE HEINZ TRAD PT 400G</t>
  </si>
  <si>
    <t>LING MISTA DEF PERDIGAO FININHA 240G</t>
  </si>
  <si>
    <t>Amaciante Downy Brisa de Verão Sache 1,2L</t>
  </si>
  <si>
    <t>AMAC CONC DOWNY BRISA VERAO SCH 1,2L</t>
  </si>
  <si>
    <t>Cerveja Antarctica Original Garrafa 600ml  *Vasilhame Grátis</t>
  </si>
  <si>
    <t>Lava Roupas em Pó Surf Rosas e Flor de Lis Sachê 2,4Kg</t>
  </si>
  <si>
    <t>LAVA ROUPAS PO SURF ROSAS F LIS SCH 2,4KG</t>
  </si>
  <si>
    <t>CHOC MILKA 90G TRIPLE CHOC CACAU UM</t>
  </si>
  <si>
    <t>CHOC MILKA 90G TRIPLE CARAMELO UM</t>
  </si>
  <si>
    <t>CHOC MILKA 100G CHIPS AHOY UM</t>
  </si>
  <si>
    <t>CHOC MILKA 100G OREO</t>
  </si>
  <si>
    <t xml:space="preserve">CHOC MILKA 100 CHER </t>
  </si>
  <si>
    <t>Ketchup Heinz Tradicional 397g</t>
  </si>
  <si>
    <t>KETCHUP HEINZ TRAD 397G</t>
  </si>
  <si>
    <t>Garrafa Térmica Termolar Mundial 1L (Ref. 57245/54971/55841)</t>
  </si>
  <si>
    <t>GRF TERMICA R C MUNDIAL PRETA 1L REF 54971</t>
  </si>
  <si>
    <t>GRF TERMICA R C MUNDIAL VERMELHA 1L REF 55841</t>
  </si>
  <si>
    <t>GRF TERMICA R C MUNDIAL AZUL 1L REF 55842</t>
  </si>
  <si>
    <t>VINHO DOM BOSCO GF 750ML BCO SECO</t>
  </si>
  <si>
    <t>Molho de Tomate Heinz Tradicional 300g</t>
  </si>
  <si>
    <t>Água Sanitária Ypê Leve 2L Pague 1,8L (Emb.10% de desconto)</t>
  </si>
  <si>
    <t>M TOM HEINZ 300G TRADICIONAL UM</t>
  </si>
  <si>
    <t xml:space="preserve">VINHO CHIL STA CAROLINA TTO GF 750ML SUAVE   </t>
  </si>
  <si>
    <t xml:space="preserve">CAFE TOR 3 CORACOES TRAD VACUO PCTE 500G  </t>
  </si>
  <si>
    <t>CAFE TOR 3 CORACOES EXTRAFORTE VACUO 500G</t>
  </si>
  <si>
    <t>Chocolate Neugebauer Barra Sabores 80g</t>
  </si>
  <si>
    <t>Cerveja Corona Extra Long Neck 330ml</t>
  </si>
  <si>
    <t>Biscoito Marilan Água e Sal/Cream Cracker/Cream Cracker Manteiga 350g</t>
  </si>
  <si>
    <t>Cereal Kellogg´s Sucrilhos Original/Chocolate/Doce de Leite 240g</t>
  </si>
  <si>
    <t>CHOC BARRA NEUGE AMENDOIM 80G</t>
  </si>
  <si>
    <t>CHOC BARRA NEUGE 40% CACAU 80G</t>
  </si>
  <si>
    <t>CHOC BARRA NEUGE P&amp;B 80G</t>
  </si>
  <si>
    <t>CHOC BARRA NEUGE AMENDOLATE 80G</t>
  </si>
  <si>
    <t>CHOC BARRA NEUGE FLOCOS 80G</t>
  </si>
  <si>
    <t>CHOC BARRA NEUGE BRANCO 80G</t>
  </si>
  <si>
    <t>CHOC BARRA NEUGE AO LEITE 80G</t>
  </si>
  <si>
    <t>CHOC BARRA NEUGE COOKIES 80G</t>
  </si>
  <si>
    <t>CHOC BARRA NEUGE CARAMELO 80G</t>
  </si>
  <si>
    <t>CERV CORONA EXTRA LN 330ML</t>
  </si>
  <si>
    <t>LAVA ROUPAS PO TIXAN MACIEZ LV 1,6KG PG 1,52KG</t>
  </si>
  <si>
    <t>LAVA ROUPAS PO TIXAN PRIMAVERA LV 1,6KG PG 1,52KG</t>
  </si>
  <si>
    <t>CHOC NEUGEBAUER BARRA 90G 40 CACAU UM</t>
  </si>
  <si>
    <t xml:space="preserve">CHOC NEUGEBAUER BARRA 90G COOKIES UN   </t>
  </si>
  <si>
    <t xml:space="preserve">CHOC NEUGEBAUER BARRA 90G FLOCOS UN      </t>
  </si>
  <si>
    <t xml:space="preserve">CHOC NEUGEBAUER BARRA 90G CARAMELO UN     </t>
  </si>
  <si>
    <t xml:space="preserve">CHOC NEUGEBAUER BARRA 90G PTO BCO UN  </t>
  </si>
  <si>
    <t xml:space="preserve">KIT PANTENE SH 300ML COND 150ML EQUILIBRIO   </t>
  </si>
  <si>
    <t>CHOC BARRA NEUGE AO LEITE 90G</t>
  </si>
  <si>
    <t>CERV CORONA EXTRA LN - CAIXA 06UN</t>
  </si>
  <si>
    <t>Queijo Tipo Gorgonzola Vigor Fracionado 100g</t>
  </si>
  <si>
    <t>Linguiça Calabresa Seara Pacote 400g</t>
  </si>
  <si>
    <t>Cappuccino Melitta 200g</t>
  </si>
  <si>
    <t>Café Pilão Vácuo 500g</t>
  </si>
  <si>
    <t>Chocolate M&amp;M´s Ao Leite/com Amendoim Pouch 148g</t>
  </si>
  <si>
    <t xml:space="preserve">Água Mineral Com Gás Prata Pet 1,27L </t>
  </si>
  <si>
    <t>QUEIJO TP GORGONZOLA VIGOR FRAC 100G</t>
  </si>
  <si>
    <t>LING CALABRESA SEARA 400G</t>
  </si>
  <si>
    <t>CAPPUCCINO MELITTA CHOC AVELA 200G</t>
  </si>
  <si>
    <t>CAPPUCCINO MELITTA CHOC LARANJA 200G</t>
  </si>
  <si>
    <t>AGUA MINERAL PRATA C GAS PET 1,27L</t>
  </si>
  <si>
    <t>CERV CORONA EXTRA LN - CAIXA 24UN</t>
  </si>
  <si>
    <t>Lava Roupas em Pó Tixan Primavera Sachê 800g Grátis 80g</t>
  </si>
  <si>
    <t>Queijo Ralado Matilat 40g</t>
  </si>
  <si>
    <t>Maionese Heinz Sabores 215g</t>
  </si>
  <si>
    <t>LAVA ROUPAS PO TIXAN PRIMAVERA SCH 800G GT 80G</t>
  </si>
  <si>
    <t>QUEIJO RALADO MATILAT 40G</t>
  </si>
  <si>
    <t>MAIONESE HEINZ ALHO ERVAS 215G</t>
  </si>
  <si>
    <t>MAIONESE HEINZ PAPRICA DEFUMA 215G</t>
  </si>
  <si>
    <t>MAIONESE HEINZ 215G</t>
  </si>
  <si>
    <t xml:space="preserve">CAFE TOR PILAO VACUO PCTE 500G EXTRA FORTE     </t>
  </si>
  <si>
    <t xml:space="preserve">CAFE TOR PILAO VACUO PCTE 500G TRAD     </t>
  </si>
  <si>
    <t xml:space="preserve">CAP MELITTA CAFE AUDACCE 5 BIO 50G C10        </t>
  </si>
  <si>
    <t xml:space="preserve">CAP MELITTA CAFE TENUTO 4 BIO 50G C10  </t>
  </si>
  <si>
    <t xml:space="preserve">VINHO PORT QUINTA BONS VENTOS 750ML ROSE  </t>
  </si>
  <si>
    <t xml:space="preserve">VINHO PORT QUINTA BONS VENTOS VERDE BRANCO 750ML </t>
  </si>
  <si>
    <t xml:space="preserve">VINHO PORT QUINTA BONS VENTOS 750ML BCO </t>
  </si>
  <si>
    <t>Leite Uht Nestlé Ninho/Molico/Levinho/Molico Mais Proteína Zero Lactose Integral Tp 1L</t>
  </si>
  <si>
    <t>LEITE UHT MOLICO ZLAC DESNAT MAIS PROTEINA TP 1L</t>
  </si>
  <si>
    <t>LEITE LV MOLICO DESNAT ZERO LACT UHT 1L</t>
  </si>
  <si>
    <t>Hambúrguer Misto Perdigão 672g</t>
  </si>
  <si>
    <t>Milho Verde Quero Lata 170g</t>
  </si>
  <si>
    <t>Hambúrguer Bovino Defumado Perdigão 672g</t>
  </si>
  <si>
    <t>MILHO VERDE QUERO LT 170G</t>
  </si>
  <si>
    <t>Pão de Alho Zinho Bolinha Tradicional/Picante 300g</t>
  </si>
  <si>
    <t>KIT WHISKEY JACK DANIELS 1L</t>
  </si>
  <si>
    <t xml:space="preserve">Feijão Carioca Premium Picinin 1Kg </t>
  </si>
  <si>
    <t>PAO DE ALHO BOLINHA ZINHO TRAD 300G</t>
  </si>
  <si>
    <t>PAO DE ALHO BOLINHA ZINHO PICANTE 300G</t>
  </si>
  <si>
    <t>Chinelo Cartago Atlanta Adulto Masculino – (Ref: 11840)</t>
  </si>
  <si>
    <t>CHINELO CARTAGO ATLANTA 11840</t>
  </si>
  <si>
    <t xml:space="preserve">Chinelo Rider Feel Urbano Adulto – (Ref:12318) </t>
  </si>
  <si>
    <t>CHINELO RIDER FEEL 12318</t>
  </si>
  <si>
    <t>Macarrão Barilla Ovos Espaguete/Parafuso 500g</t>
  </si>
  <si>
    <t>Ketchup Heinz Tradicional/Bacon/Picles/Picante 397g</t>
  </si>
  <si>
    <t>Leite Uht Piracanjuba Semidesnatado Zero Lactose Tp 1L</t>
  </si>
  <si>
    <t>Massa para Lasanha Barilla com Ovos 200g</t>
  </si>
  <si>
    <t>Macarrão Italiano Barilla Spaghetti 500g</t>
  </si>
  <si>
    <t>Macarrão Italiano Barilla Penne Rigate 500g</t>
  </si>
  <si>
    <t>Molho de Tomate Barilla Basilico 400g</t>
  </si>
  <si>
    <t xml:space="preserve">Espumante Moscatel Verse Peterlongo 660ml </t>
  </si>
  <si>
    <t>MAC BARILLA OVOS ESPAGUETE N8 500G</t>
  </si>
  <si>
    <t>MAC BARILLA OVOS PARAFUSO 500G</t>
  </si>
  <si>
    <t>LASANHA OVOS BARILLA 200G</t>
  </si>
  <si>
    <t>MAC BARILLA SPAGHETTI 500G</t>
  </si>
  <si>
    <t>MAC BARILLA PENNE RIGATE 500G</t>
  </si>
  <si>
    <t>MOLHO TOM BARILLA BASILICO MANJERICAO VD 400G</t>
  </si>
  <si>
    <t>REF TAUBAIANA 2L</t>
  </si>
  <si>
    <t xml:space="preserve">MAC BARILLA OVOS 500G FETTUCCINE UN </t>
  </si>
  <si>
    <t>MAC BARILLA OVOS 500G AVE MARIA UN</t>
  </si>
  <si>
    <t xml:space="preserve">MAC BARILLA OVOS 500G LINGUINE UN </t>
  </si>
  <si>
    <t>MAC BARILLA OVOS 500G PAI NOSSO UM</t>
  </si>
  <si>
    <t>MAC BARILLA OVOS 500GR ESPAGUETINHO 9</t>
  </si>
  <si>
    <t>MAC BARILLA OVOS 500G PENNE</t>
  </si>
  <si>
    <t>MAC BARILLA 500G SPAGHETTINI 3</t>
  </si>
  <si>
    <t>MAC BARILLA 500G SPAGHETTONI 7</t>
  </si>
  <si>
    <t xml:space="preserve">MAC BARILLA 500G BAVETTE N 13  </t>
  </si>
  <si>
    <t>Maionese Heinz Tradicional/Páprica Picante 215g</t>
  </si>
  <si>
    <t>Suco de Uva Integral Maguary Seleção 1,35L</t>
  </si>
  <si>
    <t>Cerveja Itaipava Malzbier Long Neck 330ml</t>
  </si>
  <si>
    <t>Vassoura Bettanin Noviça Varry 1000 - (Ref: 1002)</t>
  </si>
  <si>
    <t>Achocolatado em Pó Chocolatto 3 Corações Sachê 560g</t>
  </si>
  <si>
    <t>Linguiça Mista Fininha Defumada Perdigão 215g</t>
  </si>
  <si>
    <t>CERV ITAIPAVA MALZBIER LN 330ML</t>
  </si>
  <si>
    <t>ACHOC CHOCOLATTO 3C RFL 560G</t>
  </si>
  <si>
    <t>LING MISTA DEF PERDIGAO FININHA 215G</t>
  </si>
  <si>
    <t>SUCO DE UVA INT MAGUARY SELECAO TINTO 1 35L</t>
  </si>
  <si>
    <t>VASSOURA NOVICA BETTANIN VARRY 1000 REF 1002</t>
  </si>
  <si>
    <t xml:space="preserve">CERV ITAIPAVA L NECK MALZ 330ML FD 6UN  </t>
  </si>
  <si>
    <t>Panettone Parati Brigadeiro/Chocolate/Frutas Sachê 400g/450g</t>
  </si>
  <si>
    <t>Panettone Parati Chocomax Avelã/Chocolate Sachê 400g</t>
  </si>
  <si>
    <t>Coxinha da Asa de Frango Empanada Seara Tradicional/Apimentada 400g</t>
  </si>
  <si>
    <t>Empanado Big Tekitos Tradicional/Queijo 900g</t>
  </si>
  <si>
    <t>Empanado de Frango Recheado Seara Presunto e Queijo 110g</t>
  </si>
  <si>
    <t>Iscas de Frango Empanadas Seara Tradicional/Apimentada 300g</t>
  </si>
  <si>
    <t>Vinho Dom Bosco 750ml (*Exceto Branco Suave)</t>
  </si>
  <si>
    <t xml:space="preserve">Kit Whiskey Jack Daniel´s Old Nº7 - 1L Com Dois Copos </t>
  </si>
  <si>
    <t>PANETTONE PARATI CHOC SCH 400G</t>
  </si>
  <si>
    <t>PANETTONE PARATI CHOCOMAX AVELA SCH 400G</t>
  </si>
  <si>
    <t>PANETTONE PARATI CHOCOMAX SCH 400G</t>
  </si>
  <si>
    <t>PANETTONE PARATI FRUTAS SCH 450G</t>
  </si>
  <si>
    <t>PANETTONE PARATI BRIGADEIRO SCH 400G</t>
  </si>
  <si>
    <t>COXINHA ASA FRANGO SEARA EMP PIM 400G</t>
  </si>
  <si>
    <t>COXINHA ASA FRANGO SEARA EMP TRAD 400G</t>
  </si>
  <si>
    <t>EMPANADO BIG TEKITOS QUEIJO 900G</t>
  </si>
  <si>
    <t>EMPANADO BIG TEKITOS TRADICIONAL 900G</t>
  </si>
  <si>
    <t>EMPANADO FRANGO SEARA PRES QUEIJO 110G</t>
  </si>
  <si>
    <t>ISCAS FRANGO SEARA EMP PIM 300G</t>
  </si>
  <si>
    <t>ISCAS FRANGO SEARA EMP TRAD 300G</t>
  </si>
  <si>
    <t>Vinho Português Bons Ventos 750ml</t>
  </si>
  <si>
    <t>Whisky Black White 1L</t>
  </si>
  <si>
    <t>Achocolatado em Pó Chocolatto 3 Corações Lata 370g</t>
  </si>
  <si>
    <t>Ração para Cães Pedigree Nutrição Essencial Adulto Leve 10,1kg Pague 9kg</t>
  </si>
  <si>
    <t>Detergente Líquido Ypê Clear/Neutro Pack com 6 Unidades de 500ml (Nesta embalagem, no Clube Das Ofertas, a unidade sai por R$ 1,99)</t>
  </si>
  <si>
    <t>Chinelo Ipanema Meu Sol Adulto Cores - (Ref: 27130)</t>
  </si>
  <si>
    <t>WHISKY BLACK WHITE BLENDED 1L</t>
  </si>
  <si>
    <t>BATATA PALITO MAIS BATATA PCT 1 5KG</t>
  </si>
  <si>
    <t>ACHOC CHOCOLATTO 3C LATA 370G</t>
  </si>
  <si>
    <t>RACAO PEDIGREE NUTR ESSENCIAL AD L10,1 PG 9KG</t>
  </si>
  <si>
    <t>CHINELO IPANEMA MEU SOL ADULTO CORES - (REF: 27130)</t>
  </si>
  <si>
    <t>Maionese Heinz Tradicional Pote 400g</t>
  </si>
  <si>
    <t>Fraldas Huggies Tripla Proteção Mega (M/42 - G/36 - XG/32 - XXG/32)</t>
  </si>
  <si>
    <t>Batata Palito McCain Airfryer Pacote 600g</t>
  </si>
  <si>
    <t>Leite Uht Nestlé Ninho/Molico/Levinho Zero Lactose Integral Tp 1L</t>
  </si>
  <si>
    <t>Macarrão Caseiro Renata Talharim 1/2/3 - 500g</t>
  </si>
  <si>
    <t>BATATA MCCAIN  AIRFRYER 600G</t>
  </si>
  <si>
    <t>CHOC MILKA BOMBOM MOMENTS OREO 92G</t>
  </si>
  <si>
    <t>CHOC MILKA BOMBOM MOMENTS SORTIDOS 97G</t>
  </si>
  <si>
    <t>CHOC MILKA OREO WHITE 100G</t>
  </si>
  <si>
    <t>Café Caboclo Extra Forte/Tradicional Vácuo 500g</t>
  </si>
  <si>
    <t>Mop Noviça Sekito Bettanin (Ref: 1442)</t>
  </si>
  <si>
    <t xml:space="preserve">Azeite Renata Superiore Extra Virgem 500ml </t>
  </si>
  <si>
    <t>AZEITE EXT VIRGEM RENATA 500ML</t>
  </si>
  <si>
    <t>AMAC CONC URCA BRISA AZUL 1 5L</t>
  </si>
  <si>
    <t>AMAC CONC URCA FLORAL ROSA 1 5L</t>
  </si>
  <si>
    <t>AMAC CONC URCA PAIXAO VERMELHO 1 5L</t>
  </si>
  <si>
    <t>AMAC CONC URCA TERNURA COCO 1 5L</t>
  </si>
  <si>
    <t>MOP SEKITO NOVICA BETTANIN REF 1442</t>
  </si>
  <si>
    <t xml:space="preserve">Água Mineral sem Gás Frescca Pet 5L </t>
  </si>
  <si>
    <t>AGUA MINERAL FRESCCA S GAS 5L</t>
  </si>
  <si>
    <t>CAFE TOR CABOCLO VACUO 500G TRAD</t>
  </si>
  <si>
    <t>Lata Sleek</t>
  </si>
  <si>
    <t>Fardo C/12 Sleek</t>
  </si>
  <si>
    <t>Cerveja Heineken Lata 269ml</t>
  </si>
  <si>
    <t>Ração Pedigree Nutrição Essencial Adulto 900g</t>
  </si>
  <si>
    <t>Ketchup Heinz Tradicional/Picante 397g</t>
  </si>
  <si>
    <t>Azeite Italiano Paganini Extra Virgem 500ml</t>
  </si>
  <si>
    <t>Ração KiteKat Carne 900g</t>
  </si>
  <si>
    <t>AZEITE EXT VIRGEM PAGANINI 500ML</t>
  </si>
  <si>
    <t>CERV HEINEKEN LT 269ML</t>
  </si>
  <si>
    <t>CERV HEINEKEN LT 269ML - CAIXA COM 8</t>
  </si>
  <si>
    <t>RACAO KITEKAT MIX CARNE 900G</t>
  </si>
  <si>
    <t>Papel Higiênico Noble Folha Dupla 20m c/12</t>
  </si>
  <si>
    <t>Lava Roupas em Pó Urca Casa e Roupa 800g</t>
  </si>
  <si>
    <t>Toalha de Papel Kitchen Jumbo com 240 Folhas</t>
  </si>
  <si>
    <t>Esponja Esfrelux Multiuso Leve 4 Pague 3 - (Ref: 765)</t>
  </si>
  <si>
    <t>Água Sanitária Ypê 2L</t>
  </si>
  <si>
    <t>Rodo Santa Maria Plástico 30cm/40cm - (Ref: 351/352)</t>
  </si>
  <si>
    <t>PAPEL HIG FD NOBLE 20M C12</t>
  </si>
  <si>
    <t>AGUA SANITARIA YPE 2L</t>
  </si>
  <si>
    <t>LAVA ROUPAS PO URCA CASA E ROUPA SCH 800G</t>
  </si>
  <si>
    <t>TOALHA DE PAPEL KITCHEN JUMBO 240F C2</t>
  </si>
  <si>
    <t>ESPONJA ESFRELUX C 4 21MM REF 765</t>
  </si>
  <si>
    <t>RODO PLASTIC ST MARIA 30CM REF351</t>
  </si>
  <si>
    <t>RODO PLASTIC ST MARIA 40CM REF352</t>
  </si>
  <si>
    <t>Maionese Heinz Tradicional/Sabores 215g</t>
  </si>
  <si>
    <t>Pão de Forma Pullman Tradicional/Integral 480g</t>
  </si>
  <si>
    <t>PAO DE FORMA PULLMAN INTEGRAL 480G</t>
  </si>
  <si>
    <t>MAIONESE HEINZ SABOR QUEIJO GORGONZOLA 215G</t>
  </si>
  <si>
    <t>Néctar Maguary Sabores/Sabores Light 1L</t>
  </si>
  <si>
    <t>Amaciante de Roupas Ypê Leve 2L Pague 1,6L</t>
  </si>
  <si>
    <t>Amaciante de Roupas Concentrado Urca 1,5L</t>
  </si>
  <si>
    <t>Iogurte Líquido Danone 850g</t>
  </si>
  <si>
    <t>Óleo de Milho Suavit 900ml</t>
  </si>
  <si>
    <t>NECTAR LIGHT MAGUARY LARANJA 1L</t>
  </si>
  <si>
    <t>NECTAR LIGHT MAGUARY UVA 1L</t>
  </si>
  <si>
    <t>NECTAR MAGUARY ABACAXI 1L</t>
  </si>
  <si>
    <t>NECTAR MAGUARY ABACAXI HORTELA 1L</t>
  </si>
  <si>
    <t>NECTAR MAGUARY CAJU 1L</t>
  </si>
  <si>
    <t>NECTAR MAGUARY GOIABA 1L</t>
  </si>
  <si>
    <t>NECTAR MAGUARY LARANJA 1L</t>
  </si>
  <si>
    <t>NECTAR MAGUARY MACA 1L</t>
  </si>
  <si>
    <t>NECTAR MAGUARY MANGA 1L</t>
  </si>
  <si>
    <t>NECTAR MAGUARY MORANGO 1L</t>
  </si>
  <si>
    <t>NECTAR MAGUARY PESSEGO 1L</t>
  </si>
  <si>
    <t>NECTAR MAGUARY TANGERINA 1L</t>
  </si>
  <si>
    <t>NECTAR MAGUARY UVA 1L</t>
  </si>
  <si>
    <t>IOG LIQ DANONE MORANGO 850G</t>
  </si>
  <si>
    <t>IOG LIQ DANONE VITAMINA 850G</t>
  </si>
  <si>
    <t>OLEO DE MILHO SUAVIT 900ML</t>
  </si>
  <si>
    <t>CERV AMSTEL PURO MALTE LT 350ML</t>
  </si>
  <si>
    <t>BEBIDA FRUTA MAGUARY 1L LIMAO</t>
  </si>
  <si>
    <t xml:space="preserve">BEBIDA FRUTA MAGUARY 1L MARACUJA UN   </t>
  </si>
  <si>
    <t>CHOCOLATE ARCOR MORANGO 80GR</t>
  </si>
  <si>
    <t>Maionese Heinz Tradicional 215g</t>
  </si>
  <si>
    <t>PAPEL HIG NEVE NEUTRO 20M 4UND</t>
  </si>
  <si>
    <t>Vodka Vorus Tradicional 1L</t>
  </si>
  <si>
    <t>ENERG TNT ORIGINAL 473ML</t>
  </si>
  <si>
    <t>ENERG TNT TANGERINA ZERO 473ML</t>
  </si>
  <si>
    <t>ENERG TNT FOCUS 473ML</t>
  </si>
  <si>
    <t>ENERG TNT MACA VERDE ZERO 473ML</t>
  </si>
  <si>
    <t>Suplemento Alimentar Creatina Max Titanium 150g</t>
  </si>
  <si>
    <t>Cerveja Crystal Pilsen Lata 350ml</t>
  </si>
  <si>
    <t>Energético TNT Lata 473ml</t>
  </si>
  <si>
    <t>Leite em Pó Piracanjuba Integral/Instantâneo Sachê 400g</t>
  </si>
  <si>
    <t>Pão de Alho Santa Massa Baguete Tradicional/Picante/Cebola 400g</t>
  </si>
  <si>
    <t>CERV CRYSTAL 350ML</t>
  </si>
  <si>
    <t>CERVEJA CRYSTAL LT 350ML C12</t>
  </si>
  <si>
    <t>CREATINA MAX TITANIUM 150G</t>
  </si>
  <si>
    <t>PAO DE ALHO SANTA MASSA TDM CEBOLA 400G</t>
  </si>
  <si>
    <t>Descrição Tabloide</t>
  </si>
  <si>
    <t xml:space="preserve">ENERGÉTICO TNT AÇAÍ ZERO 473ML </t>
  </si>
  <si>
    <t>Atum Pescador Sólido Óleo Lata 140g</t>
  </si>
  <si>
    <t>Iogurte Frimesa Morango Bandeja c/6 - 540g</t>
  </si>
  <si>
    <t>Isotônico TNT 500ml</t>
  </si>
  <si>
    <t>OVO AVANTE GDE BRANCO PVC C20</t>
  </si>
  <si>
    <t>Maionese Fugini Sachê sem Bico 180g</t>
  </si>
  <si>
    <t>MAIONESE TRAD FUGINI SACHE 180G</t>
  </si>
  <si>
    <t>ISOTONICO TNT LARANJA 500ML</t>
  </si>
  <si>
    <t>ISOTONICO TNT LIMAO 500ML</t>
  </si>
  <si>
    <t>ISOTONICO TNT TANGERINA 500ML</t>
  </si>
  <si>
    <t>ISOTONICO TNT UVA 500ML</t>
  </si>
  <si>
    <t>Leite Fermentado Activia Sabores 800g</t>
  </si>
  <si>
    <t>Pêssego em Calda Neumann 450g</t>
  </si>
  <si>
    <t>Ketchup Tradicional Predilecta 400g</t>
  </si>
  <si>
    <t>LTE FERM ACTIVIA LIQ MORANGO 800G</t>
  </si>
  <si>
    <t>LTE FERM ACTIVIA LIQ AVEIA 800G</t>
  </si>
  <si>
    <t>LTE FERM ACTIVIA LIQ AMEIXA 800G</t>
  </si>
  <si>
    <t>LTE FERM ACTIVIA LIQ  ZERO MORANGO 800G</t>
  </si>
  <si>
    <t>LTE FERM ACTIVIA LIQ  ZERO AMEIXA 800G</t>
  </si>
  <si>
    <t>CATCHUP PREDILECTA TRAD 400G</t>
  </si>
  <si>
    <t>CATCHUP PREDILECTA PICANTE 400G</t>
  </si>
  <si>
    <t>PESSEGO EM CALDA NEUMANN EXTRA 450G</t>
  </si>
  <si>
    <t>Alimento de Soja Purity Original 1L</t>
  </si>
  <si>
    <t>ALIM DE SOJA PURITY ORIGINAL 1L</t>
  </si>
  <si>
    <t>Ovo Branco Avante Grande PVC - Bandeja com 20 Unidades</t>
  </si>
  <si>
    <t>Sardinha Coqueiro Óleo 250g</t>
  </si>
  <si>
    <t>SARDINHA COQUEIRO ÓLEO 250G</t>
  </si>
  <si>
    <t>Queijo Mussarela/Prato Président Fatiado Embalado Pacote - 150g</t>
  </si>
  <si>
    <t>Espumante Celebrate 660ml</t>
  </si>
  <si>
    <t>QUEIJO PRATO PRESIDENT FATIADO 150G</t>
  </si>
  <si>
    <t>QUEIJO MUSSARELA PRESIDENT FATIADO 150G</t>
  </si>
  <si>
    <t>CELEBRATE 660ML</t>
  </si>
  <si>
    <t>Whisky Grand Old Parr 12 Anos 1L</t>
  </si>
  <si>
    <t>WHISKY OLD PARR AGED 12 YEARS 1L</t>
  </si>
  <si>
    <t>Absorvente Intimus Suave com Abas com 16 Unidades</t>
  </si>
  <si>
    <t>Lasanha Forno de Minas 600g</t>
  </si>
  <si>
    <t>Espumante Salton Brut/Demi Seco/Moscatel/Prosecco 750ml</t>
  </si>
  <si>
    <t>ABS INTIMUS TPL SUAVE C AB L16P14</t>
  </si>
  <si>
    <t xml:space="preserve">ESPUMANTE SALTON 750ML BRUT ROSE </t>
  </si>
  <si>
    <t>Vinho Brasileiro Salton Classic Merlot/Cab Sauvignon/Tannat 750ml</t>
  </si>
  <si>
    <t>SARDINHA COQUEIRO 250G TOMATE LT</t>
  </si>
  <si>
    <t>CERV HEINEKEN ZERO LT SLEEK 350ML</t>
  </si>
  <si>
    <t>Iogurte Polpa Nestlé Morango Bandeja c/6 - 510g</t>
  </si>
  <si>
    <t>Atum Coqueiro Ralado Óleo/Natural Lata 170g</t>
  </si>
  <si>
    <t>CERV HEINEKEN FD C/12</t>
  </si>
  <si>
    <t xml:space="preserve">Conhaque Presidente 900ml </t>
  </si>
  <si>
    <t>CONHAQUE PRESIDENTE 900ML</t>
  </si>
  <si>
    <t>Sardinha Coqueiro Óleo/Molho de Tomate 250g</t>
  </si>
  <si>
    <t>SARDINHA COQUEIRO OLEO 250G</t>
  </si>
  <si>
    <t>SARDINHA COQUEIRO M TOM 250G</t>
  </si>
  <si>
    <t xml:space="preserve">SARDINHA COQUEIRO 250G OLEO LT </t>
  </si>
  <si>
    <t>Refrigerante Pepsi Black 2L</t>
  </si>
  <si>
    <t>Pão de Queijo São Geraldo Tradicional/Coquetel 800g</t>
  </si>
  <si>
    <t>PAO DE QUEIJO SAO GERALDO TRAD  800G</t>
  </si>
  <si>
    <t>PAO DE QUEIJO SAO GERALDO COQUETEL 800G</t>
  </si>
  <si>
    <t>REFRIGERANTE PEPSI BLACK 2L</t>
  </si>
  <si>
    <t>1. Status</t>
  </si>
  <si>
    <t>2. Item está nas ofertas do tabloide?</t>
  </si>
  <si>
    <t>3. Vigência</t>
  </si>
  <si>
    <t>Quando item estiver como grama na descrição, sempre cadastrar o Kg, por exemplo: Presunto Sadia Cada 100g Venda R$ 2,49 / Venda Clube R$ 1,99 - Cadastrar no Desconto Loja Venda R$ 24,90 / Venda Clube R$ 19,90 (multiplicar por 10)</t>
  </si>
  <si>
    <t>Chinelo Ipanema Turma da Mônica Infantil - (Ref: 26790)</t>
  </si>
  <si>
    <t>Vassoura Varrecasa Santa Maria - (Ref: 966)</t>
  </si>
  <si>
    <t>VASSOURA VARRECASA ST MARIA REF966</t>
  </si>
  <si>
    <t>CHINELO IPANEMA TURMA DA MONICA INFANTIL REF 26790</t>
  </si>
  <si>
    <t>Café Bom Jesus Tradicional Vácuo 500g</t>
  </si>
  <si>
    <t>Vinho Pérgola Seleção Suave 2L</t>
  </si>
  <si>
    <t>CAFE BOM JESUS TRAD VACUO 500G</t>
  </si>
  <si>
    <t>Água Mineral Ibirá sem Gás 7L</t>
  </si>
  <si>
    <t>AGUA MINERAL IBIRA S GAS 7L</t>
  </si>
  <si>
    <t>CHOC BARRA NESTLE AO LEITE 80G</t>
  </si>
  <si>
    <t>CHOC BARRA NESTLE CLASSIC DUO 80G</t>
  </si>
  <si>
    <t>CHOC BARRA NESTLE CRUNCH 80G</t>
  </si>
  <si>
    <t>CHOC BARRA NESTLE DIPLOMATA 80G</t>
  </si>
  <si>
    <t>CHOC BARRA NESTLE GALAK 80G</t>
  </si>
  <si>
    <t>CHOC BARRA NESTLE MEIO AMARGO 80G</t>
  </si>
  <si>
    <t>CHOC BARRA NESTLE PRESTIGIO 80G</t>
  </si>
  <si>
    <t>CHOC BARRA NESTLE SUFLAIR AO LEITE 80G</t>
  </si>
  <si>
    <t>CHOC BARRA NESTLE SUFLAIR DUO 80G</t>
  </si>
  <si>
    <t>Chocolate Nestlé Sabores Tablete 80g (Exceto Suflair)</t>
  </si>
  <si>
    <t>Lava Roupas em Pó Tixan Ypê Antibac 800g Grátis 2 Lenços Desinfetantes Antibac c/18 Unidades</t>
  </si>
  <si>
    <t>L R PO TIXAN YPE ANTIBAC CT 800G GTS 2 LENCOS C18</t>
  </si>
  <si>
    <t>Chinelo Ipanema Clássica Urbana Cores - (Ref: 25373)</t>
  </si>
  <si>
    <t>CHINELO IPANEMA CLASSICA URBANA CORES REF 25373</t>
  </si>
  <si>
    <t>Macarrão Instantâneo Floriani 70g/85g</t>
  </si>
  <si>
    <t>MAC INST BOB ESPONJA GAL CAIPIRA 70G</t>
  </si>
  <si>
    <t>MAC INST BOB ESPONJA TOMATE 70G</t>
  </si>
  <si>
    <t>CHOC MILKA CONFETTI 100G</t>
  </si>
  <si>
    <t>CHOC MILKA CARAMELO 100G</t>
  </si>
  <si>
    <t>CHOC MILKA BUBBLY 90G</t>
  </si>
  <si>
    <t>FRALDA PAMPERS CONFORT SEC BAG XXXG 44UN</t>
  </si>
  <si>
    <t>Molho de Tomate Pelado/Cubos Paganini 400g</t>
  </si>
  <si>
    <t>Polpa de Tomate Paganini 690g</t>
  </si>
  <si>
    <t>Cerveja Brahma Pilsen Lata 350ml</t>
  </si>
  <si>
    <t>Pizza Seara Sabores 440g/460g</t>
  </si>
  <si>
    <t>MOLHO TOM PAGANINI POMODORI PELATI 400G</t>
  </si>
  <si>
    <t>MOLHO TOM PAGANINI POMODORI PELATI CUBO 400G</t>
  </si>
  <si>
    <t>POLPA TOM PAGANINI 690G</t>
  </si>
  <si>
    <t>PIZZA SEARA 4 QUEIJOS 460G</t>
  </si>
  <si>
    <t>PIZZA SEARA CALABRESA 460G</t>
  </si>
  <si>
    <t>PIZZA SEARA FRANGO C CATUPIRY 460G</t>
  </si>
  <si>
    <t>PIZZA SEARA LOMBO C CATUPIRY 460G</t>
  </si>
  <si>
    <t>PIZZA SEARA MEIA MUSSARELA MEIA CALABRESA 460G</t>
  </si>
  <si>
    <t>PIZZA SEARA MUSSARELA 440G</t>
  </si>
  <si>
    <t>Z PIZZA SEARA 460G PORTUGUESA</t>
  </si>
  <si>
    <t>BEB LACTEA YOPRO 15G PROT 250ML BAUNILHA UN</t>
  </si>
  <si>
    <t>LEITE LV NINHO LEVINHO SEMIDESNAT UHT 1L CX 12UN</t>
  </si>
  <si>
    <t>LEITE LV NINHO INTEGRAL UHT 1L CX 12UN</t>
  </si>
  <si>
    <t>LEITE LV MOLICO DESN UHT 1L CX 12UN</t>
  </si>
  <si>
    <t>Cerveja Itaipava Zero Álcool Lata 350ml</t>
  </si>
  <si>
    <t>CERV ITAIPAVA 0 ALCOOL LT 350ML</t>
  </si>
  <si>
    <t>CERV ITAIPAVA 0 0 ALCOOL 350ML FD 12UN</t>
  </si>
  <si>
    <t>Maionese Heinz Tradicional Squeeze 390g</t>
  </si>
  <si>
    <t>Chocolate Lacta Bis Ao Leite 100,8g</t>
  </si>
  <si>
    <t>Lava Roupas em Pó Urca Concentrado Sachê 2,4Kg</t>
  </si>
  <si>
    <t>Óleo de Soja Vila Velha 900ml</t>
  </si>
  <si>
    <t>CHOC LACTA BIS AO LEITE C20 100 8G</t>
  </si>
  <si>
    <t>LAVA ROUPAS PO CONC URCA SCH 2,4KG</t>
  </si>
  <si>
    <t>Café Pilão Solúvel Sachê 40g</t>
  </si>
  <si>
    <t>Refrigerante Guaraná Antarctica Tradicional Lata 350ml</t>
  </si>
  <si>
    <t>Cerveja Itaipava Malzbier Lata 350ml</t>
  </si>
  <si>
    <t>CAFE PILAO SOLUVEL COADO SCH 40G</t>
  </si>
  <si>
    <t>CERV ITAIPAVA MALZBIER 350ML</t>
  </si>
  <si>
    <t>Açúcar Cristal Santa Isabel 2Kg</t>
  </si>
  <si>
    <t>ACUCAR CRISTAL SANTA ISABEL 2KG</t>
  </si>
  <si>
    <t>Leite Uht Nestlé Molico Mais Proteína Zero Lactose Desnatado Tp 1L</t>
  </si>
  <si>
    <t>Cerveja Alemã Paulaner Hefe-weiss Naturtrub 500ml</t>
  </si>
  <si>
    <t>CERV ALEMA PAULANER HEFE W NAT 500ML</t>
  </si>
  <si>
    <t>LEITE LV MOLICO - Caixa com 12</t>
  </si>
  <si>
    <t>CHUVEIRO MAXIDUCHA LORENZETTI 220V UM</t>
  </si>
  <si>
    <t>CHUVEIRO MAXIDUCHA LORENZETTI 127V UN</t>
  </si>
  <si>
    <t>Bebida Láctea Polpa Batavo Bandeja c/6 - 510g</t>
  </si>
  <si>
    <t>BEB LAC BATAVO MOR BJ 510G</t>
  </si>
  <si>
    <t>BEB LAC BATAVO MOR COCO BJ 510G</t>
  </si>
  <si>
    <t>BEB LAC BATAVO MOR PESSEGO BJ 510G</t>
  </si>
  <si>
    <t>Fraldas Huggies Supreme Care Roupinha Mega (M/36 - G/30 - XG/24)</t>
  </si>
  <si>
    <t>Lava Roupas em Pó Urca Concentrado Sachê 800g</t>
  </si>
  <si>
    <t>Café 3 Corações Extra Forte Pouch 500g</t>
  </si>
  <si>
    <t>LAVA ROUPAS PO CONC URCA SCH 800G</t>
  </si>
  <si>
    <t xml:space="preserve">NESCAFE D GUSTO 10 CAP PINGADO CX 140G     </t>
  </si>
  <si>
    <t>NESCAFE D GUSTO 10 CAP AU LAIT DESNATADO CX 100G</t>
  </si>
  <si>
    <t>NESCAFE D GUSTO 10 CAP ESPRESSO CERRADO MIN CX 60G</t>
  </si>
  <si>
    <t>NESCAFE D GUSTO 10 CAP DOPPIO ESPRESSO CX 80G</t>
  </si>
  <si>
    <t xml:space="preserve">RACAO CAO DOG CHOW 1KG FILHOTES MD GR CRN FG ARR </t>
  </si>
  <si>
    <t>Ketchup Hemmer Tradicional 750g</t>
  </si>
  <si>
    <t>Refrigerante Guaraná Antarctica Tradicional/Zero Lata 350ml</t>
  </si>
  <si>
    <t>Cerveja Corona Extra Lata 350ml</t>
  </si>
  <si>
    <t>REF GUARANA ANTARCTICA ZERO 350ML</t>
  </si>
  <si>
    <t>ANTARCTICA ZERO LT 350ML Fardo C/12</t>
  </si>
  <si>
    <t>CERV CORONA EXTRA LT 350ML</t>
  </si>
  <si>
    <t>Corona LN Fardo c/08</t>
  </si>
  <si>
    <t>KETCHUP HEMMER TRAD 750G</t>
  </si>
  <si>
    <t>Energético Flying Horse Tradicional Pet 2L</t>
  </si>
  <si>
    <t>Salsicha Hot Dog Sadia - Kg</t>
  </si>
  <si>
    <t>Cereal Kellogg´s Sucrilhos Original 240g</t>
  </si>
  <si>
    <t>Queijo Azul Vigor Fracionado 100g</t>
  </si>
  <si>
    <t>AMAC CONC DOWNY BRISA SUAVE 1L</t>
  </si>
  <si>
    <t>AMAC CONC DOWNY BRISA VERAO 1L</t>
  </si>
  <si>
    <t>AMAC CONC DOWNY FRESCOR PRIMAVER 1L</t>
  </si>
  <si>
    <t>AMAC CONC DOWNY LIRIOS CAMPO 1L</t>
  </si>
  <si>
    <t>AMAC CONC DOWNY MAIS INTENSO BRISA 1L</t>
  </si>
  <si>
    <t>AMAC CONC DOWNY MISTICO 900ML</t>
  </si>
  <si>
    <t>AMAC CONC DOWNY PAIXAO 900ML</t>
  </si>
  <si>
    <t>AMAC CONC DOWNY SENSITIVE 900ML</t>
  </si>
  <si>
    <t>ENERGETICO FLYING HORSE FRUTAS TROPICAIS 2L</t>
  </si>
  <si>
    <t>ENERGETICO FLYING HORSE MELANCIA 2L</t>
  </si>
  <si>
    <t>ENERGETICO FLYING HORSE PITAYA 2L</t>
  </si>
  <si>
    <t>ENERGETICO FLYING HORSE TRADICIONAL 2L</t>
  </si>
  <si>
    <t>QUEIJO AZUL TP GORGONZOLA VIGOR FRAC 100G</t>
  </si>
  <si>
    <t>Arroz Ramagem Tipo 1 - 5Kg</t>
  </si>
  <si>
    <t>Lava Roupas em Pó Tixan Maciez/Primavera CT Leve 1,6Kg Pague 1,520Kg</t>
  </si>
  <si>
    <t>Whisky Passport 1L</t>
  </si>
  <si>
    <t>WHISKY PASSPORT 1L</t>
  </si>
  <si>
    <t>Bebida Láctea Uht Yopro 15g de Proteína Energy Café/Cappucino 250ml</t>
  </si>
  <si>
    <t>BEB LAC YOPRO ENERGY 15 CAFE 250ML</t>
  </si>
  <si>
    <t>BEB LAC YOPRO ENERGY 15 CAPPUCINO 250ML</t>
  </si>
  <si>
    <t>Ovo Branco São José Grande Acrílico com 12 Unidades</t>
  </si>
  <si>
    <t>OVO SAO JOSE GRANDE BRANCO ACRILICO C12</t>
  </si>
  <si>
    <t>MORTADELA SEARA - Pedaço</t>
  </si>
  <si>
    <t>Panela de Pressão Clock Original Polida 4,5L</t>
  </si>
  <si>
    <t>PANELA PRESSAO CLOCK ORIGINAL POLIDA 4 5L</t>
  </si>
  <si>
    <t>Vinho Italiano Cella Lambrusco Branco/Rose/Tinto 750ml</t>
  </si>
  <si>
    <t>Cerveja Heineken Lata/Zero Álcool Lata 350ml</t>
  </si>
  <si>
    <t>Leite Uht Nestlé Molico/Levinho Zero Lactose Integral Tp 1L</t>
  </si>
  <si>
    <t>KIT PANTENE SH 350ML COND 175ML QUERATINA</t>
  </si>
  <si>
    <t>Azeite Cocinero Extra Virgem Pet 250ml (Acidez Máxima 0,5%)</t>
  </si>
  <si>
    <t>Suplemento Alimentar Whey Pro Max Titanium 1Kg</t>
  </si>
  <si>
    <t>Vassoura Phenix Santa Maria – (Ref: 956)</t>
  </si>
  <si>
    <t>Desodorante Aerosol Bis Herbíssimo 150ml</t>
  </si>
  <si>
    <t>Desodorante Aerosol Tabu 150ml</t>
  </si>
  <si>
    <t>Biscoito Marilan Coco/Leite/Maizena/Manteiga/Maria 350g</t>
  </si>
  <si>
    <t>DEO AERO BIS HERBISSIMO VOLCANO 150ML</t>
  </si>
  <si>
    <t>DEO AERO BIS HERBISSIMO SNOW MOON 150ML</t>
  </si>
  <si>
    <t>DEO AERO BIS HERBISSIMO GREEN LEAF 150ML</t>
  </si>
  <si>
    <t>DEO AERO BIS HERBISSIMO DARK SILVER 150ML</t>
  </si>
  <si>
    <t>DEO AERO BIS HERBISSIMO BLUE ICE 150ML</t>
  </si>
  <si>
    <t>DEO AEROSOL TABU ZERO ALUMINIO 150ML</t>
  </si>
  <si>
    <t>DEO AEROSOL TABU ZEN 150ML</t>
  </si>
  <si>
    <t>DEO AEROSOL TABU LIVRE 150ML</t>
  </si>
  <si>
    <t>DEO AEROSOL TABU LINDA 150ML</t>
  </si>
  <si>
    <t>DEO AEROSOL TABU DELICADA 150ML</t>
  </si>
  <si>
    <t>DEO AEROSOL TABU BALADEIRA150ML</t>
  </si>
  <si>
    <t>AZEITE EV DE OLIVA COCINERO 250ML</t>
  </si>
  <si>
    <t>SUP ALIM WHEY PRO MAX TITANIUM MORANGO PT 1KG</t>
  </si>
  <si>
    <t>SUP ALIM WHEY PRO MAX TITANIUM CHOC PT 1KG</t>
  </si>
  <si>
    <t>SUP ALIM WHEY PRO MAX TITANIUM BAUNILHA PT 1KG</t>
  </si>
  <si>
    <t>DEO AEROSOL TABU OUSADA 150ML</t>
  </si>
  <si>
    <t>Papel Higiênico Mimmo F/D 30m Leve 24 Pague 21</t>
  </si>
  <si>
    <t>Cerveja Budweiser Pilsen Lata 350ml</t>
  </si>
  <si>
    <t>CERV BUDWEISER LT 350ML</t>
  </si>
  <si>
    <t>PAPEL HIG FD MIMMO 30M L24P21</t>
  </si>
  <si>
    <t>Bebida Amêndoa Almond Breeze Baunilha/Chocolate/Original/Zero Açúcar Tp 1L</t>
  </si>
  <si>
    <t>Bebida Láctea Piracanjuba Whey 15g 250ml</t>
  </si>
  <si>
    <t>Cerveja Stella Artois Pure Gold Long Neck 330ml</t>
  </si>
  <si>
    <t>CERV STELLA ARTOIS PURE GOLD LN 330ML</t>
  </si>
  <si>
    <t>BEB AMENDOA ALMOND BREEZE BAUNILHA 1L</t>
  </si>
  <si>
    <t>BEB AMENDOA ALMOND BREEZE CHOCOLATE 1L</t>
  </si>
  <si>
    <t>BEB AMENDOA ALMOND BREEZE ORIGINAL 1L</t>
  </si>
  <si>
    <t>BEB AMENDOA ALMOND BREEZE ORIG ZERO ACUCAR 1L</t>
  </si>
  <si>
    <t>BL PIRACANJUBA WHEY CAFEINA 15G 250ML</t>
  </si>
  <si>
    <t>BL PIRACANJUBA WHEY CHOC 15G 250ML</t>
  </si>
  <si>
    <t>BL PIRACANJUBA WHEY COCO 15G 250ML</t>
  </si>
  <si>
    <t>BL PIRACANJUBA WHEY MORANGO 15G 250ML</t>
  </si>
  <si>
    <t>CERV STELLA ARTOIS PURE GOLD LN 330ML FD C/6</t>
  </si>
  <si>
    <t>Ovo Branco São José Grande - Bandeja com 20 Unidades</t>
  </si>
  <si>
    <t>Suplemento Alimentar Creatina Max Titanium 300g</t>
  </si>
  <si>
    <t>OVO SAO JOSE GRANDE BRANCO ACRILICO C20</t>
  </si>
  <si>
    <t>CREATINA MAX TITANIUM 300G</t>
  </si>
  <si>
    <t>OVO SAO JOSE GRANDE BRANCO PVC C20</t>
  </si>
  <si>
    <t>Lava Roupas em Pó Tixan Maciez/Primavera 1,6Kg Grátis 80g</t>
  </si>
  <si>
    <t>Whisky Aperitivo Natu Nobilis 1L</t>
  </si>
  <si>
    <t>WHISKY APERITIVO NATU NOBILIS 1L</t>
  </si>
  <si>
    <t>20 Fardos</t>
  </si>
  <si>
    <t>Café Solúvel 3 Corações Sachê 50g</t>
  </si>
  <si>
    <t>Papel Toalha Scala Plus 120 Folhas</t>
  </si>
  <si>
    <t>Vassoura Bettanin Noviça Original - (Ref. BT167215)</t>
  </si>
  <si>
    <t>PAPEL TOALHA SCALA PLUS 120F C2</t>
  </si>
  <si>
    <t>CAFE SOLUVEL 3C DESCAF RFL 50G</t>
  </si>
  <si>
    <t>CAFE SOLUVEL 3C RFL 50G</t>
  </si>
  <si>
    <t>CAFE SOLUVEL EXT FORTE 3C RFL 50G</t>
  </si>
  <si>
    <t>Amaciante Plush 2L</t>
  </si>
  <si>
    <t>Chinelo Ipanema Day Feminino - (Ref: 27321)</t>
  </si>
  <si>
    <t>Chinelo Cartago Dakar Adulto Masculino - (Ref 10738)</t>
  </si>
  <si>
    <t>Chinelo Cartago Dakar Infantil Masculino - (Ref 10808)</t>
  </si>
  <si>
    <t>AMAC PLUSH ELEGANCE ROSA 2L</t>
  </si>
  <si>
    <t>AMAC PLUSH GLAMOUR VERMELHO 2L</t>
  </si>
  <si>
    <t>AMAC PLUSH INFINITY AZUL ESCURO 2L</t>
  </si>
  <si>
    <t>AMAC PLUSH LUXURY AZUL 2L</t>
  </si>
  <si>
    <t>AMAC PLUSH SENSUALITY ROXO 2L</t>
  </si>
  <si>
    <t>CHINELO IPANEMA DAY FEMININO REF 27321</t>
  </si>
  <si>
    <t>CHINELO IPANEMA CARTAGO DAKAR ADULTO MASC REF 10738</t>
  </si>
  <si>
    <t>CHINELO IPANEMA CARTAGO DAKAR INFANTIL MASC REF 10808</t>
  </si>
  <si>
    <t>Vinho Pérgola Suave Seleção Edição Comemorativa 1L</t>
  </si>
  <si>
    <t xml:space="preserve">Bombom Neugebauer Amor Carioca 200g </t>
  </si>
  <si>
    <t>BOMBOM AMOR CARIOCA AO LEITE 200G</t>
  </si>
  <si>
    <t>BOMBOM AMOR CARIOCA BCO 200G</t>
  </si>
  <si>
    <t>Suco de Uva Integral 100% Peterlongo 1,5L</t>
  </si>
  <si>
    <t>Amaciante de Roupas Ypê 2L</t>
  </si>
  <si>
    <t>SUCO UVA PETERLONGO INT BCO 1 5L</t>
  </si>
  <si>
    <t>SUCO UVA PETERLONGO INT 1 5L</t>
  </si>
  <si>
    <t>AMAC YPE ACONCHEGO 2L</t>
  </si>
  <si>
    <t>AMAC YPE DELICADO 2L</t>
  </si>
  <si>
    <t>AMAC YPE INTENSO 2L</t>
  </si>
  <si>
    <t>AMAC YPE TERNURA 2L</t>
  </si>
  <si>
    <t xml:space="preserve">Requeijão Danubio Tradicional/Light Copo Vidro 190g </t>
  </si>
  <si>
    <t>REQUEIJAO DANUBIO LIGHT 190G</t>
  </si>
  <si>
    <t>REQUEIJAO DANUBIO TRAD 190G</t>
  </si>
  <si>
    <t>BEB AMENDOA ALMOND BREEZE COCO 1L</t>
  </si>
  <si>
    <t>Suco Natural One Laranja Refrigerado 900ml</t>
  </si>
  <si>
    <t>Macarrão Renata Ovos Espaguete/Parafuso/Pena 500g</t>
  </si>
  <si>
    <t>Espumante Must Sem Álcool 660ml</t>
  </si>
  <si>
    <t>Pão de Queijo São Geraldo Tradicional 800g</t>
  </si>
  <si>
    <t>Margarina Vigor Cremosa com Sal 1Kg</t>
  </si>
  <si>
    <t>MAC OVOS RENATA PENA 500G</t>
  </si>
  <si>
    <t>ESP PETERLONGO MUST BCO S ALCOOL 660ML</t>
  </si>
  <si>
    <t>ESP PETERLONGO MUST ROSE S ALCOOL 660ML</t>
  </si>
  <si>
    <t>MARGARINA 80 VIGOR C SAL 1KG</t>
  </si>
  <si>
    <t>Whiskey Gentleman Jack 1L</t>
  </si>
  <si>
    <t>WHISKEY GENTLEMAN JACK 1L</t>
  </si>
  <si>
    <t>Atum Coqueiro Sólido Óleo/Natural Lata 170g</t>
  </si>
  <si>
    <t>Sardinha Pescador Óleo 125g</t>
  </si>
  <si>
    <t>Cerveja Heineken Original/Zero Álcool Long Neck 330ml</t>
  </si>
  <si>
    <t>Petit Suisse Frimesa Bandeja c/8 - 360g</t>
  </si>
  <si>
    <t>PETIT SUISSE FRIMINHO MORANGO 360G</t>
  </si>
  <si>
    <t>Macarrão Renata Ovos Pena 500g</t>
  </si>
  <si>
    <t>Mortadela Defumada Seara cada 100g</t>
  </si>
  <si>
    <t>Filé de Tilápia Copacol Pacote 800g</t>
  </si>
  <si>
    <t>MORTADELA DEFUMADA SEARA 5KG - Fatiado</t>
  </si>
  <si>
    <t>MORTADELA DEFUMADA SEARA 5KG - Pedaço</t>
  </si>
  <si>
    <t>FILE TILAPIA COPACOL 800G</t>
  </si>
  <si>
    <t>VINHO SALTON CLASSIC 750ML TANNAT</t>
  </si>
  <si>
    <t>LEITE HERCULES DESNATADO TP 1L</t>
  </si>
  <si>
    <t>LEITE HERCULES INTEGRAL TP 1L</t>
  </si>
  <si>
    <t>LEITE HERCULES SEMIDESNATADO TP 1L</t>
  </si>
  <si>
    <t>Leite Uht Hércules Integral/Desnatado/Semidesnatado Tp 1L</t>
  </si>
  <si>
    <t>Petit Suisse Patrulha Canina Morango Bandeja c/8 - 320g</t>
  </si>
  <si>
    <t>Margarina Vigor Cremosa com Sal 500g</t>
  </si>
  <si>
    <t>GRAPE COOL VINHO ROSE LN 269ML</t>
  </si>
  <si>
    <t>Bebida Amêndoa Almond Breeze Original Tp 1L</t>
  </si>
  <si>
    <t>Detergente Líquido Ypê Clear Pack com 6 Unidades de 500ml (Nesta embalagem, no Clube Das Ofertas, a unidade sai por R$ 1,99)</t>
  </si>
  <si>
    <t>Lava Roupas em Pó Tixan Maciez 1,6Kg Grátis 80g</t>
  </si>
  <si>
    <t>Lasanha Forno de Minas Bolonhesa 600g</t>
  </si>
  <si>
    <t>mo</t>
  </si>
  <si>
    <t>Patê de Atum Coqueiro Pouch 170g</t>
  </si>
  <si>
    <t>PATE ATUM COQUEIRO PIMENTA 170G</t>
  </si>
  <si>
    <t>PATE ATUM COQUEIRO AZEITONA 170G</t>
  </si>
  <si>
    <t>Petit Suisse Nestlé Chambinho Morango/Chocolate Bandeja c/8 - 320g</t>
  </si>
  <si>
    <t>Cereal Kellogg´s Sucrilhos Original Leve 240g Pague 200g</t>
  </si>
  <si>
    <t>CEREAL SUCRILHOS ORIGINAL L240G P200G</t>
  </si>
  <si>
    <t>PETIT SUISSE CHAMBINHO CHOCOLATE C8 40G</t>
  </si>
  <si>
    <t xml:space="preserve">Sobremesas </t>
  </si>
  <si>
    <t>Sorvete Kibon Cremosíssimo Sabores 2L</t>
  </si>
  <si>
    <t>SORV KIBON CREMOSISSIMO 2 EM 1 ABACAXI COCO 2L</t>
  </si>
  <si>
    <t>Macarrão Semolado Orsi Espaguete/Parafuso 500g</t>
  </si>
  <si>
    <t>Atum Coqueiro Ralado Óleo Lata 170g</t>
  </si>
  <si>
    <t>Café Pilão Doy Bag 500g</t>
  </si>
  <si>
    <t>Pano Reutilizável Scott Duramax c/58/Antibacteriano c/48</t>
  </si>
  <si>
    <t>CAFE PILAO TRAD DOY BAG 500G</t>
  </si>
  <si>
    <t>CAFE PILAO EXT FORTE DOY BAG 500G</t>
  </si>
  <si>
    <t>Mortadela Tradicional Seara cada 100g</t>
  </si>
  <si>
    <t>Molho de Tomate Pelado Paganini 400g (Exceto Cubos)</t>
  </si>
  <si>
    <t>Margarina Qualy Tradicional com Sal 500g</t>
  </si>
  <si>
    <t>Lava Roupas em Pó Urca Concentrado Cartucho 2,2Kg</t>
  </si>
  <si>
    <t>LAVA ROUPAS PO URCA CONC CT 2,2KG</t>
  </si>
  <si>
    <t>Amaciante de Roupas Concentrado Downy 1L/900ml</t>
  </si>
  <si>
    <t>Bebida Láctea Frutilac Morango Bandeja c/6 - 360g</t>
  </si>
  <si>
    <t>BL FRUTILAC MORANGO C6 360G</t>
  </si>
  <si>
    <t>Refrigerante Taubaiana Pet 2L</t>
  </si>
  <si>
    <t>Frigideira Francesa Rochedo Todo Dia Preta 24cm</t>
  </si>
  <si>
    <t>Barra de Proteína Top Whey 41g</t>
  </si>
  <si>
    <t>FRIGIDEIRA FRANCESA ROCHEDO TODO DIA PRETA 24CM</t>
  </si>
  <si>
    <t>BARRA PROTEINA TOP WHEY 13 CHOC 41G</t>
  </si>
  <si>
    <t>BARRA PROTEINA TOP WHEY 13 DOCE DE LEITE 41G</t>
  </si>
  <si>
    <t>BARRA PROTEINA TOP WHEY 13 BRIGADEIRO 41G</t>
  </si>
  <si>
    <t>Leite Uht Batavo Integral/Desnatado/Semidesnatado Tp 1L</t>
  </si>
  <si>
    <t>Fraldas Huggies Tripla Proteção Meguinha (P/38 - M/36 - G/30 - XG/28 - XXG/26)</t>
  </si>
  <si>
    <t>Condicionador Granado Bebê 250ml</t>
  </si>
  <si>
    <t>Shampoo Granado Bebê 250ml</t>
  </si>
  <si>
    <t>LEITE UHT BATAVO DESNATADO TP 1L</t>
  </si>
  <si>
    <t>LEITE UHT BATAVO INTEGRAL TP 1L</t>
  </si>
  <si>
    <t>LEITE UHT BATAVO SEMIDESNATADO 1L</t>
  </si>
  <si>
    <t>FLD HUGGIES TRIPLA PROT MEGUINHA G C30</t>
  </si>
  <si>
    <t>FLD HUGGIES TRIPLA PROT MEGUINHA M C36</t>
  </si>
  <si>
    <t>FLD HUGGIES TRIPLA PROT MEGUINHA P C38</t>
  </si>
  <si>
    <t>FLD HUGGIES TRIPLA PROT MEGUINHA XG C28</t>
  </si>
  <si>
    <t>FLD HUGGIES TRIPLA PROT MEGUINHA XXG C26</t>
  </si>
  <si>
    <t>COND GRANADO BEBE CALENDULA 250ML</t>
  </si>
  <si>
    <t>COND GRANADO BEBE CAMOMILA 250ML</t>
  </si>
  <si>
    <t>COND GRANADO BEBE ERVA DOCE 250ML</t>
  </si>
  <si>
    <t>COND GRANADO BEBE LAVANDA 250ML</t>
  </si>
  <si>
    <t>COND GRANADO BEBE TRAD 250ML</t>
  </si>
  <si>
    <t>SH GRANADO BEBE CALENDULA 250ML</t>
  </si>
  <si>
    <t>SH GRANADO BEBE CAMOMILA 250ML</t>
  </si>
  <si>
    <t>SH GRANADO BEBE ERVA DOCE 250ML</t>
  </si>
  <si>
    <t>SH GRANADO BEBE LAVANDA 250ML</t>
  </si>
  <si>
    <t>SH GRANADO BEBE TRAD 250ML</t>
  </si>
  <si>
    <t>SALAME SEARA TP ITALIANO KG  - Peça</t>
  </si>
  <si>
    <t>SALAME SEARA TP ITALIANO KG - Fatiado</t>
  </si>
  <si>
    <t>Salame Tipo Italiano Seara Peça/Fatiado - Kg</t>
  </si>
  <si>
    <t xml:space="preserve">Para o Salame, cadastrar o preço KG tanto para peça quanto para fatiado. </t>
  </si>
  <si>
    <t>Leite Uht Batavo Pense Desnatado Zero Lactose Tp 1L</t>
  </si>
  <si>
    <t>LEITE UHT BATAVO PENSE DESNATADO ZLACTOSE 1L</t>
  </si>
  <si>
    <t>Fralda Pampers Confort Sec Fortebag (M-70/G-60/XG-58/XXG-56)</t>
  </si>
  <si>
    <t>Esponja Esfrelux Multiuso c/ 4 - (Ref: 765)</t>
  </si>
  <si>
    <t>Vinho Português Papa Figos Douro 750ml</t>
  </si>
  <si>
    <t>VH PORT PAPA FIGOS DOURO 750ML</t>
  </si>
  <si>
    <t>Vinho Argentino Rutini Cabernet Franc Malbec/Cabernet Sauvignon Malbec 750ml</t>
  </si>
  <si>
    <t>Maionese Hemmer Tradicional 670g</t>
  </si>
  <si>
    <t>MAIONESE HEMMER TRAD 670G</t>
  </si>
  <si>
    <t>VH ARG RUTINI CAB FRANC MALBEC 750ML</t>
  </si>
  <si>
    <t>VH ARG RUTINI CAB SAUV MALBEC 750ML</t>
  </si>
  <si>
    <t>Fraldas Pampers SuperSequinha Mega (M-40/G-34/XG-32/XXG-30)</t>
  </si>
  <si>
    <t>FLD PAMPERS SUPERSEQUINHA MEGA G C34</t>
  </si>
  <si>
    <t>FLD PAMPERS SUPERSEQUINHA MEGA M C40</t>
  </si>
  <si>
    <t>FLD PAMPERS SUPERSEQUINHA MEGA P C42</t>
  </si>
  <si>
    <t>FLD PAMPERS SUPERSEQUINHA MEGA XG C32</t>
  </si>
  <si>
    <t>FLD PAMPERS SUPERSEQUINHA MEGA XXG C30</t>
  </si>
  <si>
    <t>Lasanha Mama D'Alva Forno de Minas Bolonhesa/Quatro Queijos 600g</t>
  </si>
  <si>
    <t>Refrigerante Pepsi Black Zero 2L</t>
  </si>
  <si>
    <t>Refrigerante Guaraná Antarctica Tradicional/Zero 2L</t>
  </si>
  <si>
    <t>REF GUARANA ANTARCTICA 2L</t>
  </si>
  <si>
    <t>REF GUARANA ANTARCTICA ZERO 2L</t>
  </si>
  <si>
    <t>REF PEPSI BLACK 2L</t>
  </si>
  <si>
    <t>Gin Tanqueray London 750ml</t>
  </si>
  <si>
    <t>Gin Gordon´s 750ml</t>
  </si>
  <si>
    <t>Vodka Ciroc Original 750ml</t>
  </si>
  <si>
    <t>GIN GORDONS LONDON DRY 750ML</t>
  </si>
  <si>
    <t>Molho de Tomate Pelado Paganini 400g</t>
  </si>
  <si>
    <t>Azeite Nova Oliva Extra Virgem 500ml</t>
  </si>
  <si>
    <t>LAVA ROUPAS PO OMO L PERF 800G</t>
  </si>
  <si>
    <t>LIMP YPE MULTIUSO CLASSICO PACK C4 500ML</t>
  </si>
  <si>
    <t>AZEITE EV NOVA OLIVA 500ML</t>
  </si>
  <si>
    <t>Limpador Ypê Multiuso Pack c/4</t>
  </si>
  <si>
    <t>Azeite Extra Virgem Gallo Vidro 500ml</t>
  </si>
  <si>
    <t>Amaciante Concentrado Ypê Blue Garden Leve 500ml Pague 450ml</t>
  </si>
  <si>
    <t>Vinho Dom Bosco Tinto Suave 750ml</t>
  </si>
  <si>
    <t>Requeijão Poços de Caldas Tradicional 400g</t>
  </si>
  <si>
    <t>AZEITE EV GALLO VD 500ML</t>
  </si>
  <si>
    <t>AMAC CONC YPE BLUE GARDEN LV 500ML PG 450ML</t>
  </si>
  <si>
    <t>REQUEIJAO POCOS DE CALDAS TRAD 400G</t>
  </si>
  <si>
    <t>Papel Higiênico Elite F/D 30m Leve 12 Pague 11</t>
  </si>
  <si>
    <t>Bebida Láctea Pirakids Milky Moo Chicletin Tp 200ml</t>
  </si>
  <si>
    <t>Leite Uht Piracanjuba Semidesnatado Zero Lactose Mais Proteína Tp 1L</t>
  </si>
  <si>
    <t>Limpador Ypê Multiuso Clássico Pack c/4</t>
  </si>
  <si>
    <t>BL MILKMOO CHICLETIN PIRAKIDS 200ML</t>
  </si>
  <si>
    <t>BL PIRACANJUBA MILKMOO PANDORA 15G 250ML</t>
  </si>
  <si>
    <t>BL PIRACANJUBA MILKMOO MIMOSA 15G 250ML</t>
  </si>
  <si>
    <t>LEITE UHT ZLACTOSE SEMI PIRACANJUBA +PROT 1L</t>
  </si>
  <si>
    <t>Maionese Salada Pote 500g</t>
  </si>
  <si>
    <t>Bebida Láctea Piracanjuba Whey 15g 1L</t>
  </si>
  <si>
    <t>Leite Uht Piracanjuba Semidesnatado/Desnatado Zero Lactose Tp 1L</t>
  </si>
  <si>
    <t>Requeijão Frimesa Tradicional 200g</t>
  </si>
  <si>
    <t>Bebida Mista Alcoólica Skol Beats GT/Senses/Red Mix/Tropical Long Neck 269ml</t>
  </si>
  <si>
    <t>Licor Diego Zamora 43 Original 700ml</t>
  </si>
  <si>
    <t>MAIONESE SALADA TRAD 500G</t>
  </si>
  <si>
    <t>BL PIRACANJUBA WHEY CHOCOLATE 15G 1L</t>
  </si>
  <si>
    <t>BL PIRACANJUBA WHEY COCO 15G 1L</t>
  </si>
  <si>
    <t>LEITE UHT ZLACTOSE DESNATADO PIRACANJUBA TP 1L</t>
  </si>
  <si>
    <t>BEB ALC MISTA SKOL BEATS GT LT 269ML</t>
  </si>
  <si>
    <t>BEB ALC MISTA SKOL BEATS RED MIX LT 269ML</t>
  </si>
  <si>
    <t>BEB ALC MISTA SKOL BEATS SENSES LT 269ML</t>
  </si>
  <si>
    <t>BEB ALC MISTA SKOL BEATS TROPICAL LT 269ML</t>
  </si>
  <si>
    <t>LICOR 43 DIEGO ZAMORA 700ML</t>
  </si>
  <si>
    <t>BEB ALC MISTA SKOL BEATS GT LN 269ML</t>
  </si>
  <si>
    <t>BEB ALC MISTA SKOL BEATS RED MIX LN 269ML</t>
  </si>
  <si>
    <t>BEB ALC MISTA SKOL BEATS SENSES LN 269ML</t>
  </si>
  <si>
    <t>BEB ALC MISTA SKOL BEATS TROPICAL LN 269ML</t>
  </si>
  <si>
    <t>Bebida Mista Alcoólica Skol Beats GT/Senses/Red Mix/Tropical Lata 269ml</t>
  </si>
  <si>
    <t>CAFE PILAO INTENSO VACUO 500G</t>
  </si>
  <si>
    <t>Detergente Líquido Ypê Clear/Neutro Pack com 6 Unidades de 500ml (Nesta embalagem, no Clube Das Ofertas, a unidade sai por R$ 2,09)</t>
  </si>
  <si>
    <t>Lava Roupas Líquido Urca 1L</t>
  </si>
  <si>
    <t>LAVA ROUPAS LIQ URCA MAX AZUL 1L</t>
  </si>
  <si>
    <t>LAVA ROUPAS LIQ URCA MAX LAVANDA 1L</t>
  </si>
  <si>
    <t>LAVA ROUPAS LIQ URCA VERDE 1L</t>
  </si>
  <si>
    <t>Composto Lácteo Piracanjuba Zero Lactose 380g</t>
  </si>
  <si>
    <t>Leite em Pó Piracanjuba Integral/Instantâneo Lata 380g</t>
  </si>
  <si>
    <t>Fralda Pampers Confort Sec Fortebag (G-60/XG-58/XXG-56)</t>
  </si>
  <si>
    <t>Inseticida Mat Inset 360ml (Citronela/Eucalipto/Multi Inseticida/Sem Cheiro)</t>
  </si>
  <si>
    <t>COMP LACTEO PIRACANJUBA Z LACTOSE 380G</t>
  </si>
  <si>
    <t xml:space="preserve">LEITE PO INT INST PIRACANJUBA 380G </t>
  </si>
  <si>
    <t>LEITE PO INT PIRACANJUBA 380G</t>
  </si>
  <si>
    <t>Suco Misto de Uva Maguary Seleção 1,35L</t>
  </si>
  <si>
    <t>Vinho Pérgola Seleção Seco/Suave 1L</t>
  </si>
  <si>
    <t>Cerveja Budweiser Original/Zero Álcool Long Neck 330ml</t>
  </si>
  <si>
    <t>Cerveja Original Pilsen Lata Pack com 12 Unidades de 350ml</t>
  </si>
  <si>
    <t>CERV BUDWEISER Z ALCOOL LN 330ML</t>
  </si>
  <si>
    <t>CERV ORIGINAL PACK C12 LT 350ML</t>
  </si>
  <si>
    <t>SUCO MISTO UVA MAGUARY SELECAO 1 35L</t>
  </si>
  <si>
    <t>Arroz Prato Fino Tipo 1 - 5Kg</t>
  </si>
  <si>
    <t>Cerveja Corona Cero Sunbrew Long Neck 330ml</t>
  </si>
  <si>
    <t>Leite Uht Nestlé Ninho Integral/Ninho Levinho Tp 1L</t>
  </si>
  <si>
    <t>ARROZ PRATO FINO 5KG</t>
  </si>
  <si>
    <t>CERV CORONA CERO SUNBREW ZERO LN 330ML</t>
  </si>
  <si>
    <t>AMAC URCA LAVANDA 5L</t>
  </si>
  <si>
    <t>Açúcar Cristal União 1Kg</t>
  </si>
  <si>
    <t>Ovo Branco São José Grande Estojo com 12 Unidades</t>
  </si>
  <si>
    <t>Aperitivo Campari Negroni 500ml</t>
  </si>
  <si>
    <t>Cerveja Original Pilsen Lata Pack com 12 Unidades de 350ml (Nesta embalagem a unidade sai a R$ 3,89)</t>
  </si>
  <si>
    <t>ACUCAR CRISTALCUCAR UNIAO 1KG</t>
  </si>
  <si>
    <t>OVO SAO JOSE GRANDE BRANCO ESTOJO C12</t>
  </si>
  <si>
    <t>APERITIVO CAMPARI NEGRONI 500ML</t>
  </si>
  <si>
    <t>LINGUIÇA TOSCANA NABRASA PERDIGÃO KG</t>
  </si>
  <si>
    <t>CERV CORONA CERO SUNBREW ZERO LN - Fardo C/6</t>
  </si>
  <si>
    <t>OVOS SAO JOSE BRANCO CX 12UN  </t>
  </si>
  <si>
    <t>Margarina Qualy Tradicional 500g</t>
  </si>
  <si>
    <t>Cappuccino 3 Corações 200g</t>
  </si>
  <si>
    <t xml:space="preserve">Levíssimo Seara cada 100g </t>
  </si>
  <si>
    <t>LEVISSIMO SEARA KG</t>
  </si>
  <si>
    <t>CAPPUCCINO 3C DESCAF 200G</t>
  </si>
  <si>
    <t>CAPPUCCINO 3C COOKIES 200G</t>
  </si>
  <si>
    <t>CAPSULA 3C CAPPUCCINO AVELA 11G C10</t>
  </si>
  <si>
    <t>Bebida Láctea Milky Moo Pandora/Mimosa 15g Tp 250ml</t>
  </si>
  <si>
    <t>Iogurte Líquido Frutap Sabores 850g</t>
  </si>
  <si>
    <t>Ovo Branco São José Grande Bandeja com 12 Unidades</t>
  </si>
  <si>
    <t>Papel Higiênico Mimmo F/D 30m Leve 12 Pague 11</t>
  </si>
  <si>
    <t>Macarrão Renata Ovos Espaguete/Parafuso/Pena/Linguine 500g</t>
  </si>
  <si>
    <t>MAC OVOS RENATA LINGUINE 500G</t>
  </si>
  <si>
    <t>IOG LIQ FRUTAP ACAI MOR 850G</t>
  </si>
  <si>
    <t>IOG LIQ FRUTAP AMEIXA 850G</t>
  </si>
  <si>
    <t>IOG LIQ FRUTAP COCO 850G</t>
  </si>
  <si>
    <t>IOG LIQ FRUTAP FR VERMELHAS 850G</t>
  </si>
  <si>
    <t>IOG LIQ FRUTAP MORANGO 850G</t>
  </si>
  <si>
    <t>IOG LIQ FRUTAP MORANGO C LEITE CONDENSADO 850G</t>
  </si>
  <si>
    <t>IOG LIQ FRUTAP SALADA FRUTAS 850G</t>
  </si>
  <si>
    <t>PAPEL HIG FD MIMMO 30M L12P11</t>
  </si>
  <si>
    <t>Pão de Forma Nutri Del Grano Tradicional/Caseiro 500g</t>
  </si>
  <si>
    <t>PAO DE FORMA NUTRI DEL GRANO CASEIRO 500G</t>
  </si>
  <si>
    <t>PAO DE FORMA NUTRI DEL GRANO TRAD 500G</t>
  </si>
  <si>
    <t>App</t>
  </si>
  <si>
    <t>Batata Palito Mais Batata Pacote 1,5Kg</t>
  </si>
  <si>
    <t>Frios - Pesáveis</t>
  </si>
  <si>
    <t>Sobremesa - Pesáveis</t>
  </si>
  <si>
    <t>Código Unificado ou EAN</t>
  </si>
  <si>
    <t>Arroz Beleza - 5Kg</t>
  </si>
  <si>
    <t>Coxa e Sobrecoxa de Frango com Osso Congelada Alliz Pacote - Kg</t>
  </si>
  <si>
    <t>Cerveja Praya Lager Long Neck 355ml</t>
  </si>
  <si>
    <t>Queijo Parmesão Ralado Président 50g</t>
  </si>
  <si>
    <t>ARROZ BELEZA 5KG</t>
  </si>
  <si>
    <t>CERV PRAYA LAGER PREM LN 355ML</t>
  </si>
  <si>
    <t>COXA E SOBRECOXA C OSSO ALLIZ PCT</t>
  </si>
  <si>
    <t>QUEIJO PARM RALADO PRESIDENT 50G</t>
  </si>
  <si>
    <t>Carne Bovina Maminha Frigol Chef Peça Embalada - Kg</t>
  </si>
  <si>
    <t>Bacon Manta Seara Pedaço - Kg</t>
  </si>
  <si>
    <t>Lava Roupas em Pó Tixan Primavera 1,6Kg Grátis 10%</t>
  </si>
  <si>
    <t>Ketchup Tradicional Predilecta 830g</t>
  </si>
  <si>
    <t xml:space="preserve">LAVA ROUPAS PO TIXAN YPE PRIMAVERA 1,6KG GTS 10% </t>
  </si>
  <si>
    <t>CATCHUP PREDILECTA TRAD 830G</t>
  </si>
  <si>
    <t>Lasanha Mamma D'Alva Forno de Minas Bolonhesa/Quatro Queijos 600g</t>
  </si>
  <si>
    <t>BL YOPRO DOCE DE LEITE HAVANA 250ML</t>
  </si>
  <si>
    <t>Cenoura - Kg</t>
  </si>
  <si>
    <t>Beterraba - Kg</t>
  </si>
  <si>
    <t>Batata Inglesa - Kg</t>
  </si>
  <si>
    <t>Pepino Japonês - Kg</t>
  </si>
  <si>
    <t>Melancia - Kg</t>
  </si>
  <si>
    <t>Leite Uht Nestlé Ninho Integral/Ninho Levinho/Molico Desnatado Tp 1L</t>
  </si>
  <si>
    <t>Cerveja Império Puro Malte Lata Pack com 15 Unidades de 350ml (Nesta embalagem no Clube a unidade sai a R$ 2,59)</t>
  </si>
  <si>
    <t>Aperitivo Campari 998ml</t>
  </si>
  <si>
    <t>Absorvente Intimus Gel Seca/Suave Com Abas Com 32 Unidades</t>
  </si>
  <si>
    <t>Açúcar Refinado Alto Alegre 1Kg</t>
  </si>
  <si>
    <t>Açúcar Refinado União 1Kg</t>
  </si>
  <si>
    <t>Amaciante Mon Bijou 2L</t>
  </si>
  <si>
    <t>Antisséptico Bucal Sensodyne 500ml</t>
  </si>
  <si>
    <t>Arroz Empório São João Tipo 1 - 2Kg</t>
  </si>
  <si>
    <t>Arroz Empório São João Tipo 1 - 5Kg</t>
  </si>
  <si>
    <t>Arroz Tio João Tipo 1 - 5Kg</t>
  </si>
  <si>
    <t>Ave Natalina Gran Ave Macedo - Kg</t>
  </si>
  <si>
    <t>Azeitona Verde Hemmer Fatiada Sachê 150g/Recheada Sachê 140g/Sem Caroço Sachê 140g</t>
  </si>
  <si>
    <t>Bacon Manta Sadia Pedaço - Kg</t>
  </si>
  <si>
    <t>Batata McCain Smiles 400g</t>
  </si>
  <si>
    <t>Batata McCain Smiles 500g</t>
  </si>
  <si>
    <t>Bebida Láctea Chocoleco Tp 200ml</t>
  </si>
  <si>
    <t>Biscoito Marilan Água e Sal/Cream Cracker/Leite/Maizena/Maria 350g</t>
  </si>
  <si>
    <t>Bolo Pullman Sabores 250g</t>
  </si>
  <si>
    <t>Bombom Especialidades Nestlé Caixa 251g</t>
  </si>
  <si>
    <t>Bombom Montevérgine Cereja ao Licor 94g/Cereja Picada 100g/Cereja Picada sem Álcool 100g</t>
  </si>
  <si>
    <t>Cerveja Baden Baden Cristal Garrafa 600ml</t>
  </si>
  <si>
    <t>Cerveja Baden Baden Cristal Lata 350ml</t>
  </si>
  <si>
    <t>Cerveja Itaipava Pilsen Lata 350ml</t>
  </si>
  <si>
    <t>Chinelo Cartago Dakar Masculino Cores - (Ref: 10738)</t>
  </si>
  <si>
    <t>Espumante Moscatel Verse Peterlongo 660ml</t>
  </si>
  <si>
    <t>Farofa de Mandioca Deusa Pronta Tradicional/Bacon 500g</t>
  </si>
  <si>
    <t>Fralda Geriátrica Cotidian M/G/XG - c/8</t>
  </si>
  <si>
    <t>Fraldas Turma da Mônica Jumbinho (P/24 - M/18 - G/18 - XG/14 - XXG/12)</t>
  </si>
  <si>
    <t>Fraldas Turma da Mônica Mega Pacotão (P/60 - M/54 - G/48 - EG/42)</t>
  </si>
  <si>
    <t>Garrafa Térmica Termolar Rolha Clean Lumina 1L - (Ref: 55580)</t>
  </si>
  <si>
    <t>Hambúrguer Bovino Sadia 672g</t>
  </si>
  <si>
    <t>Inseticida Aerosol Raid Multi Insetos Base Água/Citronela/Eucalipto 300ml+120ml</t>
  </si>
  <si>
    <t>Lasanha Sadia Tipos 600g</t>
  </si>
  <si>
    <t>Leite Condensado Piracanjuba Tp 395g</t>
  </si>
  <si>
    <t>Leite Uht Nestlé Ninho Integral/Molico Desnatado Zero Lactose Tp 1L</t>
  </si>
  <si>
    <t>Leite Uht Nestlé Ninho Tradicional/Ninho Levinho/Molico Desnatado Tp 1L</t>
  </si>
  <si>
    <t>Leite Uht Nestlé Ninho Zero Lactose Integral/Molico Zero Lactose Desnatado Tp 1L</t>
  </si>
  <si>
    <t>Macarrão Instantâneo Renata Sabores 85g/88g</t>
  </si>
  <si>
    <t>Macarrão Renata Ovos Espaguete/Parafuso 500g</t>
  </si>
  <si>
    <t>Margarina Vigor Cremosa Com Sal/Sem Sal 500g</t>
  </si>
  <si>
    <t>Massa Fresca Para Lasanha Massa Da Feira 500g</t>
  </si>
  <si>
    <t>Milho Verde Predilecta Lata 170g</t>
  </si>
  <si>
    <t>Mistura para Bolo Globo Chocolate 400g</t>
  </si>
  <si>
    <t>Mistura para Bolo Renata Sabores 400g</t>
  </si>
  <si>
    <t>Molho de Tomate Fugini Tradicional Sachê 300g</t>
  </si>
  <si>
    <t>Molho de Tomate Fugini Tradicional Sachê 340g</t>
  </si>
  <si>
    <t>Óleo de Soja Liza Pet 900ml</t>
  </si>
  <si>
    <t>Papel Higiênico Dualette Elite F/D 30m Leve 12 Pague 11</t>
  </si>
  <si>
    <t>Papel Higiênico Mirafiori F/D 4x30m</t>
  </si>
  <si>
    <t>Papel Higiênico Neve Neutro F/D 30m Leve 16 Pague 15</t>
  </si>
  <si>
    <t>Petit Suisse Danoninho Sabores Bandeja c/8 - 320g</t>
  </si>
  <si>
    <t>Queijo Parmesão Ralado Vigor 50g</t>
  </si>
  <si>
    <t>Ração Dog Chow 1Kg</t>
  </si>
  <si>
    <t>Ração Friskies 1Kg</t>
  </si>
  <si>
    <t>Ração para Cães Qualidy Carne e Frango 1Kg</t>
  </si>
  <si>
    <t>Refrigerante 15 Sabores 2L</t>
  </si>
  <si>
    <t>Salame Italiano Sadia Peça - Kg</t>
  </si>
  <si>
    <t>Salsicha Hot Dog Perdigão - Kg</t>
  </si>
  <si>
    <t>Salsicha Hot Dog Seara - Kg</t>
  </si>
  <si>
    <t>Suco de Laranja Ambiente Natural One 900ml</t>
  </si>
  <si>
    <t>Suco de Uva Salton Integral Natural 1,5L</t>
  </si>
  <si>
    <t>Vinho Argentino Benjamin Nieto 750ml</t>
  </si>
  <si>
    <t>Vodka Absolut Tradicional 1L</t>
  </si>
  <si>
    <t>Petit Suisse Danoninho Bandeja c/8 - 320g</t>
  </si>
  <si>
    <t>Arroz Tio João Tipo 1 - 2Kg</t>
  </si>
  <si>
    <t>Cerveja Puro Malte Moinho Real Lata 350ml</t>
  </si>
  <si>
    <t>Desinfetante Urca Lavanda Leve 2L Pague 1,8L</t>
  </si>
  <si>
    <t>Água Mineral Com Gás Prata Pet 1,27L</t>
  </si>
  <si>
    <t>Kit Whiskey Jack Daniel´s Old Nº7 - 1L Com Dois Copos</t>
  </si>
  <si>
    <t>Feijão Carioca Premium Picinin 1Kg</t>
  </si>
  <si>
    <t>Chinelo Rider Feel Urbano Adulto – (Ref:12318)</t>
  </si>
  <si>
    <t>Azeite Renata Superiore Extra Virgem 500ml</t>
  </si>
  <si>
    <t>Água Mineral sem Gás Frescca Pet 5L</t>
  </si>
  <si>
    <t>Conhaque Presidente 900ml</t>
  </si>
  <si>
    <t>Bombom Neugebauer Amor Carioca 200g</t>
  </si>
  <si>
    <t>Requeijão Danubio Tradicional/Light Copo Vidro 190g</t>
  </si>
  <si>
    <t>Levíssimo Seara cada 100g</t>
  </si>
  <si>
    <t>Ketchup Tradicional/Picante Predilecta 400g</t>
  </si>
  <si>
    <t>APERITIVO CAMPARI BITTER 998ML</t>
  </si>
  <si>
    <t>CERV IMPERIO PM LT PACK C15 350ML</t>
  </si>
  <si>
    <t>REQUEIJAO CATUPIRY 200G LIGHT COPOCREM</t>
  </si>
  <si>
    <t>REQUEIJAO CATUPIRY 200G TRAD COPOCREM</t>
  </si>
  <si>
    <t>Cebola Nacional - Kg</t>
  </si>
  <si>
    <t>Alho a Granel - Cada 100g</t>
  </si>
  <si>
    <t>Banana Nanica - Kg</t>
  </si>
  <si>
    <t>Laranja Pera - Kg</t>
  </si>
  <si>
    <t>Filé de Peito de Frango Congelado Alliz Pacote - Kg</t>
  </si>
  <si>
    <t>Chopp de Vinho Grape Cool Góes 600ml</t>
  </si>
  <si>
    <t>CERV PETRA PURO MALTE 350ML</t>
  </si>
  <si>
    <t>CERVEJA PETRA PURO MALTE 350ML C 12UN</t>
  </si>
  <si>
    <t>GRAPE COOL VINHO TINTO 600ML</t>
  </si>
  <si>
    <t>Coxa e Sobrecoxa de Frango com Osso Congelada Rico Pacote - Kg</t>
  </si>
  <si>
    <t>Salame Tipo Italiano Perdigão Peça - Kg</t>
  </si>
  <si>
    <t>Cápsula de Café LOR Cartucho com 10 Unidades</t>
  </si>
  <si>
    <t>Ketchup Predilecta Tradicional 830g</t>
  </si>
  <si>
    <t>Pão de Forma Panutrir 400g</t>
  </si>
  <si>
    <t>Kit 1 Suplemento Alimentar Creatina Probiótica 300g + 2 Amostras Grátis 100% Pure Whey</t>
  </si>
  <si>
    <t>Vinho Português Bons Ventos Tinto 750ml</t>
  </si>
  <si>
    <t>Frango Especial Temperado Congelado Natalliz - Kg</t>
  </si>
  <si>
    <t>Cereal Kellogg´s Sucrilhos Original 510g</t>
  </si>
  <si>
    <t>Lava Roupas Líquido Urca 3L</t>
  </si>
  <si>
    <t>COXAS SOBRECOXAS CONG KG</t>
  </si>
  <si>
    <t>Salame Tipo Italiano Perdigão Peça</t>
  </si>
  <si>
    <t>Salame Tipo Italiano Perdigão Fatiado</t>
  </si>
  <si>
    <t>CAPS LOR BAUNILHA 52G C10</t>
  </si>
  <si>
    <t>CAPS LOR BRAZIL 52G C10</t>
  </si>
  <si>
    <t>CAPS LOR CARAMELO 52G C10</t>
  </si>
  <si>
    <t>CAPS LOR CHOCOLATE 52G C10</t>
  </si>
  <si>
    <t>CAPS LOR COLOMBIA 52G C10</t>
  </si>
  <si>
    <t>CAPS LOR DESCAF RISTRETTO 52G C10</t>
  </si>
  <si>
    <t>CAPS LOR FORZA 9 52G C10</t>
  </si>
  <si>
    <t>CAPS LOR GUATEMALA 52G C10</t>
  </si>
  <si>
    <t>CAPS LOR HAZELNUT 52G C10</t>
  </si>
  <si>
    <t>CAPS LOR INDIA 52G C10</t>
  </si>
  <si>
    <t>CAPS LOR LUNGO EST 10 52G C10</t>
  </si>
  <si>
    <t>CAPS LOR ONIX 12 52G C10</t>
  </si>
  <si>
    <t>CAPS LOR RISTRETTO 11 104G C20</t>
  </si>
  <si>
    <t>CAPS LOR RISTRETTO 11 52G C10</t>
  </si>
  <si>
    <t>CAPS LOR SONTUOSO 8 52G C10</t>
  </si>
  <si>
    <t>CAPS LOR ULTIMO UTZ 13 52G C10</t>
  </si>
  <si>
    <t>CEREAL SUCRILHOS ORIG 510G</t>
  </si>
  <si>
    <t>PAO DE FORMA PANUTRIR 400G</t>
  </si>
  <si>
    <t>KIT PROBIOTICA CREATINA 300G + 2 SCH PURE WHEY</t>
  </si>
  <si>
    <t>LAVA ROUPAS LIQ COCO URCA 3L</t>
  </si>
  <si>
    <t>LAVA ROUPAS LIQ URCA MAX AZUL 3L</t>
  </si>
  <si>
    <t>LAVA ROUPAS LIQ URCA MAX LAVANDA 3L</t>
  </si>
  <si>
    <t>LAVA ROUPAS LIQ URCA MAX VERDE 3L</t>
  </si>
  <si>
    <t>AMAC CONC DOWNY ALFAZEMA 1L</t>
  </si>
  <si>
    <t>LAVA ROUPAS PO TIXAN MACIEZ LV 1,6KG PG 1,52KG - Burgão</t>
  </si>
  <si>
    <t>Abóbora Cabotiã - Kg</t>
  </si>
  <si>
    <t>Limão Taiti - Kg</t>
  </si>
  <si>
    <t>Leite Uht Piracanjuba Integral/Desnatado/Semi Desnatado Tp 1L</t>
  </si>
  <si>
    <t>Fraldas Pampers SuperSequinha Mega (M-40/G-34/XG-32)</t>
  </si>
  <si>
    <t>CAPSULA LOR ESP INDONESIA 52G C10</t>
  </si>
  <si>
    <t>GATORADE 500ML BERRY BLUE PET</t>
  </si>
  <si>
    <t>LEITE LV PIRACANJUBA INTEGRAL 1L CX 12UN</t>
  </si>
  <si>
    <t>LEITE LV PIRACANJUBA DESNATADO 1L CX 12UN</t>
  </si>
  <si>
    <t>LEITE LV PIRACANJUBA SEMIDESNAT 1L CX 12UN</t>
  </si>
  <si>
    <t>WHISKY NATU NOBILIS 1L   </t>
  </si>
  <si>
    <t>Repolho Verde - Kg</t>
  </si>
  <si>
    <t>Ovo Branco São José Grande Bandeja com 20 Unidades</t>
  </si>
  <si>
    <t>Suplemento Alimentar 100% Whey Probiótica Refil 900g</t>
  </si>
  <si>
    <t>Pão de Queijo Forno de Minas Coquetel/Tradicional/Lanche 820g</t>
  </si>
  <si>
    <t>SUP ALIM 100% PURE WHEY PROB BAUNILHA RFL 900G</t>
  </si>
  <si>
    <t>SUP ALIM 100% PURE WHEY PROB CHOC RFL 900G</t>
  </si>
  <si>
    <t>SUP ALIM 100% PURE WHEY PROB MORANGO RFL 900G</t>
  </si>
  <si>
    <t>PAO DE QUEIJO FORNO DE MINAS COQUETEL 820G</t>
  </si>
  <si>
    <t>PAO DE QUEIJO FORNO DE MINAS LANCHE 820G</t>
  </si>
  <si>
    <t>PAO DE QUEIJO FORNO DE MINAS TRAD 820G</t>
  </si>
  <si>
    <t>Requeijão Vigor Tradicional/Light Copo 400g</t>
  </si>
  <si>
    <t>REQUEIJAO VIGOR TRAD 400G</t>
  </si>
  <si>
    <t>REQUEIJAO VIGOR LIGHT 400G</t>
  </si>
  <si>
    <t>Margarina Becel Tradicional com Sal/sem Sal 500g</t>
  </si>
  <si>
    <t>Berinjela - Kg</t>
  </si>
  <si>
    <t>Detergente Líquido Ypê Clear/Neutro Pack com 6 Unidades de 500ml</t>
  </si>
  <si>
    <t>CERV HEINEKEN LATA 350ML</t>
  </si>
  <si>
    <t>CERVEJA HEINEKEN LT 350ML C12</t>
  </si>
  <si>
    <t>CERV HEINEKEN LT 350ML</t>
  </si>
  <si>
    <t>CERVEJA HEINEKEN 350ML LATA PILSEN C/12</t>
  </si>
  <si>
    <t>CERVEJA AMSTEL 350ML LATA PURO MALTE C/12</t>
  </si>
  <si>
    <t>CERV AMSTEL PURO MALTE LT 350ML C12</t>
  </si>
  <si>
    <t>MARGARINA VIGOR C SAL 1KG</t>
  </si>
  <si>
    <t xml:space="preserve">CR VEGETAL BECEL ORIG S SAL 500G </t>
  </si>
  <si>
    <t xml:space="preserve">CERVEJA HEINEKEN 350ML LATA ZERO ALCOOL C/12 </t>
  </si>
  <si>
    <t>Requeijão Danone Tradicional/Light Copo 200g</t>
  </si>
  <si>
    <t>Cerveja Blue Moon Belgian White Brasil Lata 350ml</t>
  </si>
  <si>
    <t>Cerveja Lagunitas Ipa Brasil Lata 350ml</t>
  </si>
  <si>
    <t>Manteiga Tania com Sal/sem Sal Pote 200g</t>
  </si>
  <si>
    <t>REQUEIJAO CREMOSO LIGHT DANONE 200G</t>
  </si>
  <si>
    <t>CERV BLUE MOON LT 350ML</t>
  </si>
  <si>
    <t>CERV IPA LAGUNITAS LT 350ML</t>
  </si>
  <si>
    <t>MANTEIGA TANIA C SAL 200G</t>
  </si>
  <si>
    <t>MANTEIGA TANIA S SAL 200G</t>
  </si>
  <si>
    <t>CERV HEINEKEN LN 330ML</t>
  </si>
  <si>
    <t xml:space="preserve">CERVEJA HEINEKEN LN 330ML C 6 </t>
  </si>
  <si>
    <t>CERV HEINEKEN ZERO LN 330ML</t>
  </si>
  <si>
    <t>CERV HEINEKEN 0 0 ALCOOL 330ML L NECK FD 6UN</t>
  </si>
  <si>
    <t>Melão Amarelo - Kg</t>
  </si>
  <si>
    <t>FRANGO ESPECIAL NATALLIZ KG</t>
  </si>
  <si>
    <t>Molho de Tomate Heinz Tradicional 240g</t>
  </si>
  <si>
    <t>MOLHO TOM HEINZ TRAD SCH 240G</t>
  </si>
  <si>
    <t>CERV IPA LAGUNITAS LT 350ML FD C12</t>
  </si>
  <si>
    <t>VINHO SALTON CLASSIC 750ML TINTO SUAVE</t>
  </si>
  <si>
    <t>Açaí Origem Toda Hora com Guaraná 1,5L</t>
  </si>
  <si>
    <t>Amaciante de Roupas Urca Leve 2L Pague 1,8L</t>
  </si>
  <si>
    <t>Ovo Branco São José - Bandeja com 20 Unidades</t>
  </si>
  <si>
    <t>AZEITE EV BOM DIA VD 500ML</t>
  </si>
  <si>
    <t>ACAI C GUARANA ORIGEM TODA HORA 1 5L</t>
  </si>
  <si>
    <t>OVO SAO JOSE MEDIO BRANCO PVC C20</t>
  </si>
  <si>
    <t>VH CHI S CAROLINA RES BCO SUAVE 750ML</t>
  </si>
  <si>
    <t>NECTAR MAGUARY MELANCIA 1L</t>
  </si>
  <si>
    <t>BEB MISTA MAGUARY ACEROLA 1L</t>
  </si>
  <si>
    <t>Azeite Bom Dia Extra Virgem Vidro 500ml</t>
  </si>
  <si>
    <t>Lava Roupas em Pó Omo Lavagem Perfeita CT 1,6Kg</t>
  </si>
  <si>
    <t>CERVEJA BLUE MOON 350ML LATA BELGIAN WHITE C/12</t>
  </si>
  <si>
    <t>LAVA ROUPAS PO TIXAN PRIMAVERA LV 1,6KG PG 1,52KG - Furlanetti</t>
  </si>
  <si>
    <t>Frango Inteiro Congelado Alliz Pacote - Kg</t>
  </si>
  <si>
    <t xml:space="preserve">FRANGO INTEIRO CONG ALLIZ </t>
  </si>
  <si>
    <t>Manga Tommy - Kg</t>
  </si>
  <si>
    <t>Achocolatado em Pó Chocolatto 3 Corações Lata 350g</t>
  </si>
  <si>
    <t>Energético TNT Original Lata 473ml</t>
  </si>
  <si>
    <t>ACHOC CHOCOLATTO 3C LATA 350G</t>
  </si>
  <si>
    <t>OVO SAO JOSE MEDIO BRANCO PVC C20 - Libardi 01, 02 e 04</t>
  </si>
  <si>
    <t>KIT SH 400ML E CO 175ML PANTENE HIDRO</t>
  </si>
  <si>
    <t>KIT PANTENE SH 300ML COND 150ML BIOTINAMINA</t>
  </si>
  <si>
    <t>Arroz 7 Grãos/Multigrãos Prato Fino 500g</t>
  </si>
  <si>
    <t>ARROZ PRATO FINO 7 GRÃOS E CENOURA 500G</t>
  </si>
  <si>
    <t>ARROZ PRATO FINO 7 GRÃOS INTEGRAIS 500G</t>
  </si>
  <si>
    <t>ARROZ PRATO FINO MULTIGRÃOS 500G</t>
  </si>
  <si>
    <t>FILE DE PEITO COPACOL IQF 800G</t>
  </si>
  <si>
    <t>Filé de Peito de Frango Copacol IQF 800g</t>
  </si>
  <si>
    <t>Filé de Peito de Frango Sadia IQF Zip - 1Kg</t>
  </si>
  <si>
    <t>Alho a Granel cada 100g</t>
  </si>
  <si>
    <t>Abacate - Kg</t>
  </si>
  <si>
    <t>FILE PEITO FRANGO SADIA IQF ZIP 1KG</t>
  </si>
  <si>
    <t>ARROZ PRATO FINO 5KG TIPO 1</t>
  </si>
  <si>
    <t>OVOS SAO JOSE 20UND PVC BCO GDE</t>
  </si>
  <si>
    <t xml:space="preserve">OVOS SAO JOSE 20UND PVC BCO GDE </t>
  </si>
  <si>
    <t>AMAC CONC DOWNY BRISA VERAO TROPICAL 1L</t>
  </si>
  <si>
    <t>Batata Doce - Kg</t>
  </si>
  <si>
    <t>Filé de Salmão Bom Peixe Congelado Bandeja 300g</t>
  </si>
  <si>
    <t>FILE DE SALMAO C PELE CONG BJ 300G</t>
  </si>
  <si>
    <t>Mamão Formosa - Kg</t>
  </si>
  <si>
    <t>Macarrão Instantâneo Renata Conjunto c/4 - 85g</t>
  </si>
  <si>
    <t>MAC RENATA EXPRESS 85G LV MAIS PG MENOS PCT 4UN</t>
  </si>
  <si>
    <t>Cerveja Original Pilsen Lata Pack com 12 Unidades de 350ml (Nesta embalagem, no Clube Das Ofertas, a unidade sai a R$ 3,89)</t>
  </si>
  <si>
    <t>LEITE PIRACANJUBA LONGA VIDA 1L DESNAT 12UN</t>
  </si>
  <si>
    <t>LEITE PIRACANJUBA LONGA VIDA 1L S DESN 12UND</t>
  </si>
  <si>
    <t>Cerveja Original Pilsen Lata Pack com 12 Unidades de 350ml (Nesta embalagem no Clube DAS Ofertas a unidade sai a R$ 3,79)</t>
  </si>
  <si>
    <t>Achocolatado em Pó Nescau Sachê 550g</t>
  </si>
  <si>
    <t>ACHOC NESCAU ACTGO SCH 550G</t>
  </si>
  <si>
    <t>CAFE PILAO 500G TRADICIONAL VACUO</t>
  </si>
  <si>
    <t>BOMBOM AMOR CARIOCA DUO 200G</t>
  </si>
  <si>
    <t>Empanado Big Tekitos Tradicional 900g</t>
  </si>
  <si>
    <t>Leite Uht Nestlé Ninho Integral/Molico Desnatado Tp 1L</t>
  </si>
  <si>
    <t>Suco de Uva Integral 100% Peterlongo Tinto/Branco 1,5L</t>
  </si>
  <si>
    <t>KIT PANTENE SH 300ML COND 150ML BOND REPAIR</t>
  </si>
  <si>
    <t>Bebida Láctea 3 Corações Cappuccino 260ml</t>
  </si>
  <si>
    <t>Bebida Láctea 3 Corações Power Whey 250ml</t>
  </si>
  <si>
    <t>Fraldas Huggies Rápida Absorção Meguinha (P/38 - M/36 - G/30 - XG/28 - XXG/26)</t>
  </si>
  <si>
    <t>BL 3C POWER WHEY CAPPUCCINO CHOC 250ML</t>
  </si>
  <si>
    <t xml:space="preserve">BL 3C POWER WHEY CAPPUCCINO COOKIES 250ML </t>
  </si>
  <si>
    <t xml:space="preserve">BL 3C POWER WHEY CAPPUCCINO DOCE LEITE 250ML </t>
  </si>
  <si>
    <t>BL 3C POWER WHEY CAPPUCCINO 250ML</t>
  </si>
  <si>
    <t xml:space="preserve">BL 3C CAPPUCCINO BALANCE 260ML </t>
  </si>
  <si>
    <t xml:space="preserve">BL 3C CAPPUCCINO CHOC 260ML </t>
  </si>
  <si>
    <t>BL 3C CAPPUCCINO CLASSIC 260ML</t>
  </si>
  <si>
    <t>FLD HUGGIES RAPIDA ABSORCAO MEGUINHA G C30</t>
  </si>
  <si>
    <t>FLD HUGGIES RAPIDA ABSORCAO MEGUINHA M C36</t>
  </si>
  <si>
    <t>FLD HUGGIES RAPIDA ABSORCAO MEGUINHA P C38</t>
  </si>
  <si>
    <t>FLD HUGGIES RAPIDA ABSORCAO MEGUINHA XXG C26</t>
  </si>
  <si>
    <t>FLD HUGGIES RAPIDA ABSORCAO MEGUINHA XG C28</t>
  </si>
  <si>
    <t>Farinha de Trigo Nita 1Kg</t>
  </si>
  <si>
    <t>Macarrão Renata Ovos Ninho 2/3 - 500g</t>
  </si>
  <si>
    <t>FARINHA DE TRIGO NITA 1KG</t>
  </si>
  <si>
    <t>MAC OVOS RENATA NINHO 2 500G</t>
  </si>
  <si>
    <t>MAC OVOS RENATA NINHO 3 500G</t>
  </si>
  <si>
    <t>Chuchu - Kg</t>
  </si>
  <si>
    <t>Maçã Gala - Kg</t>
  </si>
  <si>
    <t>Pera Importada - Kg</t>
  </si>
  <si>
    <t>Cerveja Império Ultra Long Neck 275ml</t>
  </si>
  <si>
    <t>Whisky Chivas Regal 12 Anos Escocês  1L</t>
  </si>
  <si>
    <t>CERV IMPERIO ULTRA PURO MALTE S GLUTEN LN 275ML</t>
  </si>
  <si>
    <t>Pão de Alho Santa Massa Baguete Tradicional/Picante 400g</t>
  </si>
  <si>
    <t>Pão de Alho Zinho Bolinha Tradicional 300g</t>
  </si>
  <si>
    <t>Vinho Italiano Cella Lambrusco Branco/Tinto 750ml</t>
  </si>
  <si>
    <t>Requeijão Vigor Tradicional Copo 400g</t>
  </si>
  <si>
    <t>Bombom Ferrero Rocher T8 - 100g</t>
  </si>
  <si>
    <t>Empanados Big Tekitos Tradicional/Queijo 900g</t>
  </si>
  <si>
    <t>Requeijão Catupiry Tradicional Copo 200g</t>
  </si>
  <si>
    <t>BOMBOM FERRERO ROCHER T8 100G</t>
  </si>
  <si>
    <t>Iogurte Líquido Danone 1,25Kg</t>
  </si>
  <si>
    <t>IOG LIQ DANONE VITAMINA 1250G</t>
  </si>
  <si>
    <t>IOG LIQ DANONE MORANGO 1250G</t>
  </si>
  <si>
    <t>Filé de Peito de Frango Congelado Nutribem Pacote - Kg</t>
  </si>
  <si>
    <t>Empanados Tekitos Tradicional 300g</t>
  </si>
  <si>
    <t>Lasanha Seara Bolognesa 600g</t>
  </si>
  <si>
    <t>Sorvete Jundiá Sabores 1,5L</t>
  </si>
  <si>
    <t>Iogurte Líquido Frutap Sabores 1250g</t>
  </si>
  <si>
    <t>EMPANADO TEKITOS TRAD 300G</t>
  </si>
  <si>
    <t>IOG FRUTAP MORANGO COM LEITE COND 1 250KG</t>
  </si>
  <si>
    <t>IOG LIQ FRUTAP MORANGO 1 250KG</t>
  </si>
  <si>
    <t>IOG LIQ FRUTAP ACAI MOR 1 250KG</t>
  </si>
  <si>
    <t>IOG LIQ FRUTAP MANGA C LEITE 1 250KG</t>
  </si>
  <si>
    <t>IOG LIQ FRUTAP FR VERMELHAS 1 250KG</t>
  </si>
  <si>
    <t>IOG LIQ FRUTAP SALADA FRUTAS 1 250KG</t>
  </si>
  <si>
    <t>SORV JUNDIA CREME 1 5L</t>
  </si>
  <si>
    <t>SORV JUNDIA FLOCOLITANO 1 5L</t>
  </si>
  <si>
    <t>SORV JUNDIA FLOCOS 1 5L</t>
  </si>
  <si>
    <t>SORV JUNDIA MORANGO 1 5L</t>
  </si>
  <si>
    <t>SORV JUNDIA NAPOLITANO 1 5L</t>
  </si>
  <si>
    <t>Maracujá Azedo - Kg</t>
  </si>
  <si>
    <t>Lava Roupas em Pó Coquel Natureza Limpa 800g</t>
  </si>
  <si>
    <t>Bebida Láctea Líder Chocolate Tp 1L</t>
  </si>
  <si>
    <t>BL UHT LIDER CHOC 1L</t>
  </si>
  <si>
    <t>LAVA ROUPAS PO COQUEL NATUREZA LIMPA 800G</t>
  </si>
  <si>
    <t>BL VOVO ANIZIA AMEIXA 800G</t>
  </si>
  <si>
    <t>BL VOVO ANIZIA CEN LAR E MEL 800G</t>
  </si>
  <si>
    <t>BL VOVO ANIZIA COCO 800G</t>
  </si>
  <si>
    <t>BL VOVO ANIZIA FR VERMELHAS 800G</t>
  </si>
  <si>
    <t>BL VOVO ANIZIA MORANGO 800G</t>
  </si>
  <si>
    <t>BL VOVO ANIZIA SALADA DE FRUTA 800G</t>
  </si>
  <si>
    <t>Bebida Láctea Vovó Anizia Garrafa Sabores 800ml</t>
  </si>
  <si>
    <t>Bebida Láctea Líder Chocolate Tp 200ml</t>
  </si>
  <si>
    <t>BL UHT LIDER CHOC 200ML</t>
  </si>
  <si>
    <t>Cerveja Brahma Pilsen Lata Pack com 12 unidades de 350ml</t>
  </si>
  <si>
    <t>CERV BRAHMA PACK C12 LT 350ML</t>
  </si>
  <si>
    <t>Abacaxi Pérola - Unidade</t>
  </si>
  <si>
    <t>PAO ALHO ZINHO BOLINHA 300G RECH PICANTE QJO UN - Torrinha</t>
  </si>
  <si>
    <t>Papel Higiênico Cotton F/D 30m Leve 12 Pague 11</t>
  </si>
  <si>
    <t>Cerveja Original Pilsen Lata Pack com 12 Unidades de 350ml (Nesta embalagem, no Clube Das Ofertas, a unidade sai a R$ 3,79)</t>
  </si>
  <si>
    <t>Cerveja Antarctica Pilsen Lata Pack com 12 unidades de 350ml (Nesta embalagem, no Clube Das Ofertas, a unidade sai a R$ 2,99)</t>
  </si>
  <si>
    <t>CERV ANTARCTICA PACK C12 LT 350ML</t>
  </si>
  <si>
    <t>PAPEL HIG FD COTTON 30M L12 P11</t>
  </si>
  <si>
    <t>KIT MAIONESE HEINZ C2 800G</t>
  </si>
  <si>
    <t>Pack Maionese Heinz Leve Mais Pague Menos c/2 - 800g</t>
  </si>
  <si>
    <t>Frango Inteiro Congelado Nutribem Pacote - Kg</t>
  </si>
  <si>
    <t>Cerveja Brahma Pilsen Lata Pack com 12 unidades de 350ml (Nesta embalagem a unidade sai a R$ 2,99)</t>
  </si>
  <si>
    <t>Bombom Especialidades Nestlé Caixa 220g</t>
  </si>
  <si>
    <t>FRANGO INTEIRO CONG NUTRIBEM</t>
  </si>
  <si>
    <t>BOMBOM ESPECIALIDADES NESTLE 220G</t>
  </si>
  <si>
    <t>Coxa e Sobrecoxa de Frango com Osso Congelada Nutribem Pacote - Kg</t>
  </si>
  <si>
    <t>Roupa Íntima Descartável Bigfral Moviment (G-XG/7 - P-M/7)</t>
  </si>
  <si>
    <t>Chinelo Ipanema Day Feminino ​- (Ref: 27321)</t>
  </si>
  <si>
    <t>Assadeira Retangular Marinex Lasanheira 3,7L</t>
  </si>
  <si>
    <t>Assadeira Retangular Marinex Lasanheira com Tampa 3,7L</t>
  </si>
  <si>
    <t>Assadeira Retangular Marinex Selleta com Tampa 3,5L</t>
  </si>
  <si>
    <t>Conjunto de Gadgets de Nylon Euro Vermelho c/7 Peças</t>
  </si>
  <si>
    <t>Azeite Bom Dia Extra Virgem Lata 500ml</t>
  </si>
  <si>
    <t>AZEITE EV BOM DIA LT 500ML</t>
  </si>
  <si>
    <t>Coxa e Sobrecoxa de Frango com Osso Congelada Nutribem Pacote</t>
  </si>
  <si>
    <t>ROUPA INT BIGFRAL MOVIMENT G XG C7</t>
  </si>
  <si>
    <t>ROUPA INT BIGFRAL MOVIMENT P M C7</t>
  </si>
  <si>
    <t>CHINELO IPANEMA DAY FEMINIMO</t>
  </si>
  <si>
    <t>ASSAD LASANHEIRA RET MARINEX FUNDA 3,7L</t>
  </si>
  <si>
    <t>ASSAD LASANHEIRA RET MARINEX FUNDA C TAMPA 3,7L</t>
  </si>
  <si>
    <t>ASSAD RET MARINEX SELETTA C TAMPA GRAND 3,5L</t>
  </si>
  <si>
    <t>CONJ GADGETS DE NYLON EURO VERMELHO C7</t>
  </si>
  <si>
    <t>CERV IMPERIO ULTRA S GLUTEN L NECK 275ML CX 12UN</t>
  </si>
  <si>
    <t>Ponkan - Kg</t>
  </si>
  <si>
    <t>Água Mineral sem Gás Frescca Pet 510ml</t>
  </si>
  <si>
    <t>AGUA MINERAL FRESCCA S GAS 510ML</t>
  </si>
  <si>
    <t>Papel Higiênico Sublime Noble F/D 20m c/12</t>
  </si>
  <si>
    <t>Suco Life da Fazenda Integral Laranja/Néctar Life Uva 900ml</t>
  </si>
  <si>
    <t>Macarrão Renata Ovos 500g (Exceto Aletria/Gravata/Ninho2,3/Pappardelle/Tricolori)</t>
  </si>
  <si>
    <t>PAPEL HIG FD SUBLIME NOBLE 20M C12</t>
  </si>
  <si>
    <t>NECTAR LIFE UVA 900ML</t>
  </si>
  <si>
    <t>MAC OVOS RENATA AVE MARIA 500G</t>
  </si>
  <si>
    <t xml:space="preserve">MAC OVOS RENATA CONCHA 1 500G </t>
  </si>
  <si>
    <t xml:space="preserve">MAC OVOS RENATA CARACOLINO 500G  </t>
  </si>
  <si>
    <t xml:space="preserve">MAC OVOS RENATA DESC ALFABETO 500G    </t>
  </si>
  <si>
    <t xml:space="preserve">MAC OVOS RENATA ESPAGUETE 8 500G   </t>
  </si>
  <si>
    <t xml:space="preserve">MAC OVOS RENATA ESPAGUETINHO 9 500G   </t>
  </si>
  <si>
    <t xml:space="preserve">MAC OVOS RENATA FETTUCCINE 500G   </t>
  </si>
  <si>
    <t xml:space="preserve">MAC OVOS RENATA FIDELINHO 10 500G  </t>
  </si>
  <si>
    <t xml:space="preserve">MAC OVOS RENATA FURADINHO 5 500G   </t>
  </si>
  <si>
    <t xml:space="preserve">MAC OVOS RENATA LINGUINE 500G   </t>
  </si>
  <si>
    <t xml:space="preserve">MAC OVOS RENATA NHOQUE 500G   </t>
  </si>
  <si>
    <t xml:space="preserve">MAC OVOS RENATA PADRE NOSSO 500G  </t>
  </si>
  <si>
    <t xml:space="preserve">MAC OVOS RENATA PARAFUSINHO 500G  </t>
  </si>
  <si>
    <t xml:space="preserve">MAC OVOS RENATA PARAFUSO 500G   </t>
  </si>
  <si>
    <t xml:space="preserve">MAC OVOS RENATA PENA 500G   </t>
  </si>
  <si>
    <t>Energético Flying Horse Lata 473ml</t>
  </si>
  <si>
    <t>ENERGETICO FLYING HORSE LT 473ML</t>
  </si>
  <si>
    <t>ENERGETICO FLYING HORSE MANGA LT 473ML</t>
  </si>
  <si>
    <t>ENERGETICO FLYING HORSE MELANCIA LT 473ML</t>
  </si>
  <si>
    <t>ENERGETICO FLYING HORSE ZERO LT 473ML</t>
  </si>
  <si>
    <t>Água Mineral sem Gás Prata Leve 2,5L</t>
  </si>
  <si>
    <t>AGUA MINERAL PRATA LEVE S GAS PET 2,5L</t>
  </si>
  <si>
    <t>10Kg</t>
  </si>
  <si>
    <t>Maçã Fuji - Kg</t>
  </si>
  <si>
    <t xml:space="preserve"> VIGÊNCIA 02 A 04 DE JUNHO 2026</t>
  </si>
  <si>
    <t>Clube Das Ofertas - FEIRINHA 02.06.2026</t>
  </si>
  <si>
    <t>Tabloide 02.06.2026</t>
  </si>
  <si>
    <t>App 02.06.2026</t>
  </si>
  <si>
    <t>Cerveja Original Pilsen Lata Pack com 12 Unidades de 350ml (Nesta embalagem a unidade sai a R$ 3,79)</t>
  </si>
  <si>
    <t>Requeijão com Queijo Crioulo 180g</t>
  </si>
  <si>
    <t xml:space="preserve"> VIGÊNCIA 05 A 08 DE JUNHO 2026</t>
  </si>
  <si>
    <t>Empanado de Frango Nuggets Tradicional Sadia 300g</t>
  </si>
  <si>
    <t>REQUEIJAO CREM CRIOULO C QUEIJO 180G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</si>
</sst>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[$-416]General"/>
    <numFmt numFmtId="166" formatCode="#,##0_ ;\-#,##0\ "/>
    <numFmt numFmtId="167" formatCode="d/m/yy;@"/>
    <numFmt numFmtId="168" formatCode="ddd\,\ dd/mm/yyyy"/>
    <numFmt numFmtId="169" formatCode="_(&quot;R$&quot;* #,##0.00_);_(&quot;R$&quot;* \(#,##0.00\);_(&quot;R$&quot;* &quot;-&quot;??_);_(@_)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1"/>
    </font>
    <font>
      <b/>
      <sz val="11"/>
      <color theme="1"/>
      <name val="Calibri"/>
      <family val="2"/>
      <scheme val="minor"/>
    </font>
    <font>
      <b/>
      <sz val="20"/>
      <name val="Arial Black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11"/>
      <color theme="1" tint="0.34998626667073579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b/>
      <sz val="11"/>
      <color theme="1" tint="0.24994659260841701"/>
      <name val="Calibri"/>
      <family val="2"/>
      <scheme val="minor"/>
    </font>
    <font>
      <i/>
      <sz val="11"/>
      <color theme="7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8" tint="-0.499984740745262"/>
      <name val="Calibri"/>
      <family val="2"/>
      <scheme val="minor"/>
    </font>
    <font>
      <u/>
      <sz val="11"/>
      <color indexed="12"/>
      <name val="Arial"/>
      <family val="2"/>
    </font>
    <font>
      <sz val="10"/>
      <color theme="0"/>
      <name val="Calibri"/>
      <family val="2"/>
      <scheme val="minor"/>
    </font>
    <font>
      <sz val="16"/>
      <color theme="8" tint="-0.24994659260841701"/>
      <name val="Calibri"/>
      <family val="2"/>
      <scheme val="minor"/>
    </font>
    <font>
      <sz val="14"/>
      <color theme="8" tint="-0.499984740745262"/>
      <name val="Calibri"/>
      <family val="2"/>
      <scheme val="minor"/>
    </font>
    <font>
      <b/>
      <sz val="22"/>
      <color theme="8" tint="-0.499984740745262"/>
      <name val="Calibri Light"/>
      <family val="2"/>
      <scheme val="major"/>
    </font>
    <font>
      <sz val="14"/>
      <color theme="1"/>
      <name val="Calibri"/>
      <family val="2"/>
      <scheme val="minor"/>
    </font>
    <font>
      <b/>
      <sz val="22"/>
      <color theme="1" tint="0.34998626667073579"/>
      <name val="Calibri Light"/>
      <family val="2"/>
      <scheme val="major"/>
    </font>
    <font>
      <sz val="11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 Black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FFCC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8" tint="0.79998168889431442"/>
      </right>
      <top style="medium">
        <color theme="8"/>
      </top>
      <bottom/>
      <diagonal/>
    </border>
    <border>
      <left/>
      <right/>
      <top style="thin">
        <color theme="8"/>
      </top>
      <bottom style="medium">
        <color theme="8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652">
    <xf numFmtId="0" fontId="0" fillId="0" borderId="0"/>
    <xf numFmtId="4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" fillId="0" borderId="0"/>
    <xf numFmtId="165" fontId="5" fillId="0" borderId="0"/>
    <xf numFmtId="0" fontId="3" fillId="0" borderId="0"/>
    <xf numFmtId="0" fontId="3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4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44" fontId="1" fillId="0" borderId="0" applyFont="0" applyFill="0" applyBorder="0" applyAlignment="0" applyProtection="0"/>
    <xf numFmtId="0" fontId="3" fillId="0" borderId="0"/>
    <xf numFmtId="164" fontId="4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5" fontId="9" fillId="0" borderId="0"/>
    <xf numFmtId="44" fontId="1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0" fontId="1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44" fontId="4" fillId="0" borderId="0" applyFont="0" applyFill="0" applyBorder="0" applyAlignment="0" applyProtection="0"/>
    <xf numFmtId="0" fontId="15" fillId="0" borderId="0" applyNumberFormat="0" applyFill="0" applyBorder="0" applyProtection="0">
      <alignment horizontal="center" vertical="center"/>
    </xf>
    <xf numFmtId="9" fontId="16" fillId="0" borderId="0" applyFill="0" applyBorder="0" applyProtection="0">
      <alignment horizontal="center" vertical="center"/>
    </xf>
    <xf numFmtId="0" fontId="17" fillId="0" borderId="0" applyFill="0" applyBorder="0" applyProtection="0">
      <alignment horizontal="left" wrapText="1"/>
    </xf>
    <xf numFmtId="3" fontId="18" fillId="0" borderId="29" applyFill="0" applyProtection="0">
      <alignment horizontal="center"/>
    </xf>
    <xf numFmtId="0" fontId="18" fillId="0" borderId="0" applyFill="0" applyProtection="0">
      <alignment horizontal="center" vertical="center" wrapText="1"/>
    </xf>
    <xf numFmtId="0" fontId="18" fillId="0" borderId="0" applyFill="0" applyProtection="0">
      <alignment vertical="center"/>
    </xf>
    <xf numFmtId="0" fontId="18" fillId="0" borderId="0" applyFill="0" applyBorder="0" applyProtection="0">
      <alignment horizontal="center" wrapText="1"/>
    </xf>
    <xf numFmtId="0" fontId="18" fillId="0" borderId="0" applyFill="0" applyProtection="0">
      <alignment horizontal="left"/>
    </xf>
    <xf numFmtId="0" fontId="19" fillId="0" borderId="0" applyNumberFormat="0" applyFill="0" applyBorder="0" applyProtection="0">
      <alignment horizontal="left" vertical="center"/>
    </xf>
    <xf numFmtId="0" fontId="15" fillId="9" borderId="30" applyNumberFormat="0" applyFont="0" applyAlignment="0">
      <alignment horizontal="center"/>
    </xf>
    <xf numFmtId="0" fontId="15" fillId="10" borderId="30" applyNumberFormat="0" applyFont="0" applyAlignment="0">
      <alignment horizontal="center"/>
    </xf>
    <xf numFmtId="0" fontId="15" fillId="11" borderId="30" applyNumberFormat="0" applyFont="0" applyAlignment="0">
      <alignment horizontal="center"/>
    </xf>
    <xf numFmtId="0" fontId="15" fillId="12" borderId="30" applyNumberFormat="0" applyFont="0" applyAlignment="0">
      <alignment horizontal="center"/>
    </xf>
    <xf numFmtId="0" fontId="15" fillId="13" borderId="31" applyNumberFormat="0" applyFont="0" applyAlignment="0">
      <alignment horizontal="center"/>
    </xf>
    <xf numFmtId="1" fontId="20" fillId="14" borderId="32">
      <alignment horizontal="center" vertical="center"/>
    </xf>
    <xf numFmtId="0" fontId="21" fillId="14" borderId="32" applyNumberFormat="0" applyProtection="0">
      <alignment horizontal="left" vertical="center"/>
    </xf>
    <xf numFmtId="0" fontId="22" fillId="0" borderId="0" applyNumberFormat="0" applyFill="0" applyBorder="0" applyProtection="0">
      <alignment vertical="center"/>
    </xf>
    <xf numFmtId="0" fontId="23" fillId="0" borderId="0" applyNumberFormat="0" applyFill="0" applyBorder="0" applyAlignment="0" applyProtection="0"/>
    <xf numFmtId="0" fontId="23" fillId="0" borderId="0" applyNumberFormat="0" applyFill="0" applyBorder="0" applyProtection="0">
      <alignment vertical="center"/>
    </xf>
    <xf numFmtId="0" fontId="24" fillId="0" borderId="0"/>
    <xf numFmtId="0" fontId="14" fillId="0" borderId="0"/>
    <xf numFmtId="0" fontId="25" fillId="0" borderId="0" applyNumberFormat="0" applyFill="0" applyBorder="0" applyAlignment="0" applyProtection="0">
      <alignment vertical="top"/>
      <protection locked="0"/>
    </xf>
    <xf numFmtId="166" fontId="1" fillId="0" borderId="0" applyFont="0" applyFill="0" applyBorder="0" applyProtection="0">
      <alignment horizontal="center" vertical="center"/>
    </xf>
    <xf numFmtId="14" fontId="24" fillId="0" borderId="0" applyFill="0" applyBorder="0">
      <alignment horizontal="center" vertical="center"/>
    </xf>
    <xf numFmtId="9" fontId="1" fillId="0" borderId="0" applyFont="0" applyFill="0" applyBorder="0" applyProtection="0">
      <alignment horizontal="center" vertical="center"/>
    </xf>
    <xf numFmtId="0" fontId="26" fillId="15" borderId="33" applyNumberFormat="0" applyProtection="0">
      <alignment horizontal="center" vertical="center"/>
    </xf>
    <xf numFmtId="0" fontId="27" fillId="0" borderId="34" applyNumberFormat="0" applyFill="0" applyProtection="0"/>
    <xf numFmtId="0" fontId="24" fillId="0" borderId="0" applyNumberFormat="0" applyFill="0" applyProtection="0">
      <alignment horizontal="right" vertical="center" indent="1"/>
    </xf>
    <xf numFmtId="0" fontId="28" fillId="0" borderId="0" applyNumberFormat="0" applyFill="0" applyAlignment="0" applyProtection="0"/>
    <xf numFmtId="0" fontId="29" fillId="0" borderId="0" applyNumberFormat="0" applyFill="0" applyBorder="0" applyAlignment="0" applyProtection="0"/>
    <xf numFmtId="0" fontId="14" fillId="0" borderId="0"/>
    <xf numFmtId="167" fontId="1" fillId="0" borderId="35" applyFill="0">
      <alignment horizontal="center" vertical="center"/>
    </xf>
    <xf numFmtId="0" fontId="1" fillId="0" borderId="35" applyFill="0">
      <alignment horizontal="center" vertical="center"/>
    </xf>
    <xf numFmtId="0" fontId="1" fillId="0" borderId="35" applyFill="0">
      <alignment horizontal="left" vertical="center" indent="2"/>
    </xf>
    <xf numFmtId="0" fontId="1" fillId="0" borderId="0" applyNumberFormat="0" applyFill="0" applyProtection="0">
      <alignment horizontal="right" indent="1"/>
    </xf>
    <xf numFmtId="168" fontId="1" fillId="0" borderId="5">
      <alignment horizontal="center" vertical="center"/>
    </xf>
    <xf numFmtId="0" fontId="30" fillId="0" borderId="0" applyNumberFormat="0" applyFill="0" applyProtection="0">
      <alignment vertical="top"/>
    </xf>
    <xf numFmtId="0" fontId="30" fillId="0" borderId="0" applyNumberFormat="0" applyFill="0" applyAlignment="0" applyProtection="0"/>
    <xf numFmtId="0" fontId="31" fillId="0" borderId="0" applyNumberForma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5" fillId="0" borderId="0"/>
    <xf numFmtId="164" fontId="4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2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 applyNumberFormat="0" applyFill="0" applyBorder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0" fontId="3" fillId="0" borderId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5" fillId="0" borderId="0" applyNumberFormat="0" applyFill="0" applyBorder="0" applyProtection="0">
      <alignment horizontal="center" vertical="center"/>
    </xf>
    <xf numFmtId="44" fontId="4" fillId="0" borderId="0" applyFont="0" applyFill="0" applyBorder="0" applyAlignment="0" applyProtection="0"/>
    <xf numFmtId="9" fontId="1" fillId="0" borderId="0" applyFont="0" applyFill="0" applyBorder="0" applyProtection="0">
      <alignment horizontal="center" vertical="center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4" fontId="4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8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" fontId="0" fillId="2" borderId="0" xfId="0" applyNumberFormat="1" applyFill="1" applyAlignment="1">
      <alignment horizontal="center"/>
    </xf>
    <xf numFmtId="44" fontId="0" fillId="0" borderId="0" xfId="0" applyNumberFormat="1"/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horizontal="center" vertical="center"/>
    </xf>
    <xf numFmtId="0" fontId="10" fillId="6" borderId="4" xfId="0" applyFont="1" applyFill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left" vertical="center" wrapText="1"/>
    </xf>
    <xf numFmtId="0" fontId="10" fillId="6" borderId="5" xfId="0" applyFont="1" applyFill="1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1" fontId="0" fillId="3" borderId="5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/>
    </xf>
    <xf numFmtId="0" fontId="0" fillId="6" borderId="5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6" borderId="16" xfId="0" applyFont="1" applyFill="1" applyBorder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horizontal="center" vertical="center" wrapText="1"/>
    </xf>
    <xf numFmtId="44" fontId="0" fillId="2" borderId="0" xfId="0" applyNumberFormat="1" applyFill="1" applyAlignment="1">
      <alignment horizontal="center" vertical="center"/>
    </xf>
    <xf numFmtId="44" fontId="10" fillId="5" borderId="5" xfId="0" applyNumberFormat="1" applyFont="1" applyFill="1" applyBorder="1" applyAlignment="1">
      <alignment vertical="center"/>
    </xf>
    <xf numFmtId="44" fontId="10" fillId="5" borderId="4" xfId="0" applyNumberFormat="1" applyFont="1" applyFill="1" applyBorder="1" applyAlignment="1">
      <alignment vertical="center"/>
    </xf>
    <xf numFmtId="0" fontId="10" fillId="6" borderId="17" xfId="0" applyFont="1" applyFill="1" applyBorder="1" applyAlignment="1">
      <alignment horizontal="center" vertical="center"/>
    </xf>
    <xf numFmtId="44" fontId="10" fillId="5" borderId="10" xfId="0" applyNumberFormat="1" applyFont="1" applyFill="1" applyBorder="1" applyAlignment="1">
      <alignment vertical="center"/>
    </xf>
    <xf numFmtId="0" fontId="10" fillId="6" borderId="18" xfId="0" applyFont="1" applyFill="1" applyBorder="1" applyAlignment="1">
      <alignment horizontal="center" vertical="center"/>
    </xf>
    <xf numFmtId="0" fontId="10" fillId="6" borderId="22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left" vertical="center"/>
    </xf>
    <xf numFmtId="0" fontId="2" fillId="5" borderId="28" xfId="0" applyFont="1" applyFill="1" applyBorder="1" applyAlignment="1">
      <alignment horizontal="center" vertical="center" wrapText="1"/>
    </xf>
    <xf numFmtId="0" fontId="7" fillId="5" borderId="28" xfId="0" applyFont="1" applyFill="1" applyBorder="1" applyAlignment="1">
      <alignment horizontal="center" vertical="center" wrapText="1"/>
    </xf>
    <xf numFmtId="1" fontId="7" fillId="5" borderId="28" xfId="0" applyNumberFormat="1" applyFont="1" applyFill="1" applyBorder="1" applyAlignment="1">
      <alignment horizontal="center" vertical="center"/>
    </xf>
    <xf numFmtId="44" fontId="2" fillId="5" borderId="28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left" vertical="center" wrapText="1"/>
    </xf>
    <xf numFmtId="0" fontId="10" fillId="6" borderId="5" xfId="0" applyFont="1" applyFill="1" applyBorder="1" applyAlignment="1">
      <alignment horizontal="center" vertical="center"/>
    </xf>
    <xf numFmtId="44" fontId="10" fillId="6" borderId="5" xfId="0" applyNumberFormat="1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44" fontId="10" fillId="0" borderId="5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44" fontId="10" fillId="0" borderId="10" xfId="0" applyNumberFormat="1" applyFont="1" applyBorder="1" applyAlignment="1">
      <alignment horizontal="center" vertical="center"/>
    </xf>
    <xf numFmtId="0" fontId="33" fillId="5" borderId="5" xfId="0" applyFont="1" applyFill="1" applyBorder="1" applyAlignment="1">
      <alignment horizontal="center" vertical="center"/>
    </xf>
    <xf numFmtId="1" fontId="33" fillId="5" borderId="5" xfId="0" applyNumberFormat="1" applyFont="1" applyFill="1" applyBorder="1" applyAlignment="1">
      <alignment horizontal="center" vertical="center"/>
    </xf>
    <xf numFmtId="0" fontId="10" fillId="0" borderId="5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8" borderId="5" xfId="0" applyFont="1" applyFill="1" applyBorder="1" applyAlignment="1">
      <alignment horizontal="left" vertical="center" wrapText="1"/>
    </xf>
    <xf numFmtId="0" fontId="10" fillId="6" borderId="4" xfId="0" applyFont="1" applyFill="1" applyBorder="1" applyAlignment="1">
      <alignment horizontal="center" vertical="center"/>
    </xf>
    <xf numFmtId="44" fontId="10" fillId="6" borderId="4" xfId="0" applyNumberFormat="1" applyFont="1" applyFill="1" applyBorder="1" applyAlignment="1">
      <alignment horizontal="center" vertical="center"/>
    </xf>
    <xf numFmtId="1" fontId="12" fillId="6" borderId="5" xfId="0" applyNumberFormat="1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left" vertical="center" wrapText="1"/>
    </xf>
    <xf numFmtId="44" fontId="34" fillId="5" borderId="28" xfId="0" applyNumberFormat="1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left" vertical="center" wrapText="1"/>
    </xf>
    <xf numFmtId="0" fontId="10" fillId="6" borderId="22" xfId="0" applyFont="1" applyFill="1" applyBorder="1" applyAlignment="1">
      <alignment horizontal="left" vertical="center" wrapText="1"/>
    </xf>
    <xf numFmtId="1" fontId="2" fillId="6" borderId="19" xfId="0" applyNumberFormat="1" applyFont="1" applyFill="1" applyBorder="1" applyAlignment="1">
      <alignment horizontal="center" vertical="center"/>
    </xf>
    <xf numFmtId="1" fontId="2" fillId="6" borderId="13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1" fontId="14" fillId="2" borderId="0" xfId="0" applyNumberFormat="1" applyFont="1" applyFill="1" applyAlignment="1">
      <alignment horizontal="center"/>
    </xf>
    <xf numFmtId="14" fontId="10" fillId="5" borderId="19" xfId="0" applyNumberFormat="1" applyFont="1" applyFill="1" applyBorder="1" applyAlignment="1">
      <alignment horizontal="center" vertical="center"/>
    </xf>
    <xf numFmtId="14" fontId="10" fillId="5" borderId="4" xfId="0" applyNumberFormat="1" applyFont="1" applyFill="1" applyBorder="1" applyAlignment="1">
      <alignment horizontal="center" vertical="center"/>
    </xf>
    <xf numFmtId="14" fontId="10" fillId="5" borderId="13" xfId="0" applyNumberFormat="1" applyFont="1" applyFill="1" applyBorder="1" applyAlignment="1">
      <alignment horizontal="center" vertical="center"/>
    </xf>
    <xf numFmtId="14" fontId="10" fillId="5" borderId="5" xfId="0" applyNumberFormat="1" applyFont="1" applyFill="1" applyBorder="1" applyAlignment="1">
      <alignment horizontal="center" vertical="center"/>
    </xf>
    <xf numFmtId="14" fontId="10" fillId="5" borderId="14" xfId="0" applyNumberFormat="1" applyFont="1" applyFill="1" applyBorder="1" applyAlignment="1">
      <alignment horizontal="center" vertical="center"/>
    </xf>
    <xf numFmtId="14" fontId="10" fillId="5" borderId="10" xfId="0" applyNumberFormat="1" applyFont="1" applyFill="1" applyBorder="1" applyAlignment="1">
      <alignment horizontal="center" vertical="center"/>
    </xf>
    <xf numFmtId="0" fontId="14" fillId="0" borderId="0" xfId="0" applyFont="1"/>
    <xf numFmtId="1" fontId="10" fillId="16" borderId="37" xfId="0" applyNumberFormat="1" applyFont="1" applyFill="1" applyBorder="1" applyAlignment="1">
      <alignment horizontal="center" vertical="center"/>
    </xf>
    <xf numFmtId="1" fontId="10" fillId="16" borderId="36" xfId="0" applyNumberFormat="1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vertical="center" wrapText="1"/>
    </xf>
    <xf numFmtId="0" fontId="0" fillId="8" borderId="5" xfId="0" applyFill="1" applyBorder="1" applyAlignment="1">
      <alignment horizontal="left" vertical="center" wrapText="1"/>
    </xf>
    <xf numFmtId="0" fontId="37" fillId="6" borderId="5" xfId="0" applyFont="1" applyFill="1" applyBorder="1" applyAlignment="1">
      <alignment horizontal="left" vertical="center"/>
    </xf>
    <xf numFmtId="0" fontId="37" fillId="6" borderId="5" xfId="0" applyFont="1" applyFill="1" applyBorder="1" applyAlignment="1">
      <alignment horizontal="left" vertical="center" wrapText="1"/>
    </xf>
    <xf numFmtId="0" fontId="33" fillId="5" borderId="5" xfId="0" quotePrefix="1" applyFont="1" applyFill="1" applyBorder="1" applyAlignment="1">
      <alignment horizontal="center" vertical="center"/>
    </xf>
    <xf numFmtId="1" fontId="37" fillId="6" borderId="5" xfId="0" applyNumberFormat="1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left" vertical="center" wrapText="1"/>
    </xf>
    <xf numFmtId="1" fontId="36" fillId="6" borderId="5" xfId="0" applyNumberFormat="1" applyFont="1" applyFill="1" applyBorder="1" applyAlignment="1">
      <alignment horizontal="center" vertical="center"/>
    </xf>
    <xf numFmtId="1" fontId="2" fillId="17" borderId="19" xfId="0" applyNumberFormat="1" applyFont="1" applyFill="1" applyBorder="1" applyAlignment="1">
      <alignment horizontal="center" vertical="center"/>
    </xf>
    <xf numFmtId="0" fontId="10" fillId="17" borderId="22" xfId="0" applyFont="1" applyFill="1" applyBorder="1" applyAlignment="1">
      <alignment horizontal="left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/>
    </xf>
    <xf numFmtId="44" fontId="7" fillId="5" borderId="28" xfId="0" applyNumberFormat="1" applyFont="1" applyFill="1" applyBorder="1" applyAlignment="1">
      <alignment horizontal="center" vertical="center" wrapText="1"/>
    </xf>
    <xf numFmtId="44" fontId="0" fillId="6" borderId="5" xfId="0" applyNumberFormat="1" applyFill="1" applyBorder="1" applyAlignment="1">
      <alignment horizontal="left" vertical="center"/>
    </xf>
    <xf numFmtId="44" fontId="10" fillId="6" borderId="15" xfId="0" applyNumberFormat="1" applyFont="1" applyFill="1" applyBorder="1" applyAlignment="1">
      <alignment vertical="center" wrapText="1"/>
    </xf>
    <xf numFmtId="0" fontId="11" fillId="4" borderId="1" xfId="0" applyFont="1" applyFill="1" applyBorder="1" applyAlignment="1">
      <alignment vertical="center"/>
    </xf>
    <xf numFmtId="0" fontId="11" fillId="4" borderId="2" xfId="0" applyFont="1" applyFill="1" applyBorder="1" applyAlignment="1">
      <alignment vertical="center"/>
    </xf>
    <xf numFmtId="0" fontId="11" fillId="4" borderId="3" xfId="0" applyFont="1" applyFill="1" applyBorder="1" applyAlignment="1">
      <alignment vertical="center"/>
    </xf>
    <xf numFmtId="0" fontId="10" fillId="8" borderId="15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44" fontId="0" fillId="8" borderId="5" xfId="0" applyNumberFormat="1" applyFill="1" applyBorder="1" applyAlignment="1">
      <alignment horizontal="left" vertical="center"/>
    </xf>
    <xf numFmtId="44" fontId="0" fillId="6" borderId="4" xfId="0" applyNumberFormat="1" applyFill="1" applyBorder="1" applyAlignment="1">
      <alignment horizontal="left" vertical="center"/>
    </xf>
    <xf numFmtId="44" fontId="0" fillId="6" borderId="22" xfId="0" applyNumberFormat="1" applyFill="1" applyBorder="1" applyAlignment="1">
      <alignment horizontal="left" vertical="center"/>
    </xf>
    <xf numFmtId="44" fontId="0" fillId="6" borderId="17" xfId="0" applyNumberFormat="1" applyFill="1" applyBorder="1" applyAlignment="1">
      <alignment horizontal="left" vertical="center"/>
    </xf>
    <xf numFmtId="44" fontId="0" fillId="8" borderId="17" xfId="0" applyNumberFormat="1" applyFill="1" applyBorder="1" applyAlignment="1">
      <alignment horizontal="left" vertical="center"/>
    </xf>
    <xf numFmtId="44" fontId="2" fillId="5" borderId="1" xfId="0" applyNumberFormat="1" applyFont="1" applyFill="1" applyBorder="1" applyAlignment="1">
      <alignment horizontal="center" vertical="center"/>
    </xf>
    <xf numFmtId="44" fontId="10" fillId="6" borderId="38" xfId="0" applyNumberFormat="1" applyFont="1" applyFill="1" applyBorder="1" applyAlignment="1">
      <alignment horizontal="center" vertical="center"/>
    </xf>
    <xf numFmtId="44" fontId="10" fillId="6" borderId="39" xfId="0" applyNumberFormat="1" applyFont="1" applyFill="1" applyBorder="1" applyAlignment="1">
      <alignment horizontal="center" vertical="center"/>
    </xf>
    <xf numFmtId="44" fontId="10" fillId="0" borderId="39" xfId="0" applyNumberFormat="1" applyFont="1" applyBorder="1" applyAlignment="1">
      <alignment horizontal="center" vertical="center"/>
    </xf>
    <xf numFmtId="0" fontId="0" fillId="6" borderId="19" xfId="0" applyFill="1" applyBorder="1" applyAlignment="1">
      <alignment horizontal="left" vertical="center" wrapText="1"/>
    </xf>
    <xf numFmtId="1" fontId="0" fillId="6" borderId="22" xfId="0" applyNumberForma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center" vertical="center" wrapText="1"/>
    </xf>
    <xf numFmtId="1" fontId="0" fillId="6" borderId="17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1" fontId="0" fillId="0" borderId="17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1" fontId="0" fillId="0" borderId="18" xfId="0" applyNumberFormat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44" fontId="10" fillId="0" borderId="40" xfId="0" applyNumberFormat="1" applyFont="1" applyBorder="1" applyAlignment="1">
      <alignment horizontal="center" vertical="center"/>
    </xf>
    <xf numFmtId="0" fontId="0" fillId="20" borderId="0" xfId="0" applyFill="1"/>
    <xf numFmtId="1" fontId="2" fillId="6" borderId="0" xfId="0" applyNumberFormat="1" applyFont="1" applyFill="1" applyAlignment="1">
      <alignment horizontal="center" vertical="center" wrapText="1"/>
    </xf>
    <xf numFmtId="0" fontId="10" fillId="6" borderId="0" xfId="0" applyFont="1" applyFill="1" applyAlignment="1">
      <alignment horizontal="left" vertical="center" wrapText="1"/>
    </xf>
    <xf numFmtId="44" fontId="2" fillId="5" borderId="28" xfId="3651" applyFont="1" applyFill="1" applyBorder="1" applyAlignment="1">
      <alignment horizontal="center" vertical="center"/>
    </xf>
    <xf numFmtId="44" fontId="2" fillId="5" borderId="1" xfId="3651" applyFont="1" applyFill="1" applyBorder="1" applyAlignment="1">
      <alignment horizontal="center" vertical="center"/>
    </xf>
    <xf numFmtId="44" fontId="10" fillId="6" borderId="4" xfId="3651" applyFont="1" applyFill="1" applyBorder="1" applyAlignment="1">
      <alignment horizontal="center" vertical="center"/>
    </xf>
    <xf numFmtId="44" fontId="10" fillId="6" borderId="38" xfId="3651" applyFont="1" applyFill="1" applyBorder="1" applyAlignment="1">
      <alignment horizontal="center" vertical="center"/>
    </xf>
    <xf numFmtId="44" fontId="10" fillId="6" borderId="5" xfId="3651" applyFont="1" applyFill="1" applyBorder="1" applyAlignment="1">
      <alignment horizontal="center" vertical="center"/>
    </xf>
    <xf numFmtId="44" fontId="10" fillId="6" borderId="39" xfId="3651" applyFont="1" applyFill="1" applyBorder="1" applyAlignment="1">
      <alignment horizontal="center" vertical="center"/>
    </xf>
    <xf numFmtId="44" fontId="0" fillId="2" borderId="0" xfId="3651" applyFont="1" applyFill="1" applyAlignment="1">
      <alignment horizontal="center" vertical="center"/>
    </xf>
    <xf numFmtId="0" fontId="0" fillId="7" borderId="13" xfId="0" applyFill="1" applyBorder="1" applyAlignment="1">
      <alignment horizontal="left" vertical="center" wrapText="1"/>
    </xf>
    <xf numFmtId="1" fontId="0" fillId="3" borderId="17" xfId="0" applyNumberFormat="1" applyFill="1" applyBorder="1" applyAlignment="1">
      <alignment horizontal="center" vertical="center"/>
    </xf>
    <xf numFmtId="0" fontId="0" fillId="6" borderId="42" xfId="0" applyFill="1" applyBorder="1" applyAlignment="1">
      <alignment horizontal="left" vertical="center" wrapText="1"/>
    </xf>
    <xf numFmtId="0" fontId="0" fillId="6" borderId="41" xfId="0" applyFill="1" applyBorder="1" applyAlignment="1">
      <alignment horizontal="left" vertical="center" wrapText="1"/>
    </xf>
    <xf numFmtId="44" fontId="10" fillId="0" borderId="5" xfId="3651" applyFont="1" applyFill="1" applyBorder="1" applyAlignment="1">
      <alignment horizontal="center" vertical="center"/>
    </xf>
    <xf numFmtId="44" fontId="10" fillId="0" borderId="39" xfId="3651" applyFont="1" applyFill="1" applyBorder="1" applyAlignment="1">
      <alignment horizontal="center" vertical="center"/>
    </xf>
    <xf numFmtId="0" fontId="0" fillId="7" borderId="41" xfId="0" applyFill="1" applyBorder="1" applyAlignment="1">
      <alignment horizontal="left" vertical="center" wrapText="1"/>
    </xf>
    <xf numFmtId="0" fontId="10" fillId="6" borderId="44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45" xfId="0" applyFont="1" applyFill="1" applyBorder="1" applyAlignment="1">
      <alignment horizontal="center" vertical="center" wrapText="1"/>
    </xf>
    <xf numFmtId="0" fontId="10" fillId="8" borderId="46" xfId="0" applyFont="1" applyFill="1" applyBorder="1" applyAlignment="1">
      <alignment horizontal="center" vertical="center"/>
    </xf>
    <xf numFmtId="1" fontId="10" fillId="16" borderId="27" xfId="0" applyNumberFormat="1" applyFont="1" applyFill="1" applyBorder="1" applyAlignment="1">
      <alignment horizontal="center" vertical="center"/>
    </xf>
    <xf numFmtId="1" fontId="0" fillId="6" borderId="47" xfId="0" applyNumberFormat="1" applyFill="1" applyBorder="1" applyAlignment="1">
      <alignment horizontal="center" vertical="center"/>
    </xf>
    <xf numFmtId="0" fontId="10" fillId="6" borderId="13" xfId="0" applyFont="1" applyFill="1" applyBorder="1" applyAlignment="1">
      <alignment vertical="center" wrapText="1"/>
    </xf>
    <xf numFmtId="0" fontId="10" fillId="18" borderId="5" xfId="0" applyFont="1" applyFill="1" applyBorder="1" applyAlignment="1">
      <alignment horizontal="left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16" borderId="9" xfId="0" applyNumberFormat="1" applyFont="1" applyFill="1" applyBorder="1" applyAlignment="1">
      <alignment horizontal="center" vertical="center" wrapText="1"/>
    </xf>
    <xf numFmtId="1" fontId="6" fillId="16" borderId="25" xfId="0" applyNumberFormat="1" applyFont="1" applyFill="1" applyBorder="1" applyAlignment="1">
      <alignment horizontal="center" vertical="center" wrapText="1"/>
    </xf>
    <xf numFmtId="1" fontId="6" fillId="16" borderId="27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3" xfId="0" applyFont="1" applyFill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center" vertical="center" wrapText="1"/>
    </xf>
    <xf numFmtId="1" fontId="2" fillId="6" borderId="11" xfId="0" applyNumberFormat="1" applyFont="1" applyFill="1" applyBorder="1" applyAlignment="1">
      <alignment horizontal="center" vertical="center" wrapText="1"/>
    </xf>
    <xf numFmtId="1" fontId="2" fillId="6" borderId="12" xfId="0" applyNumberFormat="1" applyFont="1" applyFill="1" applyBorder="1" applyAlignment="1">
      <alignment horizontal="center" vertical="center" wrapText="1"/>
    </xf>
    <xf numFmtId="0" fontId="10" fillId="6" borderId="20" xfId="0" applyFont="1" applyFill="1" applyBorder="1" applyAlignment="1">
      <alignment horizontal="left" vertical="center" wrapText="1"/>
    </xf>
    <xf numFmtId="0" fontId="10" fillId="6" borderId="23" xfId="0" applyFont="1" applyFill="1" applyBorder="1" applyAlignment="1">
      <alignment horizontal="left" vertical="center" wrapText="1"/>
    </xf>
    <xf numFmtId="0" fontId="10" fillId="6" borderId="24" xfId="0" applyFont="1" applyFill="1" applyBorder="1" applyAlignment="1">
      <alignment horizontal="left" vertical="center" wrapText="1"/>
    </xf>
    <xf numFmtId="44" fontId="10" fillId="6" borderId="43" xfId="0" applyNumberFormat="1" applyFont="1" applyFill="1" applyBorder="1" applyAlignment="1">
      <alignment horizontal="center" vertical="center" wrapText="1"/>
    </xf>
    <xf numFmtId="44" fontId="10" fillId="0" borderId="6" xfId="0" applyNumberFormat="1" applyFont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left" vertical="center" wrapText="1"/>
    </xf>
    <xf numFmtId="0" fontId="10" fillId="6" borderId="6" xfId="0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18" borderId="6" xfId="0" applyFont="1" applyFill="1" applyBorder="1" applyAlignment="1">
      <alignment horizontal="left" vertical="center" wrapText="1"/>
    </xf>
    <xf numFmtId="0" fontId="0" fillId="18" borderId="7" xfId="0" applyFill="1" applyBorder="1" applyAlignment="1">
      <alignment horizontal="left" vertical="center" wrapText="1"/>
    </xf>
    <xf numFmtId="0" fontId="0" fillId="18" borderId="4" xfId="0" applyFill="1" applyBorder="1" applyAlignment="1">
      <alignment horizontal="left" vertical="center" wrapText="1"/>
    </xf>
    <xf numFmtId="0" fontId="0" fillId="20" borderId="0" xfId="0" applyFill="1" applyAlignment="1">
      <alignment horizontal="center"/>
    </xf>
    <xf numFmtId="0" fontId="0" fillId="0" borderId="0" xfId="0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</cellXfs>
  <cellStyles count="3652">
    <cellStyle name="% concluída" xfId="191" xr:uid="{4E23E280-2B73-478F-9832-58410C58E6D3}"/>
    <cellStyle name="Atividade" xfId="182" xr:uid="{1C76BCB5-A172-4DFD-9D41-CDA8B607FF86}"/>
    <cellStyle name="Cabeçalhos do Projeto" xfId="186" xr:uid="{68ECB191-9BF8-4E41-A307-8B5FD80DB146}"/>
    <cellStyle name="Controle de Realce do Período" xfId="195" xr:uid="{78E4C0D0-EC6F-442C-AA58-694B8475CE6D}"/>
    <cellStyle name="Data" xfId="203" xr:uid="{A3AD26E2-46ED-4423-A7C8-56953D650187}"/>
    <cellStyle name="Data 2" xfId="211" xr:uid="{A0B846AF-7953-4DC5-A977-7DF677476182}"/>
    <cellStyle name="Excel Built-in Normal" xfId="4" xr:uid="{00000000-0005-0000-0000-000000000000}"/>
    <cellStyle name="Excel Built-in Normal 1" xfId="285" xr:uid="{BCE19598-A093-49F6-BAC2-6964405CA3E9}"/>
    <cellStyle name="Excel Built-in Normal 2" xfId="62" xr:uid="{7EF3DE21-DEAC-4992-B26A-FF993E43AC89}"/>
    <cellStyle name="Hiperlink 2" xfId="201" xr:uid="{6D887B77-C386-4D8E-980E-D0236C7814E3}"/>
    <cellStyle name="Início do Projeto" xfId="215" xr:uid="{6137FE14-0DA5-4A42-BE85-7597447E92B3}"/>
    <cellStyle name="Legenda de % concluída (além de plano)" xfId="189" xr:uid="{49C6FFA4-AE23-42E7-A92A-D699F92B110D}"/>
    <cellStyle name="Legenda de Real" xfId="192" xr:uid="{9DDA6019-13B2-49CE-8013-B1DDAAB743A7}"/>
    <cellStyle name="Legenda de Real (além de plano)" xfId="190" xr:uid="{FD1FBDC6-04A4-493F-95F5-622945DB4574}"/>
    <cellStyle name="Legenda do plano" xfId="193" xr:uid="{6B70C343-B0AA-46BF-AB11-BD8D1DF70266}"/>
    <cellStyle name="Moeda" xfId="3651" builtinId="4"/>
    <cellStyle name="Moeda 10" xfId="29" xr:uid="{4DEC37F2-DAB0-488B-929B-F4CF155C050C}"/>
    <cellStyle name="Moeda 11" xfId="1498" xr:uid="{E8DA7094-D391-43E0-B6BF-588EC2A8382B}"/>
    <cellStyle name="Moeda 11 2" xfId="3267" xr:uid="{186AACE7-9459-4783-8703-22D20A188419}"/>
    <cellStyle name="Moeda 12" xfId="169" xr:uid="{66C45F2F-484C-476D-9911-382E6F97742C}"/>
    <cellStyle name="Moeda 12 2" xfId="854" xr:uid="{416AC151-1719-4BE5-8C36-B78521728A57}"/>
    <cellStyle name="Moeda 12 2 2" xfId="1346" xr:uid="{2DDA2CBF-FAC7-4536-8344-4A1F2AC6A931}"/>
    <cellStyle name="Moeda 12 2 2 2" xfId="3115" xr:uid="{01439F00-DA3F-4FB1-A11F-F1DCF2BFDC80}"/>
    <cellStyle name="Moeda 12 2 3" xfId="1838" xr:uid="{DBF0A23C-9108-41B2-88BA-0E0D22A559FA}"/>
    <cellStyle name="Moeda 12 2 3 2" xfId="3607" xr:uid="{F672F965-7C76-42DB-BC9C-2C04E60C55AA}"/>
    <cellStyle name="Moeda 12 2 4" xfId="2623" xr:uid="{94A19099-A1FC-4946-B863-A4804A3D5444}"/>
    <cellStyle name="Moeda 12 2 5" xfId="3649" xr:uid="{C2DF9528-F20A-452A-8752-C8BC65DA362F}"/>
    <cellStyle name="Moeda 12 3" xfId="694" xr:uid="{21E5A386-BBE4-439F-9814-0D39E28E76AF}"/>
    <cellStyle name="Moeda 12 3 2" xfId="1186" xr:uid="{C202E845-6266-4366-973A-B92C58991AB3}"/>
    <cellStyle name="Moeda 12 3 2 2" xfId="2955" xr:uid="{5F717475-65E5-445E-963E-925B8CF1E470}"/>
    <cellStyle name="Moeda 12 3 3" xfId="1678" xr:uid="{9BC68465-02A6-4200-91E9-9185A2F7B4F7}"/>
    <cellStyle name="Moeda 12 3 3 2" xfId="3447" xr:uid="{49D9DC81-BE9A-4ACF-A3AD-236F7A8E280A}"/>
    <cellStyle name="Moeda 12 3 4" xfId="2463" xr:uid="{59E16833-8D53-4326-A61E-D1FF880EC6A3}"/>
    <cellStyle name="Moeda 12 4" xfId="472" xr:uid="{41AB53E0-BA46-4204-BDE6-5A42F03EA98A}"/>
    <cellStyle name="Moeda 12 4 2" xfId="2241" xr:uid="{A43ED02C-0B4F-455C-8444-927D903D38F5}"/>
    <cellStyle name="Moeda 12 5" xfId="451" xr:uid="{27C7D659-EDB6-40AD-B207-656D733BD01A}"/>
    <cellStyle name="Moeda 12 5 2" xfId="2229" xr:uid="{30768425-AA6C-4588-BA7C-33C0F8519DAD}"/>
    <cellStyle name="Moeda 12 6" xfId="988" xr:uid="{E2AC0CFC-342C-4EF2-A260-7D867F616D64}"/>
    <cellStyle name="Moeda 12 6 2" xfId="2757" xr:uid="{9F5A18BB-58B8-44FA-ABDA-0787901306D3}"/>
    <cellStyle name="Moeda 12 7" xfId="1480" xr:uid="{31658488-89DE-4C16-B987-8096646B5F89}"/>
    <cellStyle name="Moeda 12 7 2" xfId="3249" xr:uid="{6B529DEE-8211-4067-832A-151BF6A21562}"/>
    <cellStyle name="Moeda 12 8" xfId="1999" xr:uid="{760A0320-3AB2-4684-B784-26D11BFBA0F2}"/>
    <cellStyle name="Moeda 2" xfId="2" xr:uid="{00000000-0005-0000-0000-000003000000}"/>
    <cellStyle name="Moeda 2 2" xfId="7" xr:uid="{00000000-0005-0000-0000-000004000000}"/>
    <cellStyle name="Moeda 2 2 2" xfId="17" xr:uid="{B55476FF-244B-413B-BD14-CBCB6E74F7D6}"/>
    <cellStyle name="Moeda 3" xfId="1" xr:uid="{00000000-0005-0000-0000-000005000000}"/>
    <cellStyle name="Moeda 3 10" xfId="14" xr:uid="{00000000-0005-0000-0000-000006000000}"/>
    <cellStyle name="Moeda 3 10 11" xfId="51" xr:uid="{A279C39A-8DBE-4AF6-A44E-9C09F2C4A07D}"/>
    <cellStyle name="Moeda 3 10 11 10" xfId="179" xr:uid="{67E3EA24-41E2-425F-86C1-19B9681F34C0}"/>
    <cellStyle name="Moeda 3 10 11 10 2" xfId="869" xr:uid="{B7A1C6A5-1038-484C-84E8-39729200E442}"/>
    <cellStyle name="Moeda 3 10 11 10 2 2" xfId="332" xr:uid="{E89CED08-09D3-4A65-AC9F-F5C345CFC19F}"/>
    <cellStyle name="Moeda 3 10 11 10 2 2 2" xfId="963" xr:uid="{87619622-4B11-4704-956B-8B094CC5097C}"/>
    <cellStyle name="Moeda 3 10 11 10 2 2 2 2" xfId="2732" xr:uid="{266F8CD3-F94D-4735-ABB9-5EBD20CB47FF}"/>
    <cellStyle name="Moeda 3 10 11 10 2 2 3" xfId="1455" xr:uid="{D5599746-5960-4518-B670-6AD81A509D05}"/>
    <cellStyle name="Moeda 3 10 11 10 2 2 3 2" xfId="3224" xr:uid="{795DCD9E-F6A8-44FD-B7D9-77B650528063}"/>
    <cellStyle name="Moeda 3 10 11 10 2 2 4" xfId="2110" xr:uid="{F434CE02-F94B-44BC-80D3-09CFA1F6F378}"/>
    <cellStyle name="Moeda 3 10 11 10 2 3" xfId="1361" xr:uid="{27985881-6DF2-4E05-968F-E59357352CE2}"/>
    <cellStyle name="Moeda 3 10 11 10 2 3 2" xfId="3130" xr:uid="{928BA7BC-B5B0-4887-AC56-ABBC4EC42433}"/>
    <cellStyle name="Moeda 3 10 11 10 2 4" xfId="1853" xr:uid="{E7531D53-2B20-4A8F-9E60-79B2F525E8B5}"/>
    <cellStyle name="Moeda 3 10 11 10 2 4 2" xfId="3622" xr:uid="{F251FC6C-65E9-4A62-8948-92D8430EA85D}"/>
    <cellStyle name="Moeda 3 10 11 10 2 4 2 2" xfId="3641" xr:uid="{0CB96BD6-E4FD-4D82-B514-FB172B6440D4}"/>
    <cellStyle name="Moeda 3 10 11 10 2 5" xfId="2638" xr:uid="{53AF0471-D6A4-446C-8802-D1AB778D0439}"/>
    <cellStyle name="Moeda 3 10 11 10 3" xfId="698" xr:uid="{FDC2BD07-DADC-4560-A503-FD6FE27BA0D3}"/>
    <cellStyle name="Moeda 3 10 11 10 3 2" xfId="1190" xr:uid="{4B1AA229-3327-4407-9163-E8BD3142084E}"/>
    <cellStyle name="Moeda 3 10 11 10 3 2 2" xfId="2959" xr:uid="{AB53A81F-DBCB-4FC8-ADAA-41EF28DD1598}"/>
    <cellStyle name="Moeda 3 10 11 10 3 3" xfId="1682" xr:uid="{4DAB3A44-D1C7-4705-BDB5-8C831ED77293}"/>
    <cellStyle name="Moeda 3 10 11 10 3 3 2" xfId="3451" xr:uid="{67A27BC5-1A41-4682-938F-B9D1E296E6AD}"/>
    <cellStyle name="Moeda 3 10 11 10 3 4" xfId="2467" xr:uid="{34F78C92-9E16-4262-987E-9BBB16AE7B40}"/>
    <cellStyle name="Moeda 3 10 11 10 4" xfId="574" xr:uid="{74FD375A-519F-488C-82DE-B4742ABB344B}"/>
    <cellStyle name="Moeda 3 10 11 10 4 2" xfId="2343" xr:uid="{9D41B234-887E-4234-BCAB-7062F72D78C8}"/>
    <cellStyle name="Moeda 3 10 11 10 5" xfId="456" xr:uid="{17A8796C-C3E9-4B8E-BFD5-3E2D88369FBB}"/>
    <cellStyle name="Moeda 3 10 11 10 5 2" xfId="2234" xr:uid="{DB24EA5F-0170-4D68-BE95-057466630718}"/>
    <cellStyle name="Moeda 3 10 11 10 6" xfId="1070" xr:uid="{FE7E9E17-C425-4F0A-8261-632C793291B7}"/>
    <cellStyle name="Moeda 3 10 11 10 6 2" xfId="2839" xr:uid="{EACFD343-EBB8-4944-B5D4-098AC091A688}"/>
    <cellStyle name="Moeda 3 10 11 10 7" xfId="1562" xr:uid="{6E8649AF-7AE5-464B-B687-95B6C5FBBD5D}"/>
    <cellStyle name="Moeda 3 10 11 10 7 2" xfId="3331" xr:uid="{D20D2AE7-EA0D-482D-A660-80101F438140}"/>
    <cellStyle name="Moeda 3 10 11 10 8" xfId="2003" xr:uid="{F6D99168-68A1-4DD9-8DA6-1EB5682AC2F1}"/>
    <cellStyle name="Moeda 3 10 11 11" xfId="1892" xr:uid="{A15C6631-4AAC-4D10-A035-8E9F44EEA101}"/>
    <cellStyle name="Moeda 3 10 11 2" xfId="739" xr:uid="{A00057C8-877C-4E9D-AD31-078B0ED094E3}"/>
    <cellStyle name="Moeda 3 10 11 2 2" xfId="1231" xr:uid="{1FCB3F8B-B8E1-45A9-8062-59E3506874FA}"/>
    <cellStyle name="Moeda 3 10 11 2 2 2" xfId="3000" xr:uid="{02DC8C28-736F-4349-8F43-AC99E8FBDCFB}"/>
    <cellStyle name="Moeda 3 10 11 2 3" xfId="1723" xr:uid="{D5E0FE9F-4D33-42CD-ABFE-90324A7572D6}"/>
    <cellStyle name="Moeda 3 10 11 2 3 2" xfId="3492" xr:uid="{B287EEC8-9873-44DC-BCA4-5CE4F563EB44}"/>
    <cellStyle name="Moeda 3 10 11 2 4" xfId="2508" xr:uid="{EF4964D6-2F0B-447E-A585-74B519D224DC}"/>
    <cellStyle name="Moeda 3 10 11 3" xfId="63" xr:uid="{CDDDD276-03B6-4165-99C3-8D45F539CA69}"/>
    <cellStyle name="Moeda 3 10 11 3 10" xfId="1903" xr:uid="{D434EF0A-F0CC-424B-A313-464EAF022E0E}"/>
    <cellStyle name="Moeda 3 10 11 3 2" xfId="105" xr:uid="{6788AD77-5976-4C4B-93D1-DB37F37FF932}"/>
    <cellStyle name="Moeda 3 10 11 3 2 10" xfId="1549" xr:uid="{745640A3-3886-41F5-9996-A2D45176AD91}"/>
    <cellStyle name="Moeda 3 10 11 3 2 10 2" xfId="3318" xr:uid="{CC866A90-253F-4BF3-BB9B-3B0EB1FF5076}"/>
    <cellStyle name="Moeda 3 10 11 3 2 11" xfId="1937" xr:uid="{E65F7714-5089-4AE5-B5B3-9A282E2CA569}"/>
    <cellStyle name="Moeda 3 10 11 3 2 2" xfId="127" xr:uid="{22D0A282-67B3-461D-9D15-9437D709172F}"/>
    <cellStyle name="Moeda 3 10 11 3 2 2 2" xfId="805" xr:uid="{B9F2C176-468D-4ACD-BBA4-3F006B660A83}"/>
    <cellStyle name="Moeda 3 10 11 3 2 2 2 2" xfId="330" xr:uid="{F2B1962B-CFD8-4956-90F2-4486801764F2}"/>
    <cellStyle name="Moeda 3 10 11 3 2 2 2 2 2" xfId="961" xr:uid="{937F245D-0FBB-478C-B757-02F74709771C}"/>
    <cellStyle name="Moeda 3 10 11 3 2 2 2 2 2 2" xfId="2730" xr:uid="{69BB7913-BDCE-45A8-A478-A1857D830CE9}"/>
    <cellStyle name="Moeda 3 10 11 3 2 2 2 2 3" xfId="1453" xr:uid="{8E4AFA82-FD9B-45A6-B861-E97113440DAD}"/>
    <cellStyle name="Moeda 3 10 11 3 2 2 2 2 3 2" xfId="3222" xr:uid="{0FB71681-C727-490A-BE41-7EE5EEA9B925}"/>
    <cellStyle name="Moeda 3 10 11 3 2 2 2 2 4" xfId="2108" xr:uid="{AA39EAAA-0B96-4309-97F0-9502ACF934E3}"/>
    <cellStyle name="Moeda 3 10 11 3 2 2 2 3" xfId="1297" xr:uid="{8A8273E6-4BED-4B46-84DB-04E3C0CFF7B1}"/>
    <cellStyle name="Moeda 3 10 11 3 2 2 2 3 2" xfId="3066" xr:uid="{4F6C376F-987B-487B-BEA9-331069CB6AFA}"/>
    <cellStyle name="Moeda 3 10 11 3 2 2 2 4" xfId="1789" xr:uid="{C8C4D26C-EE15-405C-AC49-6696328C4A56}"/>
    <cellStyle name="Moeda 3 10 11 3 2 2 2 4 2" xfId="3558" xr:uid="{F2805836-6984-4FD0-ACBE-7F78E35E347A}"/>
    <cellStyle name="Moeda 3 10 11 3 2 2 2 5" xfId="2574" xr:uid="{04B7D29A-096B-4752-B876-8757BE3A3194}"/>
    <cellStyle name="Moeda 3 10 11 3 2 2 2 6" xfId="3642" xr:uid="{A39D32F5-F258-40B3-9E7F-5E1FF1475B7E}"/>
    <cellStyle name="Moeda 3 10 11 3 2 2 3" xfId="132" xr:uid="{9439733E-B1EA-49E4-85D1-E55D9EB9CFEE}"/>
    <cellStyle name="Moeda 3 10 11 3 2 2 3 2" xfId="817" xr:uid="{5EDFA186-1181-4D5B-9FF5-D12B146C4D91}"/>
    <cellStyle name="Moeda 3 10 11 3 2 2 3 2 2" xfId="1309" xr:uid="{8AF7B355-1BB3-4E00-83BE-88C86E73E460}"/>
    <cellStyle name="Moeda 3 10 11 3 2 2 3 2 2 2" xfId="3078" xr:uid="{5E800E2C-5F0F-4C6B-9050-AF71AAE07313}"/>
    <cellStyle name="Moeda 3 10 11 3 2 2 3 2 3" xfId="1801" xr:uid="{73BE4C80-AC0C-4CA4-82E2-08F083043BF1}"/>
    <cellStyle name="Moeda 3 10 11 3 2 2 3 2 3 2" xfId="3570" xr:uid="{98EEA814-4634-4029-B8DF-5928B929DD5F}"/>
    <cellStyle name="Moeda 3 10 11 3 2 2 3 2 4" xfId="2586" xr:uid="{E9FCC814-A884-4FAB-8744-EF24AF35F181}"/>
    <cellStyle name="Moeda 3 10 11 3 2 2 3 3" xfId="657" xr:uid="{0FF98DF1-B687-41FA-BF18-8EAB8C71A31C}"/>
    <cellStyle name="Moeda 3 10 11 3 2 2 3 3 2" xfId="1149" xr:uid="{5C418641-55FB-48B6-BF8C-058E3197CE26}"/>
    <cellStyle name="Moeda 3 10 11 3 2 2 3 3 2 2" xfId="2918" xr:uid="{76ABEEF0-9A36-42F1-BFE1-16D40EE0D1F5}"/>
    <cellStyle name="Moeda 3 10 11 3 2 2 3 3 3" xfId="1641" xr:uid="{00D90683-10A1-419D-9FD8-9D26A3F3B146}"/>
    <cellStyle name="Moeda 3 10 11 3 2 2 3 3 3 2" xfId="3410" xr:uid="{9D845DEB-2877-4AA9-855B-14ED2F84303D}"/>
    <cellStyle name="Moeda 3 10 11 3 2 2 3 3 4" xfId="2426" xr:uid="{E988AF46-79F6-4D39-99DF-D586BBA9BAA1}"/>
    <cellStyle name="Moeda 3 10 11 3 2 2 3 4" xfId="543" xr:uid="{59E77BDF-F35B-47E3-8E5A-26C027309556}"/>
    <cellStyle name="Moeda 3 10 11 3 2 2 3 4 2" xfId="2312" xr:uid="{750D6D95-7002-4869-8540-FA1B21522546}"/>
    <cellStyle name="Moeda 3 10 11 3 2 2 3 5" xfId="418" xr:uid="{FAD0BD80-3DD2-4F45-91E4-20C988090511}"/>
    <cellStyle name="Moeda 3 10 11 3 2 2 3 5 2" xfId="2196" xr:uid="{6FED7FEC-74D5-44F7-B6E9-69A17DD08633}"/>
    <cellStyle name="Moeda 3 10 11 3 2 2 3 6" xfId="1045" xr:uid="{3A6F4C96-6FA8-4BF7-9126-6B6C13F12C6F}"/>
    <cellStyle name="Moeda 3 10 11 3 2 2 3 6 2" xfId="2814" xr:uid="{84A15FD4-AE36-493B-B4A6-E23B44E87464}"/>
    <cellStyle name="Moeda 3 10 11 3 2 2 3 7" xfId="1537" xr:uid="{216BDC70-A8B4-4B9B-B100-0CBB3C0F3094}"/>
    <cellStyle name="Moeda 3 10 11 3 2 2 3 7 2" xfId="3306" xr:uid="{C7F8C103-042F-40C5-A53A-59E6C9725BF7}"/>
    <cellStyle name="Moeda 3 10 11 3 2 2 3 8" xfId="1962" xr:uid="{AB0EEEF3-DE9E-4EA7-A389-5B64A78BD4D9}"/>
    <cellStyle name="Moeda 3 10 11 3 2 2 4" xfId="652" xr:uid="{34ECFD17-30C9-4CFB-B8F3-FAD67CD6BB45}"/>
    <cellStyle name="Moeda 3 10 11 3 2 2 4 2" xfId="1144" xr:uid="{8D47DFA8-CF1A-4FC0-B261-A5B5C126C7B3}"/>
    <cellStyle name="Moeda 3 10 11 3 2 2 4 2 2" xfId="2913" xr:uid="{AD7124E0-997C-4A45-9514-7CB45A7A4FEE}"/>
    <cellStyle name="Moeda 3 10 11 3 2 2 4 3" xfId="1636" xr:uid="{9C308CA0-768E-4C45-962E-03092B3DD14B}"/>
    <cellStyle name="Moeda 3 10 11 3 2 2 4 3 2" xfId="3405" xr:uid="{5840C8BA-8A59-4EF8-814E-959402106CB3}"/>
    <cellStyle name="Moeda 3 10 11 3 2 2 4 4" xfId="2421" xr:uid="{C15D7FCB-2685-40E6-B153-1631A8BBB8F0}"/>
    <cellStyle name="Moeda 3 10 11 3 2 2 5" xfId="562" xr:uid="{8BB1C787-B012-46BE-956B-F60C7AF28878}"/>
    <cellStyle name="Moeda 3 10 11 3 2 2 5 2" xfId="2331" xr:uid="{47C8C692-D65E-4B11-8FF5-E2F89C52B864}"/>
    <cellStyle name="Moeda 3 10 11 3 2 2 6" xfId="407" xr:uid="{0E9DC0B1-DA85-413D-B603-F111B0FCBD12}"/>
    <cellStyle name="Moeda 3 10 11 3 2 2 6 2" xfId="2185" xr:uid="{EFC7F8D1-D0BB-4EE4-A31C-7057586B1726}"/>
    <cellStyle name="Moeda 3 10 11 3 2 2 7" xfId="1059" xr:uid="{E04748FF-CC6D-4FB5-8F73-03C7BD2D4CDB}"/>
    <cellStyle name="Moeda 3 10 11 3 2 2 7 2" xfId="2828" xr:uid="{26EDEDA6-B7A2-4F21-BF5B-ACD725AFAD6F}"/>
    <cellStyle name="Moeda 3 10 11 3 2 2 8" xfId="1551" xr:uid="{CFBFBC66-601F-408A-B381-75106E258265}"/>
    <cellStyle name="Moeda 3 10 11 3 2 2 8 2" xfId="3320" xr:uid="{A581696C-9A23-4735-A214-E081B68622C3}"/>
    <cellStyle name="Moeda 3 10 11 3 2 2 9" xfId="1957" xr:uid="{FA4EC457-1418-4470-AB32-89ABFF290F56}"/>
    <cellStyle name="Moeda 3 10 11 3 2 3" xfId="546" xr:uid="{9CCEAB3C-C73D-476D-86AC-CB30C6D6ED29}"/>
    <cellStyle name="Moeda 3 10 11 3 2 3 2" xfId="860" xr:uid="{1B810A48-6C7C-40DD-9086-5EE7424BA35B}"/>
    <cellStyle name="Moeda 3 10 11 3 2 3 2 2" xfId="1352" xr:uid="{70C24071-B075-437B-A4D7-BBB4AAF58C1F}"/>
    <cellStyle name="Moeda 3 10 11 3 2 3 2 2 2" xfId="3121" xr:uid="{667934A9-BF51-4A18-AEDA-296321ADA1BA}"/>
    <cellStyle name="Moeda 3 10 11 3 2 3 2 3" xfId="1844" xr:uid="{AEAE4C43-77D8-41DA-8E89-48958D083E0D}"/>
    <cellStyle name="Moeda 3 10 11 3 2 3 2 3 2" xfId="3613" xr:uid="{DB3BAE8B-3C55-405A-87A9-C8873AF6C78D}"/>
    <cellStyle name="Moeda 3 10 11 3 2 3 2 4" xfId="2629" xr:uid="{03D6470E-9C59-4718-8EEB-5228DCD9B800}"/>
    <cellStyle name="Moeda 3 10 11 3 2 3 3" xfId="1047" xr:uid="{EAE70FFF-17F2-48EB-A437-4C209D436240}"/>
    <cellStyle name="Moeda 3 10 11 3 2 3 3 2" xfId="2816" xr:uid="{19002DDA-143E-4C0E-B9B4-0558D562B752}"/>
    <cellStyle name="Moeda 3 10 11 3 2 3 4" xfId="1539" xr:uid="{B9F1B769-4A01-4BB4-9D7F-02D29833D899}"/>
    <cellStyle name="Moeda 3 10 11 3 2 3 4 2" xfId="3308" xr:uid="{4C0C674D-DCD9-461D-AC09-621752180645}"/>
    <cellStyle name="Moeda 3 10 11 3 2 3 5" xfId="2315" xr:uid="{28ECD2A6-E1CD-486B-A12F-20BD81401E8E}"/>
    <cellStyle name="Moeda 3 10 11 3 2 4" xfId="131" xr:uid="{65A340D4-10D9-4F96-AC35-CA8350F03E71}"/>
    <cellStyle name="Moeda 3 10 11 3 2 4 2" xfId="811" xr:uid="{7F96E00A-1BD1-4643-A83F-477D585391A4}"/>
    <cellStyle name="Moeda 3 10 11 3 2 4 2 2" xfId="1303" xr:uid="{3172692F-80F3-4116-B1EC-E954367E2ECA}"/>
    <cellStyle name="Moeda 3 10 11 3 2 4 2 2 2" xfId="3072" xr:uid="{07F9EDF9-739C-4283-916C-670793233736}"/>
    <cellStyle name="Moeda 3 10 11 3 2 4 2 3" xfId="1795" xr:uid="{D92FE9FC-FD6F-47C1-8332-91670A79CFE3}"/>
    <cellStyle name="Moeda 3 10 11 3 2 4 2 3 2" xfId="3564" xr:uid="{6518F1EF-A647-4596-9086-C08B71CC1B2A}"/>
    <cellStyle name="Moeda 3 10 11 3 2 4 2 4" xfId="2580" xr:uid="{B866E49F-0984-4C7E-AEDD-F944DA1B720C}"/>
    <cellStyle name="Moeda 3 10 11 3 2 4 3" xfId="656" xr:uid="{ED1F9D97-D00D-4BA1-9CF5-9C207811E078}"/>
    <cellStyle name="Moeda 3 10 11 3 2 4 3 2" xfId="1148" xr:uid="{43434355-A5FE-4025-8BA2-7DF31387A3B3}"/>
    <cellStyle name="Moeda 3 10 11 3 2 4 3 2 2" xfId="2917" xr:uid="{129D3DCC-E551-463C-8D79-DC5E1183561B}"/>
    <cellStyle name="Moeda 3 10 11 3 2 4 3 3" xfId="1640" xr:uid="{5B7E0FE7-372C-44B5-A8BA-3ED06B9CD114}"/>
    <cellStyle name="Moeda 3 10 11 3 2 4 3 3 2" xfId="3409" xr:uid="{58F9EF7F-B61F-44E4-8C03-9BE0178FE599}"/>
    <cellStyle name="Moeda 3 10 11 3 2 4 3 4" xfId="2425" xr:uid="{ABF8E1AA-DE0A-4019-8115-B86F570AF754}"/>
    <cellStyle name="Moeda 3 10 11 3 2 4 4" xfId="547" xr:uid="{0E2ABF5E-CC96-402B-90FC-9C82C33C0483}"/>
    <cellStyle name="Moeda 3 10 11 3 2 4 4 2" xfId="2316" xr:uid="{B80F783A-A4B4-4865-B0A4-795BBE4F92C1}"/>
    <cellStyle name="Moeda 3 10 11 3 2 4 5" xfId="413" xr:uid="{38E6490A-E972-453D-8AC3-D064F67D02D8}"/>
    <cellStyle name="Moeda 3 10 11 3 2 4 5 2" xfId="2191" xr:uid="{8AE3AF17-699D-4FBA-BA2C-B0D0B2E87B34}"/>
    <cellStyle name="Moeda 3 10 11 3 2 4 6" xfId="1048" xr:uid="{4A0FA3EA-F785-492B-906E-8C36AE3EA31E}"/>
    <cellStyle name="Moeda 3 10 11 3 2 4 6 2" xfId="2817" xr:uid="{8AAD3B3A-A5BE-44F5-937C-18744BEDDB20}"/>
    <cellStyle name="Moeda 3 10 11 3 2 4 7" xfId="1540" xr:uid="{9AFCC5E0-AFBB-4E2A-AC19-265FCB771E26}"/>
    <cellStyle name="Moeda 3 10 11 3 2 4 7 2" xfId="3309" xr:uid="{699833E1-44AB-4B09-A7FA-9B288DAE8F33}"/>
    <cellStyle name="Moeda 3 10 11 3 2 4 8" xfId="1961" xr:uid="{0615EE63-0678-4E2E-A549-206763CE8817}"/>
    <cellStyle name="Moeda 3 10 11 3 2 5" xfId="789" xr:uid="{232AEDAB-9B35-4081-BFBB-1238AB9D3217}"/>
    <cellStyle name="Moeda 3 10 11 3 2 5 2" xfId="1281" xr:uid="{BDEC62D6-9C20-4E9D-AC65-E52DCC99F580}"/>
    <cellStyle name="Moeda 3 10 11 3 2 5 2 2" xfId="3050" xr:uid="{5494B808-4279-4498-993C-F81101B9F998}"/>
    <cellStyle name="Moeda 3 10 11 3 2 5 3" xfId="1773" xr:uid="{231D7C3D-B6A3-4DB5-89E8-82A2C6E10E6B}"/>
    <cellStyle name="Moeda 3 10 11 3 2 5 3 2" xfId="3542" xr:uid="{86CCBD7D-A3E1-4A70-9C97-FD806DD05E45}"/>
    <cellStyle name="Moeda 3 10 11 3 2 5 4" xfId="2558" xr:uid="{5EF41B50-1B57-4245-AB03-9A3F0C3D112C}"/>
    <cellStyle name="Moeda 3 10 11 3 2 6" xfId="632" xr:uid="{BCE18D35-5FAD-4BCD-AA58-CCDDD7A99424}"/>
    <cellStyle name="Moeda 3 10 11 3 2 6 2" xfId="1124" xr:uid="{AEC9C3BA-39A6-4910-8D53-CC7CC552FC06}"/>
    <cellStyle name="Moeda 3 10 11 3 2 6 2 2" xfId="2893" xr:uid="{10064F3B-DCC2-4845-A928-978CCC35316A}"/>
    <cellStyle name="Moeda 3 10 11 3 2 6 3" xfId="1616" xr:uid="{E549AF6B-2CD1-4F03-97B4-123657406199}"/>
    <cellStyle name="Moeda 3 10 11 3 2 6 3 2" xfId="3385" xr:uid="{FAB2CF0E-0727-45C6-A069-B0218DDC6298}"/>
    <cellStyle name="Moeda 3 10 11 3 2 6 4" xfId="2401" xr:uid="{4288DF72-013F-48EB-8283-2CDAB5C59073}"/>
    <cellStyle name="Moeda 3 10 11 3 2 7" xfId="560" xr:uid="{DBE05BCB-4CCA-46D1-AE4C-1D322BDF6E31}"/>
    <cellStyle name="Moeda 3 10 11 3 2 7 2" xfId="2329" xr:uid="{44080015-7D99-48C4-8324-7EA3A2549AF9}"/>
    <cellStyle name="Moeda 3 10 11 3 2 8" xfId="391" xr:uid="{B5060E98-5370-463E-A733-70A2251F0D4C}"/>
    <cellStyle name="Moeda 3 10 11 3 2 8 2" xfId="2169" xr:uid="{E257A890-E159-4F2F-A3E1-A6BC5E8DA106}"/>
    <cellStyle name="Moeda 3 10 11 3 2 9" xfId="1057" xr:uid="{68EE1CF5-7550-4467-AA0D-53EC3D4C3A59}"/>
    <cellStyle name="Moeda 3 10 11 3 2 9 2" xfId="2826" xr:uid="{AF41BAC3-B9CC-4FCE-8AFB-1C041ECACD07}"/>
    <cellStyle name="Moeda 3 10 11 3 3" xfId="750" xr:uid="{FD46D2E0-92EA-43F9-9973-980FD0171988}"/>
    <cellStyle name="Moeda 3 10 11 3 3 2" xfId="1242" xr:uid="{C010903F-B42D-4343-B3DE-C7E842196050}"/>
    <cellStyle name="Moeda 3 10 11 3 3 2 2" xfId="3011" xr:uid="{7BD1BE19-22AE-4607-A46A-ABBB581D20B6}"/>
    <cellStyle name="Moeda 3 10 11 3 3 3" xfId="1734" xr:uid="{17AE0853-8DF2-4106-AC5D-FEB9AAD26DE9}"/>
    <cellStyle name="Moeda 3 10 11 3 3 3 2" xfId="3503" xr:uid="{02EBBBCB-D41F-4892-92C3-8245FDCC1B86}"/>
    <cellStyle name="Moeda 3 10 11 3 3 4" xfId="2519" xr:uid="{CDDA9895-E984-4666-B9AC-A0F4C6FF3F51}"/>
    <cellStyle name="Moeda 3 10 11 3 4" xfId="564" xr:uid="{9D40B306-B7C2-4863-86DC-296AC23D6642}"/>
    <cellStyle name="Moeda 3 10 11 3 4 2" xfId="1061" xr:uid="{40423F6A-B200-4E0A-A13D-E8F002C3F16A}"/>
    <cellStyle name="Moeda 3 10 11 3 4 2 2" xfId="2830" xr:uid="{8AB0FE0C-1512-4636-A68B-44522C45B0D9}"/>
    <cellStyle name="Moeda 3 10 11 3 4 3" xfId="1553" xr:uid="{75675A99-BCB0-4677-8259-F6D790691435}"/>
    <cellStyle name="Moeda 3 10 11 3 4 3 2" xfId="3322" xr:uid="{B7C331F1-7B1A-4A3B-9CC8-2E3F3C21A939}"/>
    <cellStyle name="Moeda 3 10 11 3 4 4" xfId="2333" xr:uid="{789D150E-B91D-4A7C-A399-B36A423E3A0D}"/>
    <cellStyle name="Moeda 3 10 11 3 5" xfId="78" xr:uid="{DB2EC72B-4262-4181-A126-13B64788D074}"/>
    <cellStyle name="Moeda 3 10 11 3 5 10" xfId="1914" xr:uid="{84AF1511-83BD-4E7C-9DEE-FD1E72A169D7}"/>
    <cellStyle name="Moeda 3 10 11 3 5 2" xfId="487" xr:uid="{00B8A1AB-37C0-4CDF-874A-73417933DD74}"/>
    <cellStyle name="Moeda 3 10 11 3 5 2 2" xfId="862" xr:uid="{D47AEE01-9BCB-4797-8B2D-DBE36CA70482}"/>
    <cellStyle name="Moeda 3 10 11 3 5 2 2 2" xfId="1354" xr:uid="{3CA2941B-D77A-4DDE-82A8-601A846428E6}"/>
    <cellStyle name="Moeda 3 10 11 3 5 2 2 2 2" xfId="1864" xr:uid="{ED4F49F5-CB70-4AC6-91FE-305057032155}"/>
    <cellStyle name="Moeda 3 10 11 3 5 2 2 2 2 2" xfId="3629" xr:uid="{A947C464-2DDC-40B2-81BA-067AD8D4463D}"/>
    <cellStyle name="Moeda 3 10 11 3 5 2 2 2 2 3" xfId="3647" xr:uid="{A1D2A8DD-F3B9-4AA0-AAAE-D4E775AF1B68}"/>
    <cellStyle name="Moeda 3 10 11 3 5 2 2 2 3" xfId="3123" xr:uid="{252A57C1-DAE4-4582-ADF7-5197FC18679B}"/>
    <cellStyle name="Moeda 3 10 11 3 5 2 2 3" xfId="1846" xr:uid="{175FBBE8-E816-4B1D-B54B-DD64FFEEDECC}"/>
    <cellStyle name="Moeda 3 10 11 3 5 2 2 3 2" xfId="3615" xr:uid="{B33319F0-091D-4B92-94B5-D2115C9D945F}"/>
    <cellStyle name="Moeda 3 10 11 3 5 2 2 4" xfId="2631" xr:uid="{6C349E9E-1232-4FF7-9192-F2B97A7AC157}"/>
    <cellStyle name="Moeda 3 10 11 3 5 2 3" xfId="1001" xr:uid="{AF06F75E-BCA9-4EC4-9D07-AB52148C85DD}"/>
    <cellStyle name="Moeda 3 10 11 3 5 2 3 2" xfId="2770" xr:uid="{983567A2-CC47-4685-93EC-21C5C3D03A8F}"/>
    <cellStyle name="Moeda 3 10 11 3 5 2 4" xfId="1493" xr:uid="{6F24D475-0086-46E7-895D-77A66F0DFA19}"/>
    <cellStyle name="Moeda 3 10 11 3 5 2 4 2" xfId="3262" xr:uid="{436B4F04-7893-4AB3-BECE-A24980D1A8BB}"/>
    <cellStyle name="Moeda 3 10 11 3 5 2 5" xfId="2256" xr:uid="{2A2B7996-3CE6-49C7-9EBF-C2E490C2AF60}"/>
    <cellStyle name="Moeda 3 10 11 3 5 2 6" xfId="3639" xr:uid="{0E1D66E2-1358-488D-9F7B-1B171C96BAB7}"/>
    <cellStyle name="Moeda 3 10 11 3 5 3" xfId="765" xr:uid="{7394712C-2BF3-431C-886D-64966ECBCA72}"/>
    <cellStyle name="Moeda 3 10 11 3 5 3 2" xfId="1257" xr:uid="{F5736159-328E-4F29-9AD5-435495E4699F}"/>
    <cellStyle name="Moeda 3 10 11 3 5 3 2 2" xfId="3026" xr:uid="{FB479434-03FD-479C-A316-8DCB4E714953}"/>
    <cellStyle name="Moeda 3 10 11 3 5 3 3" xfId="1749" xr:uid="{717A03B5-1141-4A8B-A0F8-22A86B16D3A4}"/>
    <cellStyle name="Moeda 3 10 11 3 5 3 3 2" xfId="3518" xr:uid="{03451B78-4339-45B7-8106-138B2F7BDE46}"/>
    <cellStyle name="Moeda 3 10 11 3 5 3 4" xfId="2534" xr:uid="{8ABD6813-4DEF-4632-9653-233822A51E65}"/>
    <cellStyle name="Moeda 3 10 11 3 5 4" xfId="609" xr:uid="{315D0597-A13D-40C7-9008-627009E84627}"/>
    <cellStyle name="Moeda 3 10 11 3 5 4 2" xfId="1101" xr:uid="{B9803CDD-009A-4B13-AB0B-4BA112B3C839}"/>
    <cellStyle name="Moeda 3 10 11 3 5 4 2 2" xfId="2870" xr:uid="{BED5C423-804C-4DD6-A4C6-27B1A7F826FD}"/>
    <cellStyle name="Moeda 3 10 11 3 5 4 3" xfId="1593" xr:uid="{D6A3D874-ECE3-4A2A-82BE-A07E825B83D4}"/>
    <cellStyle name="Moeda 3 10 11 3 5 4 3 2" xfId="3362" xr:uid="{69DAFB9A-8449-4BF4-8658-D358E63743FF}"/>
    <cellStyle name="Moeda 3 10 11 3 5 4 4" xfId="2378" xr:uid="{EB76971A-8006-4211-B535-B4C0B121BE18}"/>
    <cellStyle name="Moeda 3 10 11 3 5 5" xfId="319" xr:uid="{CB36E9C2-2E3C-4F36-8D77-FDC6144416B9}"/>
    <cellStyle name="Moeda 3 10 11 3 5 5 2" xfId="2097" xr:uid="{6B950F80-D22E-4032-9298-1C4EF1338F1F}"/>
    <cellStyle name="Moeda 3 10 11 3 5 6" xfId="367" xr:uid="{8CFF97DF-6832-4A39-AC64-239D93DBD40F}"/>
    <cellStyle name="Moeda 3 10 11 3 5 6 2" xfId="2145" xr:uid="{908B8931-F10B-4842-8B52-1486F1946D83}"/>
    <cellStyle name="Moeda 3 10 11 3 5 6 2 2" xfId="3644" xr:uid="{1AD5721B-5BDB-42D7-A20F-0371450FEEC1}"/>
    <cellStyle name="Moeda 3 10 11 3 5 7" xfId="953" xr:uid="{E92E6CF9-46BF-42BB-9205-6DA0E3D957A8}"/>
    <cellStyle name="Moeda 3 10 11 3 5 7 2" xfId="2722" xr:uid="{C4C2E2C2-5F8B-4A8F-B389-F3995E6F1E03}"/>
    <cellStyle name="Moeda 3 10 11 3 5 8" xfId="1445" xr:uid="{FD7A50F9-69D0-44A6-B7EF-AAF02EC7A265}"/>
    <cellStyle name="Moeda 3 10 11 3 5 8 2" xfId="3214" xr:uid="{8A6C6B1C-7250-4A58-A39C-9CDD845BBD9C}"/>
    <cellStyle name="Moeda 3 10 11 3 5 9" xfId="1861" xr:uid="{FA378D50-EFB6-406F-8E5F-9F6E948A6762}"/>
    <cellStyle name="Moeda 3 10 11 3 5 9 2" xfId="3627" xr:uid="{13990ED4-84D8-4636-AE3E-2D584F84743A}"/>
    <cellStyle name="Moeda 3 10 11 3 6" xfId="527" xr:uid="{A7B623F3-B7DF-474F-8AA9-197C6AEA1DB4}"/>
    <cellStyle name="Moeda 3 10 11 3 6 2" xfId="2296" xr:uid="{64DF5272-D362-48BE-B5E6-31ABE654F823}"/>
    <cellStyle name="Moeda 3 10 11 3 7" xfId="258" xr:uid="{5D8F045F-62D7-41A5-B1DC-B8DBD6CB1FB4}"/>
    <cellStyle name="Moeda 3 10 11 3 7 2" xfId="2042" xr:uid="{95A5B911-B6DD-4369-AD9A-E94FAED3A71A}"/>
    <cellStyle name="Moeda 3 10 11 3 8" xfId="906" xr:uid="{5F51D04A-4964-46F1-A512-38B9718688EA}"/>
    <cellStyle name="Moeda 3 10 11 3 8 2" xfId="2675" xr:uid="{0121C8DA-27FE-418E-83BF-0213B8638259}"/>
    <cellStyle name="Moeda 3 10 11 3 9" xfId="1398" xr:uid="{A792B4B7-6914-4DCE-8F7C-C651D57DF489}"/>
    <cellStyle name="Moeda 3 10 11 3 9 2" xfId="3167" xr:uid="{03630003-9871-479B-ACC7-D3587F9209B7}"/>
    <cellStyle name="Moeda 3 10 11 4" xfId="76" xr:uid="{FD6349D9-C0BB-42D8-8C90-F709170F2341}"/>
    <cellStyle name="Moeda 3 10 11 4 2" xfId="331" xr:uid="{45686047-D8BE-4D78-AEC2-6354C8AA4565}"/>
    <cellStyle name="Moeda 3 10 11 4 2 2" xfId="863" xr:uid="{ACE28713-6AF7-4A15-B0DB-E0B2A67567BA}"/>
    <cellStyle name="Moeda 3 10 11 4 2 2 2" xfId="1355" xr:uid="{3DFE3CA5-C20F-4CF9-AAFA-76CD8DDBE7CF}"/>
    <cellStyle name="Moeda 3 10 11 4 2 2 2 2" xfId="3124" xr:uid="{E35CDAD4-C15E-47F5-81EF-28A74F7BC745}"/>
    <cellStyle name="Moeda 3 10 11 4 2 2 3" xfId="1847" xr:uid="{DBB6BA52-FC73-493A-BC90-68C119ED5FE4}"/>
    <cellStyle name="Moeda 3 10 11 4 2 2 3 2" xfId="3616" xr:uid="{6A0B6F6D-5F05-4299-82EA-780737B32FE9}"/>
    <cellStyle name="Moeda 3 10 11 4 2 2 4" xfId="2632" xr:uid="{A7FEE668-7A5D-48E1-8719-0C9BB2522983}"/>
    <cellStyle name="Moeda 3 10 11 4 2 3" xfId="962" xr:uid="{6226A6EB-E4C0-49CB-8946-D6BAFCBBC6F2}"/>
    <cellStyle name="Moeda 3 10 11 4 2 3 2" xfId="2731" xr:uid="{08BF373D-CBDD-468E-85CD-2DC63E190A5D}"/>
    <cellStyle name="Moeda 3 10 11 4 2 4" xfId="1454" xr:uid="{3585E0F6-9E73-467F-BFBF-CFA8A3F880C7}"/>
    <cellStyle name="Moeda 3 10 11 4 2 4 2" xfId="3223" xr:uid="{FB68F3B4-4ADC-439B-A701-60D6EEC1D420}"/>
    <cellStyle name="Moeda 3 10 11 4 2 5" xfId="2109" xr:uid="{5F346BDD-BEFB-4444-A276-BD5EC7046079}"/>
    <cellStyle name="Moeda 3 10 11 4 2 6" xfId="3637" xr:uid="{8B4EC766-1B04-4DDB-B5DB-F6F163585671}"/>
    <cellStyle name="Moeda 3 10 11 4 3" xfId="759" xr:uid="{58D66FCB-F142-4A28-9BA5-CD79A9C03652}"/>
    <cellStyle name="Moeda 3 10 11 4 3 2" xfId="1251" xr:uid="{E30DF29F-1193-478A-BCA1-F1F32D34DA61}"/>
    <cellStyle name="Moeda 3 10 11 4 3 2 2" xfId="3020" xr:uid="{E12127C6-E641-4727-98C8-1C07D0240BB5}"/>
    <cellStyle name="Moeda 3 10 11 4 3 3" xfId="1743" xr:uid="{4C7F2D97-1E3B-458A-BBDF-B51668583511}"/>
    <cellStyle name="Moeda 3 10 11 4 3 3 2" xfId="3512" xr:uid="{90443E96-7E05-42BC-9B57-174545B12D42}"/>
    <cellStyle name="Moeda 3 10 11 4 3 4" xfId="2528" xr:uid="{8C11E483-74C7-4A4F-B41D-730DA0DA26E8}"/>
    <cellStyle name="Moeda 3 10 11 4 4" xfId="608" xr:uid="{024FFE20-4787-40CD-BAFC-109A6A4E92E0}"/>
    <cellStyle name="Moeda 3 10 11 4 4 2" xfId="1100" xr:uid="{8B4B27FE-67A0-4D13-94A2-4F08E0566E33}"/>
    <cellStyle name="Moeda 3 10 11 4 4 2 2" xfId="2869" xr:uid="{D094B02C-E3AD-4B14-8C30-1E9B9AE31605}"/>
    <cellStyle name="Moeda 3 10 11 4 4 3" xfId="1592" xr:uid="{1E6E9F34-0752-45BE-A252-E96537AA4CB8}"/>
    <cellStyle name="Moeda 3 10 11 4 4 3 2" xfId="3361" xr:uid="{24A0A4E2-EC64-4D31-BC76-E6E221532907}"/>
    <cellStyle name="Moeda 3 10 11 4 4 4" xfId="2377" xr:uid="{C79B8F38-4C7C-4377-B3FD-CFED75BE881E}"/>
    <cellStyle name="Moeda 3 10 11 4 5" xfId="293" xr:uid="{79B76762-008E-4A60-A6F6-DEBC83D64D6F}"/>
    <cellStyle name="Moeda 3 10 11 4 5 2" xfId="2072" xr:uid="{5819E220-C382-4898-8A42-C91A37FD3048}"/>
    <cellStyle name="Moeda 3 10 11 4 6" xfId="362" xr:uid="{B43FD34E-265F-4716-9632-87D62C089D92}"/>
    <cellStyle name="Moeda 3 10 11 4 6 2" xfId="2140" xr:uid="{4FC8CB68-23CE-4583-AA0A-2941AC57B0A5}"/>
    <cellStyle name="Moeda 3 10 11 4 7" xfId="934" xr:uid="{14CC97C6-EFB3-4F82-AFC3-C8E24C88A7D0}"/>
    <cellStyle name="Moeda 3 10 11 4 7 2" xfId="2703" xr:uid="{15C792C1-9926-40D6-8CA9-AE2B651250B8}"/>
    <cellStyle name="Moeda 3 10 11 4 8" xfId="1426" xr:uid="{C1423486-A089-4BE2-B1E6-41AE00940555}"/>
    <cellStyle name="Moeda 3 10 11 4 8 2" xfId="3195" xr:uid="{4A11F199-615D-4EF6-BAB5-0C6F5D7EF862}"/>
    <cellStyle name="Moeda 3 10 11 4 9" xfId="1913" xr:uid="{AEF35E39-19C8-4B37-9730-33EEA7DEE111}"/>
    <cellStyle name="Moeda 3 10 11 5" xfId="328" xr:uid="{2C391212-6FAB-42A6-AE60-767250D42028}"/>
    <cellStyle name="Moeda 3 10 11 5 2" xfId="959" xr:uid="{E265B608-A4FF-4BB0-9551-67F4597CE891}"/>
    <cellStyle name="Moeda 3 10 11 5 2 2" xfId="2728" xr:uid="{A5C0F8B9-CC09-4942-ACCA-CDF9C7A0F19E}"/>
    <cellStyle name="Moeda 3 10 11 5 3" xfId="1451" xr:uid="{C4420731-601A-4006-9406-26877DDC2ABA}"/>
    <cellStyle name="Moeda 3 10 11 5 3 2" xfId="3220" xr:uid="{403DA70E-B832-4D22-ADC1-8F280ACA04A9}"/>
    <cellStyle name="Moeda 3 10 11 5 4" xfId="2106" xr:uid="{458192C4-ED4F-41A4-92C7-F23F068EBA1A}"/>
    <cellStyle name="Moeda 3 10 11 6" xfId="545" xr:uid="{216D1FAC-00C7-4F22-826D-DE40F5C0A06A}"/>
    <cellStyle name="Moeda 3 10 11 6 2" xfId="2314" xr:uid="{AC528F7F-4698-49CC-93B8-8A4DBCA16256}"/>
    <cellStyle name="Moeda 3 10 11 7" xfId="249" xr:uid="{EF6E785D-A799-40C9-B397-6B172D1B24C0}"/>
    <cellStyle name="Moeda 3 10 11 7 2" xfId="2033" xr:uid="{266EC3F4-A5D9-4579-AB04-D87961F7F304}"/>
    <cellStyle name="Moeda 3 10 11 8" xfId="897" xr:uid="{00F35F37-B9DF-44CA-A101-32259256F5A0}"/>
    <cellStyle name="Moeda 3 10 11 8 2" xfId="2666" xr:uid="{21E9AE7B-A4FE-497B-B17A-5E7815273066}"/>
    <cellStyle name="Moeda 3 10 11 9" xfId="1389" xr:uid="{88F34AA2-4AB1-4E7A-8EFD-D8F69995DD08}"/>
    <cellStyle name="Moeda 3 10 11 9 2" xfId="3158" xr:uid="{DFA2C750-2240-4E45-A611-D8DD1BA8E534}"/>
    <cellStyle name="Moeda 3 10 14" xfId="48" xr:uid="{22AD24BA-63D2-4CCB-8841-CACC9592B4A8}"/>
    <cellStyle name="Moeda 3 10 14 10" xfId="1386" xr:uid="{0F0816DA-513E-4F0D-B524-5BE2D17B3688}"/>
    <cellStyle name="Moeda 3 10 14 10 2" xfId="3155" xr:uid="{40915CB3-FD19-4A79-B666-1A040CA28E3F}"/>
    <cellStyle name="Moeda 3 10 14 11" xfId="1889" xr:uid="{77C58337-AF7E-4EAB-9B34-E5AC7EC823C9}"/>
    <cellStyle name="Moeda 3 10 14 13" xfId="3633" xr:uid="{D6B40104-0F49-4137-8411-CD267FFE7C94}"/>
    <cellStyle name="Moeda 3 10 14 13 2" xfId="3646" xr:uid="{3BD2399F-F284-4D83-BBC1-FBFE56B1932C}"/>
    <cellStyle name="Moeda 3 10 14 2" xfId="302" xr:uid="{A406FEAD-69BC-45F3-A443-4E4B04152E83}"/>
    <cellStyle name="Moeda 3 10 14 2 2" xfId="859" xr:uid="{E50F40E6-8937-4B15-A5BC-DFC01C1D6E26}"/>
    <cellStyle name="Moeda 3 10 14 2 2 2" xfId="1351" xr:uid="{FD91112B-484B-4BE6-8874-7FC5BD022B5B}"/>
    <cellStyle name="Moeda 3 10 14 2 2 2 2" xfId="3120" xr:uid="{4EC69A4A-A342-4B2E-9134-D10C3215C6BF}"/>
    <cellStyle name="Moeda 3 10 14 2 2 3" xfId="1843" xr:uid="{6D5E8429-1827-4457-9EC8-4745448581B7}"/>
    <cellStyle name="Moeda 3 10 14 2 2 3 2" xfId="3612" xr:uid="{D0DC1101-7FC8-4567-9F87-1ABC9E481D37}"/>
    <cellStyle name="Moeda 3 10 14 2 2 4" xfId="2628" xr:uid="{EE53C793-EF6E-46E6-97E0-B61A4E084511}"/>
    <cellStyle name="Moeda 3 10 14 2 2 6" xfId="3631" xr:uid="{2A08D279-4EEB-4003-AEAF-B8FAD08F3241}"/>
    <cellStyle name="Moeda 3 10 14 2 3" xfId="941" xr:uid="{639B9840-A71F-4ADD-9081-8C87CE046F81}"/>
    <cellStyle name="Moeda 3 10 14 2 3 2" xfId="2710" xr:uid="{E976C151-D6ED-46DF-AACE-92F87AA733DA}"/>
    <cellStyle name="Moeda 3 10 14 2 4" xfId="1433" xr:uid="{D78FB24B-481B-48D4-AB52-9AD31E142B35}"/>
    <cellStyle name="Moeda 3 10 14 2 4 2" xfId="3202" xr:uid="{886FE177-5905-4FE9-AB98-7B4CB4B63FE8}"/>
    <cellStyle name="Moeda 3 10 14 2 5" xfId="2081" xr:uid="{E48F95CA-9D40-41A7-BD45-FBFE2FED86C0}"/>
    <cellStyle name="Moeda 3 10 14 2 6" xfId="3640" xr:uid="{4D056986-5E0B-48DC-A8D0-4D6B1609B85D}"/>
    <cellStyle name="Moeda 3 10 14 3" xfId="736" xr:uid="{866FFAB1-CEF6-4B80-AC45-A1B9375DE9CD}"/>
    <cellStyle name="Moeda 3 10 14 3 2" xfId="1228" xr:uid="{CB978DB8-F6AE-4B03-9A13-8F01A6EA288F}"/>
    <cellStyle name="Moeda 3 10 14 3 2 2" xfId="2997" xr:uid="{534A0129-6282-4607-B75C-5A8689474E4C}"/>
    <cellStyle name="Moeda 3 10 14 3 3" xfId="1720" xr:uid="{E56CC4D3-96CE-4343-AB1C-879480720BF7}"/>
    <cellStyle name="Moeda 3 10 14 3 3 2" xfId="3489" xr:uid="{60DF5320-739B-4C76-95E9-040D950B85D6}"/>
    <cellStyle name="Moeda 3 10 14 3 4" xfId="2505" xr:uid="{F1691A18-27A1-4088-9B8B-E41D09B51054}"/>
    <cellStyle name="Moeda 3 10 14 4" xfId="130" xr:uid="{1748BCAE-DE2F-4B28-880A-AF97D5FED693}"/>
    <cellStyle name="Moeda 3 10 14 4 2" xfId="810" xr:uid="{09D6E7DD-25D1-45B6-A6DA-FC5522773749}"/>
    <cellStyle name="Moeda 3 10 14 4 2 2" xfId="339" xr:uid="{32C49FCF-157D-46AB-86B8-0BA7FABA2FED}"/>
    <cellStyle name="Moeda 3 10 14 4 2 2 2" xfId="970" xr:uid="{49559522-947E-4664-BAC4-F55B376E4B4F}"/>
    <cellStyle name="Moeda 3 10 14 4 2 2 2 2" xfId="2739" xr:uid="{3CBCA60D-0E59-44D2-BC00-26363DDC57B0}"/>
    <cellStyle name="Moeda 3 10 14 4 2 2 3" xfId="1462" xr:uid="{33951D2A-35A3-4CED-A99D-18EBB3EBDD85}"/>
    <cellStyle name="Moeda 3 10 14 4 2 2 3 2" xfId="3231" xr:uid="{27BF7825-D88C-4EDB-A4AC-CDBD998A4316}"/>
    <cellStyle name="Moeda 3 10 14 4 2 2 4" xfId="2117" xr:uid="{A14BF5E7-475F-408A-A164-374945B6EB8A}"/>
    <cellStyle name="Moeda 3 10 14 4 2 3" xfId="1302" xr:uid="{FBD2F887-F9CA-4A8B-A219-229D1EE43908}"/>
    <cellStyle name="Moeda 3 10 14 4 2 3 2" xfId="3071" xr:uid="{3743731A-CB80-4168-ADAF-4FD60FF6382A}"/>
    <cellStyle name="Moeda 3 10 14 4 2 4" xfId="1794" xr:uid="{6B593742-1D7F-474E-91E9-11174A1FB0E1}"/>
    <cellStyle name="Moeda 3 10 14 4 2 4 2" xfId="3563" xr:uid="{E955E7EE-4D25-47DC-AA9D-1E4742DD6EE7}"/>
    <cellStyle name="Moeda 3 10 14 4 2 5" xfId="2579" xr:uid="{F1FFFDBF-83EB-4B56-AD78-E58D5B64DE35}"/>
    <cellStyle name="Moeda 3 10 14 4 3" xfId="655" xr:uid="{8641DF4A-0BB6-45B7-A14F-87E8401B231C}"/>
    <cellStyle name="Moeda 3 10 14 4 3 2" xfId="1147" xr:uid="{C090715C-66D5-40AD-9055-581E6CE587B4}"/>
    <cellStyle name="Moeda 3 10 14 4 3 2 2" xfId="2916" xr:uid="{094BCE99-7E16-4FE2-90BE-A8F621E2C660}"/>
    <cellStyle name="Moeda 3 10 14 4 3 3" xfId="1639" xr:uid="{93B339EA-36D0-4282-9ABD-66797B54C08D}"/>
    <cellStyle name="Moeda 3 10 14 4 3 3 2" xfId="3408" xr:uid="{D900E75D-E5A5-4F17-89D5-4A5FF00612A0}"/>
    <cellStyle name="Moeda 3 10 14 4 3 4" xfId="2424" xr:uid="{81FC4778-3032-4BFB-A2F0-290C157BEDD3}"/>
    <cellStyle name="Moeda 3 10 14 4 4" xfId="579" xr:uid="{6D4DF609-EBA4-436C-97EA-A00CED64DEBF}"/>
    <cellStyle name="Moeda 3 10 14 4 4 2" xfId="2348" xr:uid="{3F15DF6C-54E1-4125-A773-9077E42F7FCC}"/>
    <cellStyle name="Moeda 3 10 14 4 5" xfId="412" xr:uid="{A51D0CFB-6571-4F2D-82D7-53C7C9F60961}"/>
    <cellStyle name="Moeda 3 10 14 4 5 2" xfId="2190" xr:uid="{EC7F9E86-6252-4F5F-A86F-D2E553B6210F}"/>
    <cellStyle name="Moeda 3 10 14 4 6" xfId="1074" xr:uid="{3B5BD000-6434-474F-8437-61F0195B7700}"/>
    <cellStyle name="Moeda 3 10 14 4 6 2" xfId="2843" xr:uid="{E20A2AAC-A909-4E77-836E-6BD7155FF0BA}"/>
    <cellStyle name="Moeda 3 10 14 4 7" xfId="1566" xr:uid="{B9E9C0B6-E649-4C7B-8DAB-3577B1CF9E86}"/>
    <cellStyle name="Moeda 3 10 14 4 7 2" xfId="3335" xr:uid="{4BD2A247-7791-41DE-B0B0-AF6A2A468068}"/>
    <cellStyle name="Moeda 3 10 14 4 8" xfId="1960" xr:uid="{1D06C16B-3DC1-4146-B018-509F12ACD911}"/>
    <cellStyle name="Moeda 3 10 14 5" xfId="72" xr:uid="{5E40904B-6E99-4327-9EEB-6080D49B4DF4}"/>
    <cellStyle name="Moeda 3 10 14 5 2" xfId="757" xr:uid="{DE06B6C3-09AE-4547-930F-7B15C0943F13}"/>
    <cellStyle name="Moeda 3 10 14 5 2 2" xfId="1249" xr:uid="{F221AF39-E050-44AB-A825-23CA0C46A544}"/>
    <cellStyle name="Moeda 3 10 14 5 2 2 2" xfId="3018" xr:uid="{EBC0BA94-AFF6-4595-A1C7-55D34E66F8BE}"/>
    <cellStyle name="Moeda 3 10 14 5 2 3" xfId="1741" xr:uid="{2D0D639E-9C61-4DE0-8033-7D3688C75805}"/>
    <cellStyle name="Moeda 3 10 14 5 2 3 2" xfId="3510" xr:uid="{2EDF95AA-AD43-4ECB-995F-3D026E8D4920}"/>
    <cellStyle name="Moeda 3 10 14 5 2 4" xfId="2526" xr:uid="{10CAC58B-4D54-4307-8057-A0D56ADD89FA}"/>
    <cellStyle name="Moeda 3 10 14 5 3" xfId="80" xr:uid="{D7F31135-2AB4-46E5-B202-273E0478E90C}"/>
    <cellStyle name="Moeda 3 10 14 5 3 10" xfId="1915" xr:uid="{7167EC76-6651-432D-9884-BD1E04061EAE}"/>
    <cellStyle name="Moeda 3 10 14 5 3 2" xfId="766" xr:uid="{81E5D4CD-DC4F-4F54-974E-E08CA0D419C1}"/>
    <cellStyle name="Moeda 3 10 14 5 3 2 2" xfId="1258" xr:uid="{4D68E77D-0855-4948-8910-6C997B647726}"/>
    <cellStyle name="Moeda 3 10 14 5 3 2 2 2" xfId="3027" xr:uid="{4550050D-5B4D-4705-BCAD-7C70ECCF4AF8}"/>
    <cellStyle name="Moeda 3 10 14 5 3 2 3" xfId="1750" xr:uid="{CF67370B-809D-470B-877D-AFED97466B60}"/>
    <cellStyle name="Moeda 3 10 14 5 3 2 3 2" xfId="3519" xr:uid="{01FC3F80-D525-4494-A1A0-02C81F41A536}"/>
    <cellStyle name="Moeda 3 10 14 5 3 2 4" xfId="2535" xr:uid="{E4070544-C624-48EF-900C-359B901A5E36}"/>
    <cellStyle name="Moeda 3 10 14 5 3 3" xfId="610" xr:uid="{DF9E1CA1-503E-4186-9A90-DC42112519A3}"/>
    <cellStyle name="Moeda 3 10 14 5 3 3 2" xfId="1102" xr:uid="{3A1D2FDE-BDAA-4315-832E-FC98715C9C35}"/>
    <cellStyle name="Moeda 3 10 14 5 3 3 2 2" xfId="2871" xr:uid="{C2FCF6A7-D87A-47BA-8730-04C637878D31}"/>
    <cellStyle name="Moeda 3 10 14 5 3 3 3" xfId="1594" xr:uid="{A4C01F41-8193-4BF2-9EBB-A4473983FD90}"/>
    <cellStyle name="Moeda 3 10 14 5 3 3 3 2" xfId="3363" xr:uid="{D576ACA7-1A55-4A60-BEFE-F441FD31DE9B}"/>
    <cellStyle name="Moeda 3 10 14 5 3 3 4" xfId="2379" xr:uid="{29534858-C373-4332-8811-777F2E4F0D24}"/>
    <cellStyle name="Moeda 3 10 14 5 3 4" xfId="119" xr:uid="{F2ECFEE3-4737-4AF0-91E3-3E551481BC76}"/>
    <cellStyle name="Moeda 3 10 14 5 3 4 2" xfId="140" xr:uid="{5987352B-D059-4DE7-BE9E-7A169848385A}"/>
    <cellStyle name="Moeda 3 10 14 5 3 4 2 2" xfId="820" xr:uid="{5C6B822B-BE6C-477F-8D0F-B67F427FD850}"/>
    <cellStyle name="Moeda 3 10 14 5 3 4 2 2 2" xfId="1312" xr:uid="{3118F32F-657E-4580-B676-09C51C07D81C}"/>
    <cellStyle name="Moeda 3 10 14 5 3 4 2 2 2 2" xfId="3081" xr:uid="{83E0ECEF-8D3F-4AC2-AE41-5DE12F3B3B03}"/>
    <cellStyle name="Moeda 3 10 14 5 3 4 2 2 3" xfId="1804" xr:uid="{AD1DDD87-6BF8-4D7C-AC81-7CB85A16B544}"/>
    <cellStyle name="Moeda 3 10 14 5 3 4 2 2 3 2" xfId="3573" xr:uid="{F019AC78-9BB8-457F-9122-BC9F8E59DDDF}"/>
    <cellStyle name="Moeda 3 10 14 5 3 4 2 2 4" xfId="2589" xr:uid="{ABC248ED-F401-4378-94B1-73B63DADB2E2}"/>
    <cellStyle name="Moeda 3 10 14 5 3 4 2 3" xfId="665" xr:uid="{F8345271-02D9-4132-B79F-1214EB06BD2C}"/>
    <cellStyle name="Moeda 3 10 14 5 3 4 2 3 2" xfId="1157" xr:uid="{981846F7-4ED6-4B39-B5CA-3E8C0C71E97E}"/>
    <cellStyle name="Moeda 3 10 14 5 3 4 2 3 2 2" xfId="2926" xr:uid="{4910D01E-AFF5-45DE-BA99-0871993BBB08}"/>
    <cellStyle name="Moeda 3 10 14 5 3 4 2 3 3" xfId="1649" xr:uid="{292C2C7A-057F-4930-8396-A5DE9256512E}"/>
    <cellStyle name="Moeda 3 10 14 5 3 4 2 3 3 2" xfId="3418" xr:uid="{103BD076-DB3F-4E7B-A7FE-B168BA2D47AD}"/>
    <cellStyle name="Moeda 3 10 14 5 3 4 2 3 4" xfId="2434" xr:uid="{F5A88AF8-70CD-4969-8D45-8B1CD09CB4E7}"/>
    <cellStyle name="Moeda 3 10 14 5 3 4 2 4" xfId="261" xr:uid="{A3FDB5C2-FF4B-4670-A722-0BBC82EB7588}"/>
    <cellStyle name="Moeda 3 10 14 5 3 4 2 4 2" xfId="2045" xr:uid="{176939BC-4192-4782-B8D2-3F247B191D77}"/>
    <cellStyle name="Moeda 3 10 14 5 3 4 2 5" xfId="421" xr:uid="{8359A250-4C9D-4506-91D0-C1BED12192F2}"/>
    <cellStyle name="Moeda 3 10 14 5 3 4 2 5 2" xfId="2199" xr:uid="{210F7FB8-2DD1-41A1-BF71-BDE7C0277B19}"/>
    <cellStyle name="Moeda 3 10 14 5 3 4 2 6" xfId="909" xr:uid="{013CCA13-35C0-45FA-8A6B-43F0B470A1A9}"/>
    <cellStyle name="Moeda 3 10 14 5 3 4 2 6 2" xfId="2678" xr:uid="{A6A5F0D2-6D30-4BC4-8720-49DF80DD2A05}"/>
    <cellStyle name="Moeda 3 10 14 5 3 4 2 7" xfId="1401" xr:uid="{6C9B4544-0648-486E-80EF-F069E947C6A5}"/>
    <cellStyle name="Moeda 3 10 14 5 3 4 2 7 2" xfId="3170" xr:uid="{F6B7EF2F-2425-48AB-A58D-5FA1A6214818}"/>
    <cellStyle name="Moeda 3 10 14 5 3 4 2 8" xfId="1970" xr:uid="{0FDFCF2B-0128-4218-9F67-B40F5BCF28EC}"/>
    <cellStyle name="Moeda 3 10 14 5 3 4 3" xfId="799" xr:uid="{C80E2CEB-C7E1-4043-B230-85C6CB384D0E}"/>
    <cellStyle name="Moeda 3 10 14 5 3 4 3 2" xfId="1291" xr:uid="{4568CECE-9C01-4F5A-AD1C-1BE42A74DA98}"/>
    <cellStyle name="Moeda 3 10 14 5 3 4 3 2 2" xfId="3060" xr:uid="{47B2A099-2788-47DE-9D96-227E1DE29C9E}"/>
    <cellStyle name="Moeda 3 10 14 5 3 4 3 3" xfId="1783" xr:uid="{77575311-DD4A-4599-9421-AF4245128E55}"/>
    <cellStyle name="Moeda 3 10 14 5 3 4 3 3 2" xfId="3552" xr:uid="{E52D92ED-6896-421B-B514-D22988AA27CC}"/>
    <cellStyle name="Moeda 3 10 14 5 3 4 3 4" xfId="2568" xr:uid="{4DAD96C3-7737-426F-B0D9-48FACD04AD4A}"/>
    <cellStyle name="Moeda 3 10 14 5 3 4 4" xfId="646" xr:uid="{A3A7F8D9-4CEB-4FEF-945A-1B9FBC153D01}"/>
    <cellStyle name="Moeda 3 10 14 5 3 4 4 2" xfId="1138" xr:uid="{78B8B27E-521C-4A68-ACA5-594FD4BEC5CC}"/>
    <cellStyle name="Moeda 3 10 14 5 3 4 4 2 2" xfId="2907" xr:uid="{753132CD-4B42-47F4-90C4-C266C4B4CE30}"/>
    <cellStyle name="Moeda 3 10 14 5 3 4 4 3" xfId="1630" xr:uid="{36567CF3-D3F4-40B1-B0BD-9B06EB9B970C}"/>
    <cellStyle name="Moeda 3 10 14 5 3 4 4 3 2" xfId="3399" xr:uid="{47374273-033A-4798-9C87-8055AAC618B5}"/>
    <cellStyle name="Moeda 3 10 14 5 3 4 4 4" xfId="2415" xr:uid="{61067499-BB8F-4449-91D2-08A357F5C127}"/>
    <cellStyle name="Moeda 3 10 14 5 3 4 5" xfId="310" xr:uid="{1B822081-18AF-41DD-8823-A80B57A6C648}"/>
    <cellStyle name="Moeda 3 10 14 5 3 4 5 2" xfId="2088" xr:uid="{75346C35-1FE0-44D0-AF01-30B9A041F30F}"/>
    <cellStyle name="Moeda 3 10 14 5 3 4 6" xfId="401" xr:uid="{57229671-397F-4E2E-A8CB-8AAD5D67C620}"/>
    <cellStyle name="Moeda 3 10 14 5 3 4 6 2" xfId="2179" xr:uid="{55DE95EB-D5A1-4AFA-9F11-41BA47A9CB3D}"/>
    <cellStyle name="Moeda 3 10 14 5 3 4 7" xfId="946" xr:uid="{F1E3588E-C4AD-4389-BCA9-7BFA4B9F288D}"/>
    <cellStyle name="Moeda 3 10 14 5 3 4 7 2" xfId="2715" xr:uid="{83A71A98-4FF2-486C-8479-6E1848496479}"/>
    <cellStyle name="Moeda 3 10 14 5 3 4 8" xfId="1438" xr:uid="{CFAEEEEE-582F-4BCB-9007-543471D10C6E}"/>
    <cellStyle name="Moeda 3 10 14 5 3 4 8 2" xfId="3207" xr:uid="{41ED2A7B-317D-4103-83BA-D019FCC0329C}"/>
    <cellStyle name="Moeda 3 10 14 5 3 4 9" xfId="1951" xr:uid="{A7E0CFC1-00A6-46DE-8B9D-A43C696B8013}"/>
    <cellStyle name="Moeda 3 10 14 5 3 5" xfId="113" xr:uid="{C64DD261-060C-4D26-A755-2F712B888FC2}"/>
    <cellStyle name="Moeda 3 10 14 5 3 5 2" xfId="794" xr:uid="{1849917F-AC5D-40F9-BB32-6D4E2F19C4A8}"/>
    <cellStyle name="Moeda 3 10 14 5 3 5 2 2" xfId="1286" xr:uid="{3B2A2F9F-759C-46D0-8D62-52A247429214}"/>
    <cellStyle name="Moeda 3 10 14 5 3 5 2 2 2" xfId="3055" xr:uid="{7BFF84E5-D3C4-417B-A84A-28092607F937}"/>
    <cellStyle name="Moeda 3 10 14 5 3 5 2 3" xfId="1778" xr:uid="{B421567B-2F43-404C-A525-9E06F12DAB9F}"/>
    <cellStyle name="Moeda 3 10 14 5 3 5 2 3 2" xfId="3547" xr:uid="{6E8DAB18-196A-47A6-A1B5-61751E85C751}"/>
    <cellStyle name="Moeda 3 10 14 5 3 5 2 4" xfId="2563" xr:uid="{960A6992-115E-4238-8B1B-89BDF0305147}"/>
    <cellStyle name="Moeda 3 10 14 5 3 5 3" xfId="134" xr:uid="{0242EC08-E356-4ED1-BB29-BDA4DA3A2071}"/>
    <cellStyle name="Moeda 3 10 14 5 3 5 3 2" xfId="815" xr:uid="{B22537D1-1585-478A-AD1A-0608C05400D4}"/>
    <cellStyle name="Moeda 3 10 14 5 3 5 3 2 2" xfId="334" xr:uid="{478AFA8C-27CD-4177-899F-1D3A08261FE9}"/>
    <cellStyle name="Moeda 3 10 14 5 3 5 3 2 2 2" xfId="965" xr:uid="{E8B1D2E3-5502-421F-AF33-517CAB536DB4}"/>
    <cellStyle name="Moeda 3 10 14 5 3 5 3 2 2 2 2" xfId="2734" xr:uid="{786D98E2-B6D2-4D30-9E91-E9A7F57FCBD0}"/>
    <cellStyle name="Moeda 3 10 14 5 3 5 3 2 2 3" xfId="1457" xr:uid="{81FD2C1B-23DD-4CBF-A334-B0C70624AF65}"/>
    <cellStyle name="Moeda 3 10 14 5 3 5 3 2 2 3 2" xfId="3226" xr:uid="{B8B223B3-7B47-49EA-AFA4-596D179A6EA0}"/>
    <cellStyle name="Moeda 3 10 14 5 3 5 3 2 2 4" xfId="2112" xr:uid="{F5138A51-8E30-4DEA-B8A4-842E9A1F9E6B}"/>
    <cellStyle name="Moeda 3 10 14 5 3 5 3 2 3" xfId="1307" xr:uid="{E93F122C-7871-4A6C-83D8-170B8B03D5F8}"/>
    <cellStyle name="Moeda 3 10 14 5 3 5 3 2 3 2" xfId="3076" xr:uid="{EE6CDF33-5BE6-4828-91A7-C173A66F68C4}"/>
    <cellStyle name="Moeda 3 10 14 5 3 5 3 2 4" xfId="1799" xr:uid="{C918E14E-6C24-41AD-87C6-C246971B4CD0}"/>
    <cellStyle name="Moeda 3 10 14 5 3 5 3 2 4 2" xfId="3568" xr:uid="{667C05B9-32DF-46A0-A257-232943769133}"/>
    <cellStyle name="Moeda 3 10 14 5 3 5 3 2 5" xfId="2584" xr:uid="{76BE1574-3CCD-4470-AFF8-6063BFA98EC1}"/>
    <cellStyle name="Moeda 3 10 14 5 3 5 3 3" xfId="659" xr:uid="{5AC9D604-1DD3-4A45-B27A-262D4FFD09A0}"/>
    <cellStyle name="Moeda 3 10 14 5 3 5 3 3 2" xfId="1151" xr:uid="{4D21CA74-6D7E-47D3-97C1-3C56DE037562}"/>
    <cellStyle name="Moeda 3 10 14 5 3 5 3 3 2 2" xfId="2920" xr:uid="{32F29777-CC87-4641-A9E0-E38F1E631631}"/>
    <cellStyle name="Moeda 3 10 14 5 3 5 3 3 3" xfId="1643" xr:uid="{8DE76040-0249-44BA-B9AC-0A53A28DD0EC}"/>
    <cellStyle name="Moeda 3 10 14 5 3 5 3 3 3 2" xfId="3412" xr:uid="{735A6838-4502-4308-884D-27D7367E0FEE}"/>
    <cellStyle name="Moeda 3 10 14 5 3 5 3 3 4" xfId="2428" xr:uid="{A3AF5151-6C28-4769-8289-87F3E622672C}"/>
    <cellStyle name="Moeda 3 10 14 5 3 5 3 4" xfId="299" xr:uid="{466A17D5-AC00-4197-96E1-21AB933F262C}"/>
    <cellStyle name="Moeda 3 10 14 5 3 5 3 4 2" xfId="2078" xr:uid="{FE159E5B-1947-44FE-AAC9-7EB2BE45DF77}"/>
    <cellStyle name="Moeda 3 10 14 5 3 5 3 5" xfId="416" xr:uid="{A290106F-C671-4612-AAA7-CE40121A363A}"/>
    <cellStyle name="Moeda 3 10 14 5 3 5 3 5 2" xfId="2194" xr:uid="{929986E4-CE09-44A8-90A3-9F7511145BDD}"/>
    <cellStyle name="Moeda 3 10 14 5 3 5 3 6" xfId="939" xr:uid="{B97E8276-8732-47CB-878A-8C37C19028E8}"/>
    <cellStyle name="Moeda 3 10 14 5 3 5 3 6 2" xfId="2708" xr:uid="{BB886688-450D-4A3B-8EE0-334E86196A6B}"/>
    <cellStyle name="Moeda 3 10 14 5 3 5 3 7" xfId="1431" xr:uid="{2D31E861-1880-44C9-93AE-41C810238866}"/>
    <cellStyle name="Moeda 3 10 14 5 3 5 3 7 2" xfId="3200" xr:uid="{A696BBB3-414E-4D8A-A01C-0354B8A1C5DB}"/>
    <cellStyle name="Moeda 3 10 14 5 3 5 3 8" xfId="1964" xr:uid="{F5BD5222-9E5E-425B-8531-6EFB3A963B2C}"/>
    <cellStyle name="Moeda 3 10 14 5 3 5 4" xfId="640" xr:uid="{BC6CB93B-9D2F-4BA2-A0FA-FBB3C554F974}"/>
    <cellStyle name="Moeda 3 10 14 5 3 5 4 2" xfId="1132" xr:uid="{5A678378-1E1B-414F-85BB-18A8E4436FBF}"/>
    <cellStyle name="Moeda 3 10 14 5 3 5 4 2 2" xfId="2901" xr:uid="{87781BE8-2812-4AAC-B747-DF76D636C994}"/>
    <cellStyle name="Moeda 3 10 14 5 3 5 4 3" xfId="1624" xr:uid="{4372E7F3-0467-4F00-9754-8FE1304E0B75}"/>
    <cellStyle name="Moeda 3 10 14 5 3 5 4 3 2" xfId="3393" xr:uid="{94112A44-76EA-4A43-A334-6AD28FDB429B}"/>
    <cellStyle name="Moeda 3 10 14 5 3 5 4 4" xfId="2409" xr:uid="{4820F394-BF51-40BA-A619-7C478B70CA6F}"/>
    <cellStyle name="Moeda 3 10 14 5 3 5 5" xfId="585" xr:uid="{08D0E006-775C-46A6-9465-9D9AE52562F3}"/>
    <cellStyle name="Moeda 3 10 14 5 3 5 5 2" xfId="2354" xr:uid="{76919C97-BABA-4C83-96BA-40E15CC72483}"/>
    <cellStyle name="Moeda 3 10 14 5 3 5 6" xfId="396" xr:uid="{96A95107-0DAA-4870-BE1A-C9DF51102AFC}"/>
    <cellStyle name="Moeda 3 10 14 5 3 5 6 2" xfId="2174" xr:uid="{51CA7490-9678-4657-BDE5-B2CBCD6D272C}"/>
    <cellStyle name="Moeda 3 10 14 5 3 5 7" xfId="1077" xr:uid="{D595BDA5-0EBE-4FC9-B508-C43C33FB66B2}"/>
    <cellStyle name="Moeda 3 10 14 5 3 5 7 2" xfId="2846" xr:uid="{72FF0912-0B0E-482D-9726-96E8954CD901}"/>
    <cellStyle name="Moeda 3 10 14 5 3 5 8" xfId="1569" xr:uid="{AB9F218E-F9E7-41B4-AAC5-F66A4B34950E}"/>
    <cellStyle name="Moeda 3 10 14 5 3 5 8 2" xfId="3338" xr:uid="{F7D9D708-1DEA-4292-9068-9076D9C4D112}"/>
    <cellStyle name="Moeda 3 10 14 5 3 5 9" xfId="1945" xr:uid="{1904BEA6-2EFD-4C8C-8B97-C6F81E80D7C7}"/>
    <cellStyle name="Moeda 3 10 14 5 3 6" xfId="594" xr:uid="{A8610DA3-5294-405B-BF43-0B4B74F7DAEF}"/>
    <cellStyle name="Moeda 3 10 14 5 3 6 2" xfId="2363" xr:uid="{1A6B1768-1146-4B1B-BA09-21DF51625F81}"/>
    <cellStyle name="Moeda 3 10 14 5 3 7" xfId="368" xr:uid="{9820DDC5-B040-4C86-A519-1E51BF81A81C}"/>
    <cellStyle name="Moeda 3 10 14 5 3 7 2" xfId="2146" xr:uid="{6F948B4F-3543-408F-A564-2DD22591B391}"/>
    <cellStyle name="Moeda 3 10 14 5 3 8" xfId="1086" xr:uid="{A778AFCC-A861-4CDE-9CFE-C13E9F831450}"/>
    <cellStyle name="Moeda 3 10 14 5 3 8 2" xfId="2855" xr:uid="{F1EC3201-B7CC-455C-A2D0-656C4F021E05}"/>
    <cellStyle name="Moeda 3 10 14 5 3 9" xfId="1578" xr:uid="{39AAE29A-19B1-4B9A-BF87-0EA894B9E256}"/>
    <cellStyle name="Moeda 3 10 14 5 3 9 2" xfId="3347" xr:uid="{D396F823-5068-4CB9-9E7F-395EEDEBA0BE}"/>
    <cellStyle name="Moeda 3 10 14 5 4" xfId="605" xr:uid="{46F9288D-3B29-41FC-80FD-FE22E904C7D9}"/>
    <cellStyle name="Moeda 3 10 14 5 4 2" xfId="1097" xr:uid="{4558687E-EABE-4B13-8980-F09F541E2A85}"/>
    <cellStyle name="Moeda 3 10 14 5 4 2 2" xfId="2866" xr:uid="{DC625A81-A271-4C27-B974-D5785198A71E}"/>
    <cellStyle name="Moeda 3 10 14 5 4 3" xfId="1589" xr:uid="{E0838239-1C4E-4E08-A1DD-316D30E08080}"/>
    <cellStyle name="Moeda 3 10 14 5 4 3 2" xfId="3358" xr:uid="{F174A235-6877-4591-A344-6D4782362347}"/>
    <cellStyle name="Moeda 3 10 14 5 4 4" xfId="2374" xr:uid="{51282099-DFAC-47FC-90DD-BD91A050452B}"/>
    <cellStyle name="Moeda 3 10 14 5 5" xfId="266" xr:uid="{E2103E20-039F-4CD4-A99F-E8CFB8969575}"/>
    <cellStyle name="Moeda 3 10 14 5 5 2" xfId="2050" xr:uid="{5C28206D-D825-4FDE-AB39-CE2E57E7B5D3}"/>
    <cellStyle name="Moeda 3 10 14 5 6" xfId="360" xr:uid="{551759BD-DF33-4298-93FF-5A7EEC042017}"/>
    <cellStyle name="Moeda 3 10 14 5 6 2" xfId="2138" xr:uid="{43E3883C-C969-43F3-8413-27FF5249923A}"/>
    <cellStyle name="Moeda 3 10 14 5 7" xfId="914" xr:uid="{512CDD94-09A9-4C84-A051-41BF3A255176}"/>
    <cellStyle name="Moeda 3 10 14 5 7 2" xfId="2683" xr:uid="{2572863F-1C7C-4C67-94A6-A4B622AA700F}"/>
    <cellStyle name="Moeda 3 10 14 5 8" xfId="1406" xr:uid="{722E697D-0CCA-493B-B086-4EC30D12DF4D}"/>
    <cellStyle name="Moeda 3 10 14 5 8 2" xfId="3175" xr:uid="{B05A3811-D8D7-4D69-822E-D641B3438D45}"/>
    <cellStyle name="Moeda 3 10 14 5 9" xfId="1910" xr:uid="{2B99F801-3748-4754-9868-5647F37430ED}"/>
    <cellStyle name="Moeda 3 10 14 6" xfId="538" xr:uid="{60A2599F-C884-4F00-A064-362902EDA137}"/>
    <cellStyle name="Moeda 3 10 14 6 2" xfId="1042" xr:uid="{08FD03E1-DB52-466E-B035-5A63153A4917}"/>
    <cellStyle name="Moeda 3 10 14 6 2 2" xfId="2811" xr:uid="{C61C52F5-7A68-424A-B7D6-F7BCBF8CD75A}"/>
    <cellStyle name="Moeda 3 10 14 6 3" xfId="1534" xr:uid="{8DD7A5E6-D3C3-4358-979D-3822A18E0A2C}"/>
    <cellStyle name="Moeda 3 10 14 6 3 2" xfId="3303" xr:uid="{DFF5414F-893E-4A54-B850-954B5CE2A1F2}"/>
    <cellStyle name="Moeda 3 10 14 6 4" xfId="2307" xr:uid="{9CE1C808-FF87-4BA9-9271-B53ABFB28382}"/>
    <cellStyle name="Moeda 3 10 14 7" xfId="267" xr:uid="{95575371-C536-4B10-AC1A-538CB3690D2A}"/>
    <cellStyle name="Moeda 3 10 14 7 2" xfId="2051" xr:uid="{8C84D108-2F0A-439B-8F5D-C617607E9FE0}"/>
    <cellStyle name="Moeda 3 10 14 8" xfId="246" xr:uid="{F06982A4-7962-4911-914F-9C2928BC01CC}"/>
    <cellStyle name="Moeda 3 10 14 8 2" xfId="2030" xr:uid="{B827A6C9-AB64-401C-9BD4-6360875A45BE}"/>
    <cellStyle name="Moeda 3 10 14 9" xfId="894" xr:uid="{9841B37B-54EE-4623-9E3F-7AED7D623C2F}"/>
    <cellStyle name="Moeda 3 10 14 9 2" xfId="2663" xr:uid="{E32433CE-CAB1-451F-ADC7-1D55B2AA5DB0}"/>
    <cellStyle name="Moeda 3 10 2" xfId="705" xr:uid="{53D7C2F8-B26D-4924-B3C5-7EE0894ECEA4}"/>
    <cellStyle name="Moeda 3 10 2 2" xfId="476" xr:uid="{9B05D167-60AB-465A-9B1C-352144442883}"/>
    <cellStyle name="Moeda 3 10 2 2 11" xfId="69" xr:uid="{4AB1A64A-FAF9-4661-A076-A3CB7CEA0251}"/>
    <cellStyle name="Moeda 3 10 2 2 11 2" xfId="754" xr:uid="{2D8B9FCE-3E37-497E-8A80-F56259E911F2}"/>
    <cellStyle name="Moeda 3 10 2 2 11 2 2" xfId="1246" xr:uid="{0306A714-7C70-4B01-ABA9-E81A1FC73589}"/>
    <cellStyle name="Moeda 3 10 2 2 11 2 2 2" xfId="3015" xr:uid="{096A9274-9261-4131-956F-658E50A9A4F7}"/>
    <cellStyle name="Moeda 3 10 2 2 11 2 3" xfId="1738" xr:uid="{37C23DEC-048A-43C0-9CB0-CC811ED89BD2}"/>
    <cellStyle name="Moeda 3 10 2 2 11 2 3 2" xfId="3507" xr:uid="{54CC356C-534D-4CD6-82E3-C8864DF5CDD6}"/>
    <cellStyle name="Moeda 3 10 2 2 11 2 4" xfId="2523" xr:uid="{6E26BC1E-5CB7-4C9E-AE10-3439ED6EF5E4}"/>
    <cellStyle name="Moeda 3 10 2 2 11 3" xfId="104" xr:uid="{863AC85B-6CF0-48BB-B060-B5DAF4B56195}"/>
    <cellStyle name="Moeda 3 10 2 2 11 3 2" xfId="782" xr:uid="{199F9B14-5F8B-4AEC-B0F8-F6837385F59B}"/>
    <cellStyle name="Moeda 3 10 2 2 11 3 2 2" xfId="1274" xr:uid="{1258FC68-F654-426C-B5D4-D8650E25C2E7}"/>
    <cellStyle name="Moeda 3 10 2 2 11 3 2 2 2" xfId="3043" xr:uid="{C697127B-56F3-445C-8725-3C2F47FB23FF}"/>
    <cellStyle name="Moeda 3 10 2 2 11 3 2 3" xfId="1766" xr:uid="{6D8775E9-7FBE-436F-A7CF-94A3ED7548BF}"/>
    <cellStyle name="Moeda 3 10 2 2 11 3 2 3 2" xfId="3535" xr:uid="{C97BA24D-1199-411C-B875-BD2FA86FBCE5}"/>
    <cellStyle name="Moeda 3 10 2 2 11 3 2 4" xfId="2551" xr:uid="{6A9AC1F0-56B1-4D63-B488-011C10689D8F}"/>
    <cellStyle name="Moeda 3 10 2 2 11 3 3" xfId="631" xr:uid="{41DAC5DC-EA1E-4F16-85AC-CFB9CF6F200B}"/>
    <cellStyle name="Moeda 3 10 2 2 11 3 3 2" xfId="1123" xr:uid="{F3AC7499-2C96-46B4-973E-A87DA2AE117B}"/>
    <cellStyle name="Moeda 3 10 2 2 11 3 3 2 2" xfId="2892" xr:uid="{F9895308-BAA5-4080-B7C5-D1A5C1990CE0}"/>
    <cellStyle name="Moeda 3 10 2 2 11 3 3 3" xfId="1615" xr:uid="{C84B48F8-1DAE-4439-8126-16C7C82767AD}"/>
    <cellStyle name="Moeda 3 10 2 2 11 3 3 3 2" xfId="3384" xr:uid="{541C9010-E1B6-43B2-A717-78C469593851}"/>
    <cellStyle name="Moeda 3 10 2 2 11 3 3 4" xfId="2400" xr:uid="{B261BEC0-914C-4608-89E3-5049A4B16F35}"/>
    <cellStyle name="Moeda 3 10 2 2 11 3 4" xfId="145" xr:uid="{7D149D8A-104A-4B85-BE87-6E7CFC1DCF3A}"/>
    <cellStyle name="Moeda 3 10 2 2 11 3 4 2" xfId="161" xr:uid="{33C6BE01-4309-4FDE-9B60-23C4385C6813}"/>
    <cellStyle name="Moeda 3 10 2 2 11 3 4 2 2" xfId="841" xr:uid="{A9B257C4-DAF7-4573-B4D4-FC4D62FAB3AC}"/>
    <cellStyle name="Moeda 3 10 2 2 11 3 4 2 2 2" xfId="1333" xr:uid="{4D44B581-B965-4B56-82DF-A48038F25ADC}"/>
    <cellStyle name="Moeda 3 10 2 2 11 3 4 2 2 2 2" xfId="3102" xr:uid="{D85C8E9B-AC9C-4B6A-91BA-42C9C2D9350B}"/>
    <cellStyle name="Moeda 3 10 2 2 11 3 4 2 2 3" xfId="1825" xr:uid="{450A8271-3327-41B1-903C-9B57A5C96369}"/>
    <cellStyle name="Moeda 3 10 2 2 11 3 4 2 2 3 2" xfId="3594" xr:uid="{1CDDDDBD-BFCA-4121-95B0-7F4BE0AC8DA7}"/>
    <cellStyle name="Moeda 3 10 2 2 11 3 4 2 2 4" xfId="2610" xr:uid="{5C5C5F16-C530-455F-B02E-0AF710545158}"/>
    <cellStyle name="Moeda 3 10 2 2 11 3 4 2 3" xfId="686" xr:uid="{37E05C76-2A48-4381-ABA5-491914750EE3}"/>
    <cellStyle name="Moeda 3 10 2 2 11 3 4 2 3 2" xfId="1178" xr:uid="{2A04DD10-540E-4687-B52B-E8A518A201B1}"/>
    <cellStyle name="Moeda 3 10 2 2 11 3 4 2 3 2 2" xfId="2947" xr:uid="{1FE272B1-9866-40D1-9E85-31A0A82AC538}"/>
    <cellStyle name="Moeda 3 10 2 2 11 3 4 2 3 3" xfId="1670" xr:uid="{D042776B-349B-4E79-8753-EB484A5521B2}"/>
    <cellStyle name="Moeda 3 10 2 2 11 3 4 2 3 3 2" xfId="3439" xr:uid="{A63258A2-41D5-45A1-B55A-0DAD2294EB21}"/>
    <cellStyle name="Moeda 3 10 2 2 11 3 4 2 3 4" xfId="2455" xr:uid="{53B495C5-F35E-43D1-A23B-F2513CAD1CC2}"/>
    <cellStyle name="Moeda 3 10 2 2 11 3 4 2 4" xfId="469" xr:uid="{FEF48816-0D51-4E13-B90B-08C98665D0F6}"/>
    <cellStyle name="Moeda 3 10 2 2 11 3 4 2 4 2" xfId="2238" xr:uid="{5D03DCB0-F7D8-46B6-BC16-6CC118141345}"/>
    <cellStyle name="Moeda 3 10 2 2 11 3 4 2 5" xfId="442" xr:uid="{D364B738-A0E6-47DC-8B84-FA1AB80E9528}"/>
    <cellStyle name="Moeda 3 10 2 2 11 3 4 2 5 2" xfId="2220" xr:uid="{F3A75C99-E870-4D8E-BE84-1342BA6908C9}"/>
    <cellStyle name="Moeda 3 10 2 2 11 3 4 2 6" xfId="986" xr:uid="{60927E93-3F84-48CD-ADD8-611D75646FB0}"/>
    <cellStyle name="Moeda 3 10 2 2 11 3 4 2 6 2" xfId="2755" xr:uid="{BCE14909-D2C6-41C0-9A2C-D31D74FC995B}"/>
    <cellStyle name="Moeda 3 10 2 2 11 3 4 2 7" xfId="1478" xr:uid="{8C01626F-EE77-4C4B-939E-43F7FC39D68A}"/>
    <cellStyle name="Moeda 3 10 2 2 11 3 4 2 7 2" xfId="3247" xr:uid="{FF2A4923-1278-4C4D-97B4-B052549D890D}"/>
    <cellStyle name="Moeda 3 10 2 2 11 3 4 2 8" xfId="1991" xr:uid="{81F95589-64C7-4779-A943-CDD1C644596D}"/>
    <cellStyle name="Moeda 3 10 2 2 11 3 4 3" xfId="826" xr:uid="{F1D2439E-AF77-4164-A025-0CBE4DD7A9B0}"/>
    <cellStyle name="Moeda 3 10 2 2 11 3 4 3 2" xfId="1318" xr:uid="{39C50B1C-49AF-4C32-B58D-508CD69DD406}"/>
    <cellStyle name="Moeda 3 10 2 2 11 3 4 3 2 2" xfId="3087" xr:uid="{AA7AB53D-1B40-41DC-82E5-EC1BCE98A3E2}"/>
    <cellStyle name="Moeda 3 10 2 2 11 3 4 3 3" xfId="1810" xr:uid="{4E30A7AD-7315-404A-928C-16F3EF819E6C}"/>
    <cellStyle name="Moeda 3 10 2 2 11 3 4 3 3 2" xfId="3579" xr:uid="{43132668-B5D1-4DFE-B77B-3DC78018DB4E}"/>
    <cellStyle name="Moeda 3 10 2 2 11 3 4 3 4" xfId="2595" xr:uid="{F98AB2AA-B106-4D7C-9DD0-C8CD6D041072}"/>
    <cellStyle name="Moeda 3 10 2 2 11 3 4 4" xfId="670" xr:uid="{24738A22-8535-4414-80C3-57A3C0DBE127}"/>
    <cellStyle name="Moeda 3 10 2 2 11 3 4 4 2" xfId="1162" xr:uid="{1D3E0F86-3810-40BC-B07B-B6A93019BEF1}"/>
    <cellStyle name="Moeda 3 10 2 2 11 3 4 4 2 2" xfId="2931" xr:uid="{C24B8749-9DB5-4C9B-AF9D-E7243DF54BB8}"/>
    <cellStyle name="Moeda 3 10 2 2 11 3 4 4 3" xfId="1654" xr:uid="{C399F4A9-B67C-4D46-B571-762D082CBF7D}"/>
    <cellStyle name="Moeda 3 10 2 2 11 3 4 4 3 2" xfId="3423" xr:uid="{1717378D-B9BF-4D73-8568-8CA9AE010B07}"/>
    <cellStyle name="Moeda 3 10 2 2 11 3 4 4 4" xfId="2439" xr:uid="{42A805FC-EF2D-4679-9BB7-81240BF17F7B}"/>
    <cellStyle name="Moeda 3 10 2 2 11 3 4 5" xfId="275" xr:uid="{1C5A46BB-3CA1-49E0-B589-D71D411A66F6}"/>
    <cellStyle name="Moeda 3 10 2 2 11 3 4 5 2" xfId="2059" xr:uid="{B1B9E6F9-8B3D-4890-AEC9-1AF2D2F5B3BC}"/>
    <cellStyle name="Moeda 3 10 2 2 11 3 4 6" xfId="427" xr:uid="{BC1F184B-D33B-4334-9965-986292702B8E}"/>
    <cellStyle name="Moeda 3 10 2 2 11 3 4 6 2" xfId="2205" xr:uid="{BC971335-6371-4866-9D17-36F30EFD5B37}"/>
    <cellStyle name="Moeda 3 10 2 2 11 3 4 7" xfId="922" xr:uid="{01A44821-84B3-484B-A219-D565D9E3963A}"/>
    <cellStyle name="Moeda 3 10 2 2 11 3 4 7 2" xfId="2691" xr:uid="{39DAF030-52BF-4CB8-8494-4D4488F105B6}"/>
    <cellStyle name="Moeda 3 10 2 2 11 3 4 8" xfId="1414" xr:uid="{AA82E149-B486-40B3-B590-84AD0C0E2FFC}"/>
    <cellStyle name="Moeda 3 10 2 2 11 3 4 8 2" xfId="3183" xr:uid="{D2BBC9F5-B4E8-430F-A0BD-5E348F0CE945}"/>
    <cellStyle name="Moeda 3 10 2 2 11 3 4 9" xfId="1975" xr:uid="{883B11A7-FB4D-4BCF-87CD-5BBC2958ED27}"/>
    <cellStyle name="Moeda 3 10 2 2 11 3 5" xfId="514" xr:uid="{466292E5-8D49-4F9C-83A2-C52D8714BC5B}"/>
    <cellStyle name="Moeda 3 10 2 2 11 3 5 2" xfId="2283" xr:uid="{501DBB13-73C5-4E0D-AE0A-518C67602AC6}"/>
    <cellStyle name="Moeda 3 10 2 2 11 3 6" xfId="384" xr:uid="{0D1A35B4-CA9C-44D7-A7B5-E58EDF87BED1}"/>
    <cellStyle name="Moeda 3 10 2 2 11 3 6 2" xfId="2162" xr:uid="{8C150266-083F-44D5-8885-183C3D6CF93C}"/>
    <cellStyle name="Moeda 3 10 2 2 11 3 7" xfId="1022" xr:uid="{8B57FCD3-7FF2-4B20-B6B7-BDA7F7B41235}"/>
    <cellStyle name="Moeda 3 10 2 2 11 3 7 2" xfId="2791" xr:uid="{8553F1B1-01D7-49C0-81BA-F0B77C5ABA99}"/>
    <cellStyle name="Moeda 3 10 2 2 11 3 8" xfId="1514" xr:uid="{166EDF63-4445-4E06-B727-1266F48BE463}"/>
    <cellStyle name="Moeda 3 10 2 2 11 3 8 2" xfId="3283" xr:uid="{DB9AF7FF-492C-40CC-B9C2-45C8F7D25142}"/>
    <cellStyle name="Moeda 3 10 2 2 11 3 9" xfId="1936" xr:uid="{83A720D0-93A1-4911-ABF9-FFA13EE2ED92}"/>
    <cellStyle name="Moeda 3 10 2 2 11 4" xfId="602" xr:uid="{18923E25-DDA1-451D-840F-824C74598419}"/>
    <cellStyle name="Moeda 3 10 2 2 11 4 2" xfId="1094" xr:uid="{EABCB80B-3BF5-4D71-8A44-AE4F6092674F}"/>
    <cellStyle name="Moeda 3 10 2 2 11 4 2 2" xfId="2863" xr:uid="{84745E1C-CBF8-4CD6-B6C3-0CC1630466A9}"/>
    <cellStyle name="Moeda 3 10 2 2 11 4 3" xfId="1586" xr:uid="{5B2F1D28-6750-4336-A4D4-CCFE1C2BF7DE}"/>
    <cellStyle name="Moeda 3 10 2 2 11 4 3 2" xfId="3355" xr:uid="{A9DFB249-B781-4275-A760-DFCE1D1D58A8}"/>
    <cellStyle name="Moeda 3 10 2 2 11 4 4" xfId="2371" xr:uid="{69F5CB1D-3F31-49E4-9571-ACE9B3045D31}"/>
    <cellStyle name="Moeda 3 10 2 2 11 5" xfId="523" xr:uid="{782F3565-ACB1-4F41-B365-EFDBF1E113A2}"/>
    <cellStyle name="Moeda 3 10 2 2 11 5 2" xfId="2292" xr:uid="{8DA5DBC0-3C0B-4920-B755-D081A564FC8A}"/>
    <cellStyle name="Moeda 3 10 2 2 11 6" xfId="357" xr:uid="{8F41687B-C32C-48A9-8E5A-7E31D3E5F863}"/>
    <cellStyle name="Moeda 3 10 2 2 11 6 2" xfId="2135" xr:uid="{46F2BAD6-4CED-4000-9538-ED5F49EB30AE}"/>
    <cellStyle name="Moeda 3 10 2 2 11 7" xfId="1028" xr:uid="{BAD63F39-84B0-444E-8B40-15280F8D4B48}"/>
    <cellStyle name="Moeda 3 10 2 2 11 7 2" xfId="2797" xr:uid="{4F3B9E00-1174-4FAF-9426-D7D01A13CD99}"/>
    <cellStyle name="Moeda 3 10 2 2 11 8" xfId="1520" xr:uid="{0B118FE3-97EE-447F-9D54-5A600BFA7DA7}"/>
    <cellStyle name="Moeda 3 10 2 2 11 8 2" xfId="3289" xr:uid="{B1004F4F-A940-4ECA-A66A-12102BA06B79}"/>
    <cellStyle name="Moeda 3 10 2 2 11 9" xfId="1907" xr:uid="{BBA83E16-8359-4BC4-94F0-99BA5C91AD2E}"/>
    <cellStyle name="Moeda 3 10 2 2 2" xfId="21" xr:uid="{47E536F1-97C4-4CEA-A96F-C5576974F9B6}"/>
    <cellStyle name="Moeda 3 10 2 2 2 10" xfId="1368" xr:uid="{37A29978-6F59-443E-A8A2-2DC3C2DAECC7}"/>
    <cellStyle name="Moeda 3 10 2 2 2 10 2" xfId="3137" xr:uid="{2C6B8E28-6DC2-49E5-B377-A90C6D7D5808}"/>
    <cellStyle name="Moeda 3 10 2 2 2 11" xfId="1871" xr:uid="{B4AC602F-78C3-4F46-96CD-FADFDE9C5008}"/>
    <cellStyle name="Moeda 3 10 2 2 2 2" xfId="32" xr:uid="{75FD7FA4-EDE0-47D4-AA82-8017B7523C4B}"/>
    <cellStyle name="Moeda 3 10 2 2 2 2 10" xfId="880" xr:uid="{D59F71FF-9BE4-4176-A7F8-B9E98F321343}"/>
    <cellStyle name="Moeda 3 10 2 2 2 2 10 2" xfId="2649" xr:uid="{406B1462-FC9D-4220-AACC-9BF9A8F7B4A9}"/>
    <cellStyle name="Moeda 3 10 2 2 2 2 11" xfId="1372" xr:uid="{E2101444-4E88-4F2A-821C-AA07AAE07ACD}"/>
    <cellStyle name="Moeda 3 10 2 2 2 2 11 2" xfId="3141" xr:uid="{C442531E-257B-488E-B5BD-CC0607753BC8}"/>
    <cellStyle name="Moeda 3 10 2 2 2 2 12" xfId="1875" xr:uid="{FA5436E5-B020-4B08-A9C7-D3AE8D241C5D}"/>
    <cellStyle name="Moeda 3 10 2 2 2 2 13" xfId="3635" xr:uid="{0E2F7AC3-A315-48A8-A8E0-A4D98F9681E8}"/>
    <cellStyle name="Moeda 3 10 2 2 2 2 2" xfId="38" xr:uid="{38B9E498-BADD-41F7-A02B-CED6F5494CAD}"/>
    <cellStyle name="Moeda 3 10 2 2 2 2 2 10" xfId="1377" xr:uid="{1FEB7FD6-DDBC-408B-95F2-C629A2C2F1B0}"/>
    <cellStyle name="Moeda 3 10 2 2 2 2 2 10 2" xfId="3146" xr:uid="{30803FF9-BDA0-4B87-A498-2FF9C04CE1CB}"/>
    <cellStyle name="Moeda 3 10 2 2 2 2 2 11" xfId="1880" xr:uid="{4B348CE0-F6E4-47C2-8971-92E0E191070D}"/>
    <cellStyle name="Moeda 3 10 2 2 2 2 2 2" xfId="46" xr:uid="{C9D72D32-C869-4E55-BA68-997527D4F75C}"/>
    <cellStyle name="Moeda 3 10 2 2 2 2 2 2 2" xfId="734" xr:uid="{352D5019-A2C1-4AAE-A9E0-B78C089874CB}"/>
    <cellStyle name="Moeda 3 10 2 2 2 2 2 2 2 11" xfId="3634" xr:uid="{462BD63E-52DF-4320-8555-E205197946C5}"/>
    <cellStyle name="Moeda 3 10 2 2 2 2 2 2 2 2" xfId="329" xr:uid="{185A5A08-3404-4FBB-9AE0-8414A64ADFB2}"/>
    <cellStyle name="Moeda 3 10 2 2 2 2 2 2 2 2 2" xfId="960" xr:uid="{C6587F66-DFB3-4FEB-9CEA-84F175723EC3}"/>
    <cellStyle name="Moeda 3 10 2 2 2 2 2 2 2 2 2 2" xfId="2729" xr:uid="{C4FADC7F-E9C5-40A4-B208-BAC999D31E45}"/>
    <cellStyle name="Moeda 3 10 2 2 2 2 2 2 2 2 3" xfId="1452" xr:uid="{C524EF9D-9C56-4B2C-97B5-D3CE23E01CFF}"/>
    <cellStyle name="Moeda 3 10 2 2 2 2 2 2 2 2 3 2" xfId="3221" xr:uid="{09E46FDE-C076-449F-A4D2-9A210C89AD7F}"/>
    <cellStyle name="Moeda 3 10 2 2 2 2 2 2 2 2 4" xfId="2107" xr:uid="{A3B302C2-6CEF-4B4D-A600-5DD4D836FA56}"/>
    <cellStyle name="Moeda 3 10 2 2 2 2 2 2 2 3" xfId="1226" xr:uid="{2563C73C-3B7F-488B-BC4B-94C541D63EB4}"/>
    <cellStyle name="Moeda 3 10 2 2 2 2 2 2 2 3 2" xfId="2995" xr:uid="{9302C582-EF00-41D3-9E67-A821D2E9B120}"/>
    <cellStyle name="Moeda 3 10 2 2 2 2 2 2 2 3 3" xfId="3636" xr:uid="{A7C18282-96F8-4F6A-99B0-366D5694F812}"/>
    <cellStyle name="Moeda 3 10 2 2 2 2 2 2 2 4" xfId="1718" xr:uid="{8DC585EF-399F-4967-A0E6-6E1B97964F60}"/>
    <cellStyle name="Moeda 3 10 2 2 2 2 2 2 2 4 2" xfId="3487" xr:uid="{9DFE93B1-FA96-4CDF-942A-9F6DCF8C03FF}"/>
    <cellStyle name="Moeda 3 10 2 2 2 2 2 2 2 5" xfId="2503" xr:uid="{B2D4C639-3416-4B74-B32F-049314FA1DC0}"/>
    <cellStyle name="Moeda 3 10 2 2 2 2 2 2 3" xfId="295" xr:uid="{D071A48B-877A-4E94-A555-D367C553A709}"/>
    <cellStyle name="Moeda 3 10 2 2 2 2 2 2 3 2" xfId="936" xr:uid="{7FD8EFA2-0238-4408-BA0E-64CB8606B84E}"/>
    <cellStyle name="Moeda 3 10 2 2 2 2 2 2 3 2 2" xfId="2705" xr:uid="{2168D10C-1EDF-4F41-A9C9-9D92B06ACBC4}"/>
    <cellStyle name="Moeda 3 10 2 2 2 2 2 2 3 3" xfId="1428" xr:uid="{CB1A72EA-0547-43C5-9C6C-97CF71A2B631}"/>
    <cellStyle name="Moeda 3 10 2 2 2 2 2 2 3 3 2" xfId="3197" xr:uid="{C640A5F5-9B31-48CB-A4C6-51C145A8B918}"/>
    <cellStyle name="Moeda 3 10 2 2 2 2 2 2 3 4" xfId="2074" xr:uid="{579D1E64-6C97-4E64-A83D-C24A1D6F8CD6}"/>
    <cellStyle name="Moeda 3 10 2 2 2 2 2 2 4" xfId="73" xr:uid="{0A2F5AE7-F670-4EC2-841C-DB4132B193DD}"/>
    <cellStyle name="Moeda 3 10 2 2 2 2 2 2 4 10" xfId="1911" xr:uid="{861A7729-9CAE-4CA0-9525-DB6448345E66}"/>
    <cellStyle name="Moeda 3 10 2 2 2 2 2 2 4 2" xfId="87" xr:uid="{13A61315-E2CE-4EDC-807D-CBDA5E5DCA50}"/>
    <cellStyle name="Moeda 3 10 2 2 2 2 2 2 4 2 2" xfId="111" xr:uid="{817BA861-72C9-45F0-A565-BB8AB8EE8CED}"/>
    <cellStyle name="Moeda 3 10 2 2 2 2 2 2 4 2 2 2" xfId="793" xr:uid="{D3D6C63C-9580-4B8E-8A32-DC6730B6FD76}"/>
    <cellStyle name="Moeda 3 10 2 2 2 2 2 2 4 2 2 2 2" xfId="1285" xr:uid="{7E182FD9-A41B-47DE-9527-3784D12560B7}"/>
    <cellStyle name="Moeda 3 10 2 2 2 2 2 2 4 2 2 2 2 2" xfId="3054" xr:uid="{C19D6D90-E3A3-4D1B-8B23-20B9B8BABA9A}"/>
    <cellStyle name="Moeda 3 10 2 2 2 2 2 2 4 2 2 2 3" xfId="1777" xr:uid="{F67FFD0F-3F36-4639-9095-1CF909C14F7A}"/>
    <cellStyle name="Moeda 3 10 2 2 2 2 2 2 4 2 2 2 3 2" xfId="3546" xr:uid="{C0689E9B-7FC9-42D8-850B-204175F35219}"/>
    <cellStyle name="Moeda 3 10 2 2 2 2 2 2 4 2 2 2 4" xfId="2562" xr:uid="{702334D8-7D10-4831-BDAD-51335CC5F044}"/>
    <cellStyle name="Moeda 3 10 2 2 2 2 2 2 4 2 2 3" xfId="133" xr:uid="{517A9030-065C-4FBC-B4FF-02C95F4B4635}"/>
    <cellStyle name="Moeda 3 10 2 2 2 2 2 2 4 2 2 3 2" xfId="813" xr:uid="{0E3EA9B3-3018-4611-864E-C6B2A6A34EBB}"/>
    <cellStyle name="Moeda 3 10 2 2 2 2 2 2 4 2 2 3 2 2" xfId="1305" xr:uid="{77F5FF0D-DD51-46E8-B409-409B001E896F}"/>
    <cellStyle name="Moeda 3 10 2 2 2 2 2 2 4 2 2 3 2 2 2" xfId="3074" xr:uid="{1D9B5453-091C-424E-B693-7C9A177CB63F}"/>
    <cellStyle name="Moeda 3 10 2 2 2 2 2 2 4 2 2 3 2 3" xfId="1797" xr:uid="{01ECDE22-9019-4C30-AFB1-A99935B940C4}"/>
    <cellStyle name="Moeda 3 10 2 2 2 2 2 2 4 2 2 3 2 3 2" xfId="3566" xr:uid="{E28D3B66-3D46-4E43-ADC6-6B7C5C3470CA}"/>
    <cellStyle name="Moeda 3 10 2 2 2 2 2 2 4 2 2 3 2 4" xfId="2582" xr:uid="{B34C0435-0422-4C2C-9092-F125D27186DC}"/>
    <cellStyle name="Moeda 3 10 2 2 2 2 2 2 4 2 2 3 3" xfId="658" xr:uid="{2ABB2597-6AC8-44D6-B3EB-85097D1DA650}"/>
    <cellStyle name="Moeda 3 10 2 2 2 2 2 2 4 2 2 3 3 2" xfId="1150" xr:uid="{B6BD8D3C-2F38-4AB7-B223-E113D2273323}"/>
    <cellStyle name="Moeda 3 10 2 2 2 2 2 2 4 2 2 3 3 2 2" xfId="2919" xr:uid="{89E00211-36DD-45A7-AEDD-3E3BCBF5A3A0}"/>
    <cellStyle name="Moeda 3 10 2 2 2 2 2 2 4 2 2 3 3 3" xfId="1642" xr:uid="{3D961084-7D54-43D7-954E-D430122A542C}"/>
    <cellStyle name="Moeda 3 10 2 2 2 2 2 2 4 2 2 3 3 3 2" xfId="3411" xr:uid="{6AD44DC7-EBBA-405F-97B5-7B479B459213}"/>
    <cellStyle name="Moeda 3 10 2 2 2 2 2 2 4 2 2 3 3 4" xfId="2427" xr:uid="{5152A987-2D31-43D7-88C9-F1CE2D6D4CE5}"/>
    <cellStyle name="Moeda 3 10 2 2 2 2 2 2 4 2 2 3 4" xfId="488" xr:uid="{E4F42F24-EE10-43D9-B4D7-A2222C64E119}"/>
    <cellStyle name="Moeda 3 10 2 2 2 2 2 2 4 2 2 3 4 2" xfId="2257" xr:uid="{B700FFFB-C91D-4900-81E9-38473FD1ED33}"/>
    <cellStyle name="Moeda 3 10 2 2 2 2 2 2 4 2 2 3 5" xfId="414" xr:uid="{6A857289-01BB-43C8-B9D6-12F9A0648AB8}"/>
    <cellStyle name="Moeda 3 10 2 2 2 2 2 2 4 2 2 3 5 2" xfId="2192" xr:uid="{601E4A2B-2CAC-4232-A286-F695DD49598C}"/>
    <cellStyle name="Moeda 3 10 2 2 2 2 2 2 4 2 2 3 6" xfId="1002" xr:uid="{84DCD1F8-0057-4286-88C7-FAB2EE787A31}"/>
    <cellStyle name="Moeda 3 10 2 2 2 2 2 2 4 2 2 3 6 2" xfId="2771" xr:uid="{0C0C8BB4-0C64-413A-A746-B442C31C0464}"/>
    <cellStyle name="Moeda 3 10 2 2 2 2 2 2 4 2 2 3 7" xfId="1494" xr:uid="{A0EED0F1-F926-425F-AC01-4A5FE62942FD}"/>
    <cellStyle name="Moeda 3 10 2 2 2 2 2 2 4 2 2 3 7 2" xfId="3263" xr:uid="{D180CE7C-08FD-4DF7-95F8-4CD03D117080}"/>
    <cellStyle name="Moeda 3 10 2 2 2 2 2 2 4 2 2 3 8" xfId="1963" xr:uid="{081D32E1-D32B-488A-8C17-4414888B2BF2}"/>
    <cellStyle name="Moeda 3 10 2 2 2 2 2 2 4 2 2 4" xfId="638" xr:uid="{5BDA3A98-1DEA-4AA9-BF7E-665AEA88EE2C}"/>
    <cellStyle name="Moeda 3 10 2 2 2 2 2 2 4 2 2 4 2" xfId="1130" xr:uid="{DD40EEAF-31E4-4027-9D50-02DADBF670C6}"/>
    <cellStyle name="Moeda 3 10 2 2 2 2 2 2 4 2 2 4 2 2" xfId="2899" xr:uid="{C2E75D8C-32B9-46CE-B514-C0416081AFFC}"/>
    <cellStyle name="Moeda 3 10 2 2 2 2 2 2 4 2 2 4 3" xfId="1622" xr:uid="{3599EA15-CCE8-44BD-AC30-94AC79C5AB7A}"/>
    <cellStyle name="Moeda 3 10 2 2 2 2 2 2 4 2 2 4 3 2" xfId="3391" xr:uid="{D094C4DF-6967-48DF-96D9-481F5E98EC99}"/>
    <cellStyle name="Moeda 3 10 2 2 2 2 2 2 4 2 2 4 4" xfId="2407" xr:uid="{8C02ABFD-9A7D-409D-8099-073EC09B5D2C}"/>
    <cellStyle name="Moeda 3 10 2 2 2 2 2 2 4 2 2 5" xfId="309" xr:uid="{272A08A1-C7FB-401C-85BF-2689D3F8A3B5}"/>
    <cellStyle name="Moeda 3 10 2 2 2 2 2 2 4 2 2 5 2" xfId="2087" xr:uid="{F9C8BF18-EA69-4FCA-9CBF-E11BF891346E}"/>
    <cellStyle name="Moeda 3 10 2 2 2 2 2 2 4 2 2 6" xfId="395" xr:uid="{E649A5B0-E7F7-4DF0-B4C2-A443563AD7D0}"/>
    <cellStyle name="Moeda 3 10 2 2 2 2 2 2 4 2 2 6 2" xfId="2173" xr:uid="{924FED63-F185-4F7B-8CF3-D8D8E3707F24}"/>
    <cellStyle name="Moeda 3 10 2 2 2 2 2 2 4 2 2 7" xfId="945" xr:uid="{BCE9C7E5-CDA2-410E-BA4A-A568D6252DBF}"/>
    <cellStyle name="Moeda 3 10 2 2 2 2 2 2 4 2 2 7 2" xfId="2714" xr:uid="{FF2D3E01-A1B3-4926-B17E-5AED3AE50AD3}"/>
    <cellStyle name="Moeda 3 10 2 2 2 2 2 2 4 2 2 8" xfId="1437" xr:uid="{77BB3EDF-B14D-4E86-BA12-42B26C9E4A13}"/>
    <cellStyle name="Moeda 3 10 2 2 2 2 2 2 4 2 2 8 2" xfId="3206" xr:uid="{5535F140-AEBD-45C4-BED3-92101EF3AA53}"/>
    <cellStyle name="Moeda 3 10 2 2 2 2 2 2 4 2 2 9" xfId="1943" xr:uid="{489452D9-CA1F-4B19-B312-0591A216E0E5}"/>
    <cellStyle name="Moeda 3 10 2 2 2 2 2 2 4 2 3" xfId="771" xr:uid="{B451D31C-040F-4260-AC28-077410B5BB68}"/>
    <cellStyle name="Moeda 3 10 2 2 2 2 2 2 4 2 3 2" xfId="1263" xr:uid="{D37B7725-4BA0-4698-B8A6-DD450DA1D03C}"/>
    <cellStyle name="Moeda 3 10 2 2 2 2 2 2 4 2 3 2 2" xfId="3032" xr:uid="{0F08AFC3-E72D-4C13-90B4-A09339D3F86A}"/>
    <cellStyle name="Moeda 3 10 2 2 2 2 2 2 4 2 3 3" xfId="1755" xr:uid="{EEA6CEC9-3571-460C-A0D7-A2B69F8B2A25}"/>
    <cellStyle name="Moeda 3 10 2 2 2 2 2 2 4 2 3 3 2" xfId="3524" xr:uid="{AC7BD27F-9070-4F52-A8F8-F44A61CE0C56}"/>
    <cellStyle name="Moeda 3 10 2 2 2 2 2 2 4 2 3 4" xfId="2540" xr:uid="{32D28105-37DE-46E9-B2C8-3409A1E3A7FA}"/>
    <cellStyle name="Moeda 3 10 2 2 2 2 2 2 4 2 4" xfId="616" xr:uid="{23D669CC-DAFD-482F-87AB-D47CF15F7D94}"/>
    <cellStyle name="Moeda 3 10 2 2 2 2 2 2 4 2 4 2" xfId="1108" xr:uid="{FC3EF207-1B0A-4CC1-B112-3AB3E1BAE6D3}"/>
    <cellStyle name="Moeda 3 10 2 2 2 2 2 2 4 2 4 2 2" xfId="2877" xr:uid="{56FAC3C3-01E5-4F8B-9D25-0FDAF7A21087}"/>
    <cellStyle name="Moeda 3 10 2 2 2 2 2 2 4 2 4 3" xfId="1600" xr:uid="{95B5AF37-2FFF-468D-A3D0-F97EDEC54CA3}"/>
    <cellStyle name="Moeda 3 10 2 2 2 2 2 2 4 2 4 3 2" xfId="3369" xr:uid="{3E788DDB-DF35-43C7-8C7F-4A6605A73673}"/>
    <cellStyle name="Moeda 3 10 2 2 2 2 2 2 4 2 4 4" xfId="2385" xr:uid="{7A5EE962-8DCE-4774-B2F4-F5E3B4C7388E}"/>
    <cellStyle name="Moeda 3 10 2 2 2 2 2 2 4 2 5" xfId="531" xr:uid="{72729CEA-C862-4AC3-81BD-26694644F4C9}"/>
    <cellStyle name="Moeda 3 10 2 2 2 2 2 2 4 2 5 2" xfId="2300" xr:uid="{4AF8CD58-755B-4BC5-90D2-C27B856CF742}"/>
    <cellStyle name="Moeda 3 10 2 2 2 2 2 2 4 2 6" xfId="373" xr:uid="{63F3DF28-848E-4F8C-B4BC-B528204BA4EB}"/>
    <cellStyle name="Moeda 3 10 2 2 2 2 2 2 4 2 6 2" xfId="2151" xr:uid="{A8C7292E-EA22-4723-AABF-F6BB3BFD8128}"/>
    <cellStyle name="Moeda 3 10 2 2 2 2 2 2 4 2 7" xfId="1035" xr:uid="{9CAC4C3F-BD69-4CA1-A555-08B839AB2F19}"/>
    <cellStyle name="Moeda 3 10 2 2 2 2 2 2 4 2 7 2" xfId="2804" xr:uid="{E2BC99C2-9EB8-42C8-8451-2571A86E55C1}"/>
    <cellStyle name="Moeda 3 10 2 2 2 2 2 2 4 2 8" xfId="1527" xr:uid="{88D2B526-34A8-4DE7-92A9-AC4316ACE0F3}"/>
    <cellStyle name="Moeda 3 10 2 2 2 2 2 2 4 2 8 2" xfId="3296" xr:uid="{2131068B-B02C-4E5E-BFF0-ABF8012DC812}"/>
    <cellStyle name="Moeda 3 10 2 2 2 2 2 2 4 2 9" xfId="1921" xr:uid="{811584F5-F11C-4987-AE50-35A0C40D3C8D}"/>
    <cellStyle name="Moeda 3 10 2 2 2 2 2 2 4 3" xfId="760" xr:uid="{31BF61F9-CA51-4B01-80FC-684DD087FA01}"/>
    <cellStyle name="Moeda 3 10 2 2 2 2 2 2 4 3 2" xfId="1252" xr:uid="{E28F542F-37FC-4E10-B917-95E85F390668}"/>
    <cellStyle name="Moeda 3 10 2 2 2 2 2 2 4 3 2 2" xfId="3021" xr:uid="{AFBD0857-9471-4012-B5D7-63529E93F3FB}"/>
    <cellStyle name="Moeda 3 10 2 2 2 2 2 2 4 3 3" xfId="1744" xr:uid="{C5282697-FB1A-4077-96BE-1BF1646C9688}"/>
    <cellStyle name="Moeda 3 10 2 2 2 2 2 2 4 3 3 2" xfId="3513" xr:uid="{CCD721E9-427F-48D9-A388-218CFCD82F47}"/>
    <cellStyle name="Moeda 3 10 2 2 2 2 2 2 4 3 4" xfId="2529" xr:uid="{8FC0EEB3-A05F-418D-BC47-03F9B0558E64}"/>
    <cellStyle name="Moeda 3 10 2 2 2 2 2 2 4 4" xfId="101" xr:uid="{BFD8052B-5F94-4027-AB61-6E03D9398C24}"/>
    <cellStyle name="Moeda 3 10 2 2 2 2 2 2 4 4 2" xfId="781" xr:uid="{0AFF4AAC-5A25-485A-A9A5-60B684AEBC98}"/>
    <cellStyle name="Moeda 3 10 2 2 2 2 2 2 4 4 2 2" xfId="1273" xr:uid="{5F9CC90E-FAA3-4C4C-9CB2-EB3A43E13BC1}"/>
    <cellStyle name="Moeda 3 10 2 2 2 2 2 2 4 4 2 2 2" xfId="3042" xr:uid="{C815AF87-13E6-4433-AA48-180D9EF47C29}"/>
    <cellStyle name="Moeda 3 10 2 2 2 2 2 2 4 4 2 3" xfId="1765" xr:uid="{46182E9E-759C-4E62-BF17-AE83989DEB79}"/>
    <cellStyle name="Moeda 3 10 2 2 2 2 2 2 4 4 2 3 2" xfId="3534" xr:uid="{113FDD65-DA54-4379-8217-05BAA7921487}"/>
    <cellStyle name="Moeda 3 10 2 2 2 2 2 2 4 4 2 4" xfId="2550" xr:uid="{9801F9D7-D73E-4AE2-B1CD-E653BD591DE1}"/>
    <cellStyle name="Moeda 3 10 2 2 2 2 2 2 4 4 3" xfId="628" xr:uid="{B23F46FF-A9A4-49B4-BA35-6DF96170A3DB}"/>
    <cellStyle name="Moeda 3 10 2 2 2 2 2 2 4 4 3 2" xfId="1120" xr:uid="{BBF6763C-13A6-4DDC-8B31-EB04A51E6E03}"/>
    <cellStyle name="Moeda 3 10 2 2 2 2 2 2 4 4 3 2 2" xfId="2889" xr:uid="{786BA431-262F-4020-BCE7-FC11720962C1}"/>
    <cellStyle name="Moeda 3 10 2 2 2 2 2 2 4 4 3 3" xfId="1612" xr:uid="{5A6B98D9-46A3-425E-9EC5-7D15D5A473CA}"/>
    <cellStyle name="Moeda 3 10 2 2 2 2 2 2 4 4 3 3 2" xfId="3381" xr:uid="{7DB051AC-CF53-464A-8A09-7DD87221BC60}"/>
    <cellStyle name="Moeda 3 10 2 2 2 2 2 2 4 4 3 4" xfId="2397" xr:uid="{C98C87DA-5932-4117-BC64-E72DA7B54EAE}"/>
    <cellStyle name="Moeda 3 10 2 2 2 2 2 2 4 4 4" xfId="542" xr:uid="{0D88F651-3467-41EB-B944-9731C4F0B2BE}"/>
    <cellStyle name="Moeda 3 10 2 2 2 2 2 2 4 4 4 2" xfId="2311" xr:uid="{CEA3CF03-6FE4-4A4E-80C4-F62DBB386AC3}"/>
    <cellStyle name="Moeda 3 10 2 2 2 2 2 2 4 4 5" xfId="383" xr:uid="{0C1EF60D-E7A5-4D95-8DB6-4E67415BEDC9}"/>
    <cellStyle name="Moeda 3 10 2 2 2 2 2 2 4 4 5 2" xfId="2161" xr:uid="{9796F78D-80A2-4B8B-AF03-80E4BD915A4F}"/>
    <cellStyle name="Moeda 3 10 2 2 2 2 2 2 4 4 6" xfId="1044" xr:uid="{0D91B8C2-6233-44B5-8CC8-D73EB9D616C6}"/>
    <cellStyle name="Moeda 3 10 2 2 2 2 2 2 4 4 6 2" xfId="2813" xr:uid="{AD755C59-6473-4DD4-BBF3-C24E41BC552F}"/>
    <cellStyle name="Moeda 3 10 2 2 2 2 2 2 4 4 7" xfId="1536" xr:uid="{513459D0-221B-4106-BAFC-5A7F3B20B9B8}"/>
    <cellStyle name="Moeda 3 10 2 2 2 2 2 2 4 4 7 2" xfId="3305" xr:uid="{3D0D1597-C9CB-450F-BF4B-A941EB8293DB}"/>
    <cellStyle name="Moeda 3 10 2 2 2 2 2 2 4 4 8" xfId="485" xr:uid="{6A426028-2FE1-4EC9-BFC4-9E1066BF17FE}"/>
    <cellStyle name="Moeda 3 10 2 2 2 2 2 2 4 4 8 2" xfId="847" xr:uid="{5A89DD50-8C90-48DD-91FA-FA50ECDF23E2}"/>
    <cellStyle name="Moeda 3 10 2 2 2 2 2 2 4 4 8 2 2" xfId="1339" xr:uid="{5DAE6907-EBB3-4A6F-A412-057211F23DB5}"/>
    <cellStyle name="Moeda 3 10 2 2 2 2 2 2 4 4 8 2 2 2" xfId="3108" xr:uid="{30C99C30-4D89-4C63-BC30-AE6294BCB7B4}"/>
    <cellStyle name="Moeda 3 10 2 2 2 2 2 2 4 4 8 2 3" xfId="1831" xr:uid="{4CA86D52-F265-4346-93CB-7F1982F4EF4B}"/>
    <cellStyle name="Moeda 3 10 2 2 2 2 2 2 4 4 8 2 3 2" xfId="3600" xr:uid="{763E6CFB-00C4-437F-84C1-320C374010A0}"/>
    <cellStyle name="Moeda 3 10 2 2 2 2 2 2 4 4 8 2 4" xfId="2616" xr:uid="{03120813-482F-4F86-8D0F-11F4B1B31A08}"/>
    <cellStyle name="Moeda 3 10 2 2 2 2 2 2 4 4 8 3" xfId="1000" xr:uid="{99FDD81E-D7C1-4189-B5E8-80A61A696D7F}"/>
    <cellStyle name="Moeda 3 10 2 2 2 2 2 2 4 4 8 3 2" xfId="2769" xr:uid="{8F244804-ADEC-49F8-9424-891DF7E93E6E}"/>
    <cellStyle name="Moeda 3 10 2 2 2 2 2 2 4 4 8 4" xfId="1492" xr:uid="{649990C1-5D64-4537-81AF-F9BBB711F830}"/>
    <cellStyle name="Moeda 3 10 2 2 2 2 2 2 4 4 8 4 2" xfId="3261" xr:uid="{661CC151-71FF-41BD-8FDC-874D371C397A}"/>
    <cellStyle name="Moeda 3 10 2 2 2 2 2 2 4 4 8 5" xfId="2254" xr:uid="{005A4715-E1EE-4861-AAF5-B544546F0627}"/>
    <cellStyle name="Moeda 3 10 2 2 2 2 2 2 4 4 9" xfId="1933" xr:uid="{077D6A52-9589-4CFA-9F9E-DB560ED8ED07}"/>
    <cellStyle name="Moeda 3 10 2 2 2 2 2 2 4 5" xfId="606" xr:uid="{4EED67E7-7E5B-4997-8D58-094B36C4C6B4}"/>
    <cellStyle name="Moeda 3 10 2 2 2 2 2 2 4 5 2" xfId="1098" xr:uid="{8441C975-3D98-4744-B9D5-BC857B6C4E64}"/>
    <cellStyle name="Moeda 3 10 2 2 2 2 2 2 4 5 2 2" xfId="2867" xr:uid="{AF86309C-4D7F-42B9-A0E6-8D77D29D2C03}"/>
    <cellStyle name="Moeda 3 10 2 2 2 2 2 2 4 5 3" xfId="1590" xr:uid="{CA95FF2B-0EC6-43E0-B734-155FB48E6469}"/>
    <cellStyle name="Moeda 3 10 2 2 2 2 2 2 4 5 3 2" xfId="3359" xr:uid="{7DCDA4B3-D430-473D-8EF8-C3CE1FF836F0}"/>
    <cellStyle name="Moeda 3 10 2 2 2 2 2 2 4 5 4" xfId="2375" xr:uid="{5084D396-1C81-4382-8FA0-17191E497413}"/>
    <cellStyle name="Moeda 3 10 2 2 2 2 2 2 4 6" xfId="571" xr:uid="{A197880E-FB91-4C8F-86EF-F21718032791}"/>
    <cellStyle name="Moeda 3 10 2 2 2 2 2 2 4 6 2" xfId="2340" xr:uid="{554A1F72-9EC7-4DD2-8604-6DF1C51565B5}"/>
    <cellStyle name="Moeda 3 10 2 2 2 2 2 2 4 7" xfId="363" xr:uid="{384B498C-F59B-41E2-BCB6-1BE1B4C12125}"/>
    <cellStyle name="Moeda 3 10 2 2 2 2 2 2 4 7 2" xfId="2141" xr:uid="{FAF6DCAD-037F-4294-AD55-874082F7F986}"/>
    <cellStyle name="Moeda 3 10 2 2 2 2 2 2 4 8" xfId="1067" xr:uid="{6D2FAD75-D664-4327-9424-909A4DFD83E1}"/>
    <cellStyle name="Moeda 3 10 2 2 2 2 2 2 4 8 2" xfId="2836" xr:uid="{E6A53E97-C7AC-454F-9E9D-0C48AD1E2D25}"/>
    <cellStyle name="Moeda 3 10 2 2 2 2 2 2 4 9" xfId="1559" xr:uid="{3D1E3508-44ED-4CA9-9790-B68D404289E7}"/>
    <cellStyle name="Moeda 3 10 2 2 2 2 2 2 4 9 2" xfId="3328" xr:uid="{68FD82D3-A69A-422A-83E9-DC16E9100EFE}"/>
    <cellStyle name="Moeda 3 10 2 2 2 2 2 2 5" xfId="521" xr:uid="{5B8353A6-E5FC-441C-AF66-2AD11165760F}"/>
    <cellStyle name="Moeda 3 10 2 2 2 2 2 2 5 2" xfId="2290" xr:uid="{CD9D9278-066A-4D0A-B81F-D472F18B088A}"/>
    <cellStyle name="Moeda 3 10 2 2 2 2 2 2 6" xfId="244" xr:uid="{D96996B5-CF13-4297-AB46-BCCF75B74A5D}"/>
    <cellStyle name="Moeda 3 10 2 2 2 2 2 2 6 2" xfId="2028" xr:uid="{033CEAAE-5D36-4117-9DCA-56F8318B860A}"/>
    <cellStyle name="Moeda 3 10 2 2 2 2 2 2 7" xfId="892" xr:uid="{13CCB290-7CF7-4E4B-9A25-47F3DFD600DE}"/>
    <cellStyle name="Moeda 3 10 2 2 2 2 2 2 7 2" xfId="2661" xr:uid="{164621F9-E9A2-491D-B46B-C9635D157206}"/>
    <cellStyle name="Moeda 3 10 2 2 2 2 2 2 8" xfId="1384" xr:uid="{9121B710-A205-45D5-BE9E-24CECD72963C}"/>
    <cellStyle name="Moeda 3 10 2 2 2 2 2 2 8 2" xfId="3153" xr:uid="{842E6B7A-729B-4B21-8964-425A995EBFB1}"/>
    <cellStyle name="Moeda 3 10 2 2 2 2 2 2 9" xfId="1887" xr:uid="{9654B66B-3D80-470C-A044-D02289DF58EA}"/>
    <cellStyle name="Moeda 3 10 2 2 2 2 2 3" xfId="54" xr:uid="{47FE8375-A57F-447D-A765-348FDE531F67}"/>
    <cellStyle name="Moeda 3 10 2 2 2 2 2 3 12" xfId="1856" xr:uid="{E04459E8-F8AB-4080-BB28-7998EAEC27EE}"/>
    <cellStyle name="Moeda 3 10 2 2 2 2 2 3 12 2" xfId="3625" xr:uid="{8ECF9C1B-4435-4419-9989-A891CC6F01C9}"/>
    <cellStyle name="Moeda 3 10 2 2 2 2 2 3 13" xfId="1855" xr:uid="{093C6068-D092-4019-BC19-157ECB232A99}"/>
    <cellStyle name="Moeda 3 10 2 2 2 2 2 3 13 2" xfId="3624" xr:uid="{6C31B7AF-2892-4F55-8B81-81521FE883FF}"/>
    <cellStyle name="Moeda 3 10 2 2 2 2 2 3 2" xfId="742" xr:uid="{93D048A6-8500-4B14-8D9D-8CE8B7902289}"/>
    <cellStyle name="Moeda 3 10 2 2 2 2 2 3 2 2" xfId="1234" xr:uid="{A0CDBB28-10F9-448D-99B2-A02A801E0163}"/>
    <cellStyle name="Moeda 3 10 2 2 2 2 2 3 2 2 2" xfId="3003" xr:uid="{935AD854-0D88-4966-8C33-32C21A06D006}"/>
    <cellStyle name="Moeda 3 10 2 2 2 2 2 3 2 3" xfId="1726" xr:uid="{BAB4EC11-EAFE-405C-B61C-1D5348001498}"/>
    <cellStyle name="Moeda 3 10 2 2 2 2 2 3 2 3 2" xfId="3495" xr:uid="{FE4FEF17-A3E6-4268-9D15-4BAA71B788F2}"/>
    <cellStyle name="Moeda 3 10 2 2 2 2 2 3 2 4" xfId="2511" xr:uid="{506F427D-CD21-4FCD-9013-36CE5E99C6D7}"/>
    <cellStyle name="Moeda 3 10 2 2 2 2 2 3 3" xfId="535" xr:uid="{35074198-CB17-40C5-8C9D-C9D999576C09}"/>
    <cellStyle name="Moeda 3 10 2 2 2 2 2 3 3 2" xfId="1039" xr:uid="{5FBFA635-9AA6-41B4-AFF2-061836A341AA}"/>
    <cellStyle name="Moeda 3 10 2 2 2 2 2 3 3 2 2" xfId="2808" xr:uid="{A745030C-DB58-487D-9EB4-CFBE2727D2D5}"/>
    <cellStyle name="Moeda 3 10 2 2 2 2 2 3 3 3" xfId="1531" xr:uid="{8075F698-1EEE-4736-BAB2-E05578E7D9FD}"/>
    <cellStyle name="Moeda 3 10 2 2 2 2 2 3 3 3 2" xfId="3300" xr:uid="{45E04AC3-F157-42F3-8CB1-C004CF5B90C4}"/>
    <cellStyle name="Moeda 3 10 2 2 2 2 2 3 3 4" xfId="2304" xr:uid="{F0A3C9EA-2E41-4186-9CC3-3DD2593CD010}"/>
    <cellStyle name="Moeda 3 10 2 2 2 2 2 3 4" xfId="305" xr:uid="{2F05FCED-5E16-4565-8487-C444B4036ABB}"/>
    <cellStyle name="Moeda 3 10 2 2 2 2 2 3 4 2" xfId="2083" xr:uid="{D03E3ADA-2CF5-4B2C-98A4-B7E59C6C9947}"/>
    <cellStyle name="Moeda 3 10 2 2 2 2 2 3 5" xfId="252" xr:uid="{2318CF73-2220-4B6F-B6A1-EB6633E3DAA2}"/>
    <cellStyle name="Moeda 3 10 2 2 2 2 2 3 5 2" xfId="2036" xr:uid="{FD9425E8-6FCE-4A22-AD7D-07F7D8079F58}"/>
    <cellStyle name="Moeda 3 10 2 2 2 2 2 3 6" xfId="900" xr:uid="{7F772BFE-789B-4530-A313-219E55C75851}"/>
    <cellStyle name="Moeda 3 10 2 2 2 2 2 3 6 2" xfId="2669" xr:uid="{E71DBFF4-EDD3-4AC6-8585-E6100428DDE5}"/>
    <cellStyle name="Moeda 3 10 2 2 2 2 2 3 7" xfId="1392" xr:uid="{CDBBFA07-5CFE-45AF-AE1F-EB1702C80CCD}"/>
    <cellStyle name="Moeda 3 10 2 2 2 2 2 3 7 2" xfId="3161" xr:uid="{E52F2EBD-5B0A-41C2-B065-32BFE4BB1F92}"/>
    <cellStyle name="Moeda 3 10 2 2 2 2 2 3 8" xfId="139" xr:uid="{ED215DD6-233D-4FBD-B0DA-73EF22914CBC}"/>
    <cellStyle name="Moeda 3 10 2 2 2 2 2 3 8 2" xfId="814" xr:uid="{32477B57-D4B0-4CC3-8D64-696ADA16D34E}"/>
    <cellStyle name="Moeda 3 10 2 2 2 2 2 3 8 2 2" xfId="1306" xr:uid="{97732997-990C-448A-8249-4087003E78F9}"/>
    <cellStyle name="Moeda 3 10 2 2 2 2 2 3 8 2 2 2" xfId="3075" xr:uid="{64A03FEE-7712-4CBD-BF0C-0DB81F553FCD}"/>
    <cellStyle name="Moeda 3 10 2 2 2 2 2 3 8 2 3" xfId="1798" xr:uid="{F33AD712-B584-4719-87C1-9BD67E8B63A7}"/>
    <cellStyle name="Moeda 3 10 2 2 2 2 2 3 8 2 3 2" xfId="3567" xr:uid="{34E4AE7B-0A4A-48A9-93C3-3352E96F3CA6}"/>
    <cellStyle name="Moeda 3 10 2 2 2 2 2 3 8 2 4" xfId="2583" xr:uid="{A7DB1515-B050-413B-AE5C-F59B9D6DD50C}"/>
    <cellStyle name="Moeda 3 10 2 2 2 2 2 3 8 3" xfId="664" xr:uid="{DF82F50D-63C7-4307-8FCF-CA4D2D2D2E02}"/>
    <cellStyle name="Moeda 3 10 2 2 2 2 2 3 8 3 2" xfId="1156" xr:uid="{20AD623A-8E56-43D4-B35B-B3A1A1806F55}"/>
    <cellStyle name="Moeda 3 10 2 2 2 2 2 3 8 3 2 2" xfId="2925" xr:uid="{76908193-EC88-44A2-BBB8-86FBEDBFC4EB}"/>
    <cellStyle name="Moeda 3 10 2 2 2 2 2 3 8 3 3" xfId="1648" xr:uid="{ED540E42-6869-467E-8A1E-A01EDE83F8F1}"/>
    <cellStyle name="Moeda 3 10 2 2 2 2 2 3 8 3 3 2" xfId="3417" xr:uid="{257B813B-400C-4089-9036-8C61E00B8B42}"/>
    <cellStyle name="Moeda 3 10 2 2 2 2 2 3 8 3 4" xfId="2433" xr:uid="{877A3BEC-797C-43E3-AEFF-C4AFE1E3DB49}"/>
    <cellStyle name="Moeda 3 10 2 2 2 2 2 3 8 4" xfId="162" xr:uid="{06B16300-9E47-485E-A788-0872FEEC32F4}"/>
    <cellStyle name="Moeda 3 10 2 2 2 2 2 3 8 4 2" xfId="264" xr:uid="{80FAB101-B1A7-450C-8C09-8832686380E3}"/>
    <cellStyle name="Moeda 3 10 2 2 2 2 2 3 8 4 2 2" xfId="867" xr:uid="{BB4F0D31-565A-42AD-8447-3D12F520350D}"/>
    <cellStyle name="Moeda 3 10 2 2 2 2 2 3 8 4 2 2 2" xfId="1359" xr:uid="{E266C053-EDA3-418D-B297-F4806D0C2C9D}"/>
    <cellStyle name="Moeda 3 10 2 2 2 2 2 3 8 4 2 2 2 2" xfId="3128" xr:uid="{21526100-E009-46B6-B1CD-480C6987F9B3}"/>
    <cellStyle name="Moeda 3 10 2 2 2 2 2 3 8 4 2 2 3" xfId="1851" xr:uid="{A6AE53E0-68A9-4210-BE71-C651C4AE74B5}"/>
    <cellStyle name="Moeda 3 10 2 2 2 2 2 3 8 4 2 2 3 2" xfId="3620" xr:uid="{99C22A00-1038-4C97-9EE1-31358C435038}"/>
    <cellStyle name="Moeda 3 10 2 2 2 2 2 3 8 4 2 2 4" xfId="2636" xr:uid="{28013556-85AA-4BCB-9B2D-4A213F82BA76}"/>
    <cellStyle name="Moeda 3 10 2 2 2 2 2 3 8 4 2 3" xfId="912" xr:uid="{FC446485-3462-4D54-B367-58A9A2337514}"/>
    <cellStyle name="Moeda 3 10 2 2 2 2 2 3 8 4 2 3 2" xfId="2681" xr:uid="{F89D71E6-F013-449E-8AA8-BF779D8EADE0}"/>
    <cellStyle name="Moeda 3 10 2 2 2 2 2 3 8 4 2 4" xfId="1404" xr:uid="{6559EB13-4E4C-4933-949E-99873A8F985C}"/>
    <cellStyle name="Moeda 3 10 2 2 2 2 2 3 8 4 2 4 2" xfId="3173" xr:uid="{9BA98987-46C1-447B-80F3-5F4110294C8C}"/>
    <cellStyle name="Moeda 3 10 2 2 2 2 2 3 8 4 2 5" xfId="2048" xr:uid="{589D21C4-85EE-405F-9083-0665B9621D34}"/>
    <cellStyle name="Moeda 3 10 2 2 2 2 2 3 8 4 3" xfId="842" xr:uid="{57171D0F-6AAF-4625-BDBE-3ECD63409F1F}"/>
    <cellStyle name="Moeda 3 10 2 2 2 2 2 3 8 4 3 2" xfId="1334" xr:uid="{57353FB7-42B2-43F0-B551-C8F11C550FAA}"/>
    <cellStyle name="Moeda 3 10 2 2 2 2 2 3 8 4 3 2 2" xfId="3103" xr:uid="{C0784E12-9E56-4D9C-B509-4EB15DBA309F}"/>
    <cellStyle name="Moeda 3 10 2 2 2 2 2 3 8 4 3 3" xfId="1826" xr:uid="{B5AE26A0-3F33-40E5-8E02-236AE6C1E9D9}"/>
    <cellStyle name="Moeda 3 10 2 2 2 2 2 3 8 4 3 3 2" xfId="3595" xr:uid="{337E1D24-EFB8-4A2C-AAA2-AACBC1EE7E7C}"/>
    <cellStyle name="Moeda 3 10 2 2 2 2 2 3 8 4 3 4" xfId="2611" xr:uid="{50980ACF-67A5-4CA5-8395-4F5BF7C9B694}"/>
    <cellStyle name="Moeda 3 10 2 2 2 2 2 3 8 4 4" xfId="687" xr:uid="{CE511456-365A-45FA-98F5-8C385E78334A}"/>
    <cellStyle name="Moeda 3 10 2 2 2 2 2 3 8 4 4 2" xfId="1179" xr:uid="{55D98652-8109-4DD0-B6AF-BD3BDFBD4DBE}"/>
    <cellStyle name="Moeda 3 10 2 2 2 2 2 3 8 4 4 2 2" xfId="2948" xr:uid="{4D60E9A2-F79F-4B7E-A2BF-AD89A32A6FCE}"/>
    <cellStyle name="Moeda 3 10 2 2 2 2 2 3 8 4 4 3" xfId="1671" xr:uid="{26F2FEFF-D52E-40D0-9CDE-57838E66D4A0}"/>
    <cellStyle name="Moeda 3 10 2 2 2 2 2 3 8 4 4 3 2" xfId="3440" xr:uid="{173A1FE0-71AB-4BB9-9856-7B732B2BFBD4}"/>
    <cellStyle name="Moeda 3 10 2 2 2 2 2 3 8 4 4 4" xfId="2456" xr:uid="{509ACEF1-8A1A-4CF2-AA60-8B19FC8A3E56}"/>
    <cellStyle name="Moeda 3 10 2 2 2 2 2 3 8 4 5" xfId="349" xr:uid="{072286A5-264D-41B9-879C-144CB0B32885}"/>
    <cellStyle name="Moeda 3 10 2 2 2 2 2 3 8 4 5 2" xfId="2127" xr:uid="{A87F36ED-CB1E-4E5B-8362-446EFB148BFF}"/>
    <cellStyle name="Moeda 3 10 2 2 2 2 2 3 8 4 6" xfId="443" xr:uid="{49A9C31A-52C8-4D0D-85A4-0FADA9E525E5}"/>
    <cellStyle name="Moeda 3 10 2 2 2 2 2 3 8 4 6 2" xfId="2221" xr:uid="{6C6CF0B4-2EA1-4341-B028-D82BAA1D55D6}"/>
    <cellStyle name="Moeda 3 10 2 2 2 2 2 3 8 4 7" xfId="980" xr:uid="{B7573F13-BC28-4212-B317-E94FF78BC0F2}"/>
    <cellStyle name="Moeda 3 10 2 2 2 2 2 3 8 4 7 2" xfId="2749" xr:uid="{53B64C62-5D14-4D5D-B6BF-5286794F7F0E}"/>
    <cellStyle name="Moeda 3 10 2 2 2 2 2 3 8 4 8" xfId="1472" xr:uid="{FF6F8464-97E4-4D10-AF5F-0BFAEF1C4280}"/>
    <cellStyle name="Moeda 3 10 2 2 2 2 2 3 8 4 8 2" xfId="3241" xr:uid="{6C264877-2710-43AB-B6F5-41C3EB838B6F}"/>
    <cellStyle name="Moeda 3 10 2 2 2 2 2 3 8 4 9" xfId="1992" xr:uid="{C1CEFDC8-6382-450F-B2C5-51D8B4EBE5AD}"/>
    <cellStyle name="Moeda 3 10 2 2 2 2 2 3 8 5" xfId="265" xr:uid="{3A38AA5A-17A9-4D3C-8775-003E6A2BB221}"/>
    <cellStyle name="Moeda 3 10 2 2 2 2 2 3 8 5 2" xfId="2049" xr:uid="{02608E20-886A-47BF-860D-0421BC71672D}"/>
    <cellStyle name="Moeda 3 10 2 2 2 2 2 3 8 6" xfId="415" xr:uid="{EC4FB1ED-8139-483D-83C5-4A3D37D07E8D}"/>
    <cellStyle name="Moeda 3 10 2 2 2 2 2 3 8 6 2" xfId="2193" xr:uid="{DCC01521-39B9-4C5D-8C0A-A4411514DBAE}"/>
    <cellStyle name="Moeda 3 10 2 2 2 2 2 3 8 7" xfId="913" xr:uid="{99564B92-1020-49CE-A557-C36DA504A20E}"/>
    <cellStyle name="Moeda 3 10 2 2 2 2 2 3 8 7 2" xfId="2682" xr:uid="{5EA949C5-C211-49FA-9C42-64AA15F34F44}"/>
    <cellStyle name="Moeda 3 10 2 2 2 2 2 3 8 8" xfId="1405" xr:uid="{618E2347-0071-43B1-AB86-09ADD278EB7E}"/>
    <cellStyle name="Moeda 3 10 2 2 2 2 2 3 8 8 2" xfId="3174" xr:uid="{8C14B889-3E65-4E28-BF47-C5714F6E697D}"/>
    <cellStyle name="Moeda 3 10 2 2 2 2 2 3 8 9" xfId="1969" xr:uid="{FDFDB75E-328B-4A56-B5EB-397452D50B2B}"/>
    <cellStyle name="Moeda 3 10 2 2 2 2 2 3 9" xfId="1895" xr:uid="{441C7E0D-1D62-4B89-B241-8B8B1F8FFF51}"/>
    <cellStyle name="Moeda 3 10 2 2 2 2 2 4" xfId="566" xr:uid="{0700172B-6D99-414A-9495-DA8309E25804}"/>
    <cellStyle name="Moeda 3 10 2 2 2 2 2 4 2" xfId="865" xr:uid="{03AAAA57-ECF4-4DBC-B758-CB5DC036DADC}"/>
    <cellStyle name="Moeda 3 10 2 2 2 2 2 4 2 2" xfId="1357" xr:uid="{B5DD32E8-8F7E-4ECA-83FD-E9B1BCF8139E}"/>
    <cellStyle name="Moeda 3 10 2 2 2 2 2 4 2 2 2" xfId="3126" xr:uid="{D4A75649-0699-43BB-9D46-A1C95A12F239}"/>
    <cellStyle name="Moeda 3 10 2 2 2 2 2 4 2 3" xfId="1849" xr:uid="{11407BF1-F44F-4F91-ABAC-BDF88B4F63E7}"/>
    <cellStyle name="Moeda 3 10 2 2 2 2 2 4 2 3 2" xfId="3618" xr:uid="{24660CF6-CA9B-4CD8-8CDF-378E9DDDF2FC}"/>
    <cellStyle name="Moeda 3 10 2 2 2 2 2 4 2 4" xfId="2634" xr:uid="{916996A5-7369-4311-9687-C63886E197C0}"/>
    <cellStyle name="Moeda 3 10 2 2 2 2 2 4 3" xfId="1063" xr:uid="{1D52B39A-F320-439C-B280-B7A5641B1C1C}"/>
    <cellStyle name="Moeda 3 10 2 2 2 2 2 4 3 2" xfId="2832" xr:uid="{C4026EBB-B537-4627-9D24-F7A8EFE96DF7}"/>
    <cellStyle name="Moeda 3 10 2 2 2 2 2 4 4" xfId="1555" xr:uid="{FA53B8AD-379E-4EFE-95AE-31B05426E798}"/>
    <cellStyle name="Moeda 3 10 2 2 2 2 2 4 4 2" xfId="3324" xr:uid="{B17C3D34-AD71-4815-97F6-088A87BBE5BF}"/>
    <cellStyle name="Moeda 3 10 2 2 2 2 2 4 5" xfId="2335" xr:uid="{696F93DC-84DE-4202-BE49-D60F8BE7A621}"/>
    <cellStyle name="Moeda 3 10 2 2 2 2 2 5" xfId="728" xr:uid="{84359E6C-8763-4BA8-BEC5-98DAFA0853B8}"/>
    <cellStyle name="Moeda 3 10 2 2 2 2 2 5 2" xfId="1220" xr:uid="{3C493BC4-0843-4A00-8B77-8A9411A4A8F4}"/>
    <cellStyle name="Moeda 3 10 2 2 2 2 2 5 2 2" xfId="2989" xr:uid="{596FBFA0-1FAA-47A4-8621-9EF864137513}"/>
    <cellStyle name="Moeda 3 10 2 2 2 2 2 5 3" xfId="1712" xr:uid="{B477A515-60EC-492B-9860-A31CFE83FA09}"/>
    <cellStyle name="Moeda 3 10 2 2 2 2 2 5 3 2" xfId="3481" xr:uid="{6085E597-7CCF-44DE-9B25-AEE89CB5E8CD}"/>
    <cellStyle name="Moeda 3 10 2 2 2 2 2 5 4" xfId="2497" xr:uid="{92DA09FB-5BC7-42E3-A5F0-50A490A3AB38}"/>
    <cellStyle name="Moeda 3 10 2 2 2 2 2 6" xfId="311" xr:uid="{57CD3881-9634-4FCB-BE5C-1EC2975669C8}"/>
    <cellStyle name="Moeda 3 10 2 2 2 2 2 6 2" xfId="947" xr:uid="{A04725BC-C8AD-4B97-8B42-D3EDE6A5E5FD}"/>
    <cellStyle name="Moeda 3 10 2 2 2 2 2 6 2 2" xfId="2716" xr:uid="{9FAC0305-56FA-4655-9C10-692DAC6F165C}"/>
    <cellStyle name="Moeda 3 10 2 2 2 2 2 6 3" xfId="1439" xr:uid="{57F0BFC8-D022-4E65-A4C5-684EA0424F31}"/>
    <cellStyle name="Moeda 3 10 2 2 2 2 2 6 3 2" xfId="3208" xr:uid="{0403C610-D9C5-4987-89CB-6F38625CF40E}"/>
    <cellStyle name="Moeda 3 10 2 2 2 2 2 6 4" xfId="2089" xr:uid="{7FDDF7A1-0954-4FA4-BA2A-D68A6CD05971}"/>
    <cellStyle name="Moeda 3 10 2 2 2 2 2 7" xfId="480" xr:uid="{3389845E-CFB4-4A07-9395-F000ED049714}"/>
    <cellStyle name="Moeda 3 10 2 2 2 2 2 7 2" xfId="2249" xr:uid="{06313B00-72B3-4E2D-BD39-E2D670819754}"/>
    <cellStyle name="Moeda 3 10 2 2 2 2 2 8" xfId="237" xr:uid="{7E5B0061-B8D6-4EB9-8F08-FA3E70B88B43}"/>
    <cellStyle name="Moeda 3 10 2 2 2 2 2 8 2" xfId="2021" xr:uid="{A708A1C7-C6BD-40C0-A46F-2C04AFC73DC8}"/>
    <cellStyle name="Moeda 3 10 2 2 2 2 2 9" xfId="885" xr:uid="{5D64DD97-3A84-43DF-8941-347D168EB01B}"/>
    <cellStyle name="Moeda 3 10 2 2 2 2 2 9 2" xfId="2654" xr:uid="{735B0CE5-92D6-45D2-A83D-4496649C0FBE}"/>
    <cellStyle name="Moeda 3 10 2 2 2 2 3" xfId="39" xr:uid="{7555C900-63F5-499D-8198-D79C3C6CEDE8}"/>
    <cellStyle name="Moeda 3 10 2 2 2 2 3 2" xfId="55" xr:uid="{234B208D-C37B-45BF-9866-79673F8EFC17}"/>
    <cellStyle name="Moeda 3 10 2 2 2 2 3 2 10" xfId="1896" xr:uid="{E45726D1-F3A1-440A-A495-14128C6830D4}"/>
    <cellStyle name="Moeda 3 10 2 2 2 2 3 2 2" xfId="743" xr:uid="{7AE0C3D0-EC06-42EE-B63B-B95A881736E6}"/>
    <cellStyle name="Moeda 3 10 2 2 2 2 3 2 2 2" xfId="1235" xr:uid="{A6DC5233-101F-4DE3-B53B-EB0A304FA68F}"/>
    <cellStyle name="Moeda 3 10 2 2 2 2 3 2 2 2 2" xfId="3004" xr:uid="{495ED5A8-763C-439A-B446-37FB9ECC64D6}"/>
    <cellStyle name="Moeda 3 10 2 2 2 2 3 2 2 3" xfId="1727" xr:uid="{6244E76A-1C2D-486B-A469-7107B9B8E107}"/>
    <cellStyle name="Moeda 3 10 2 2 2 2 3 2 2 3 2" xfId="3496" xr:uid="{4BDCBB08-D0B7-4AB7-858C-C6AFC2D0CEEA}"/>
    <cellStyle name="Moeda 3 10 2 2 2 2 3 2 2 4" xfId="2512" xr:uid="{0DCFD385-788C-4CA8-A7C1-505E04EFAF31}"/>
    <cellStyle name="Moeda 3 10 2 2 2 2 3 2 3" xfId="507" xr:uid="{95A838C0-786C-42E6-AF61-99F3FE18C9C6}"/>
    <cellStyle name="Moeda 3 10 2 2 2 2 3 2 3 2" xfId="1017" xr:uid="{9F65C27E-C9E4-44C6-9CCE-E36F799737ED}"/>
    <cellStyle name="Moeda 3 10 2 2 2 2 3 2 3 2 2" xfId="2786" xr:uid="{D0A35610-0601-4881-9816-632F893B9E79}"/>
    <cellStyle name="Moeda 3 10 2 2 2 2 3 2 3 3" xfId="1509" xr:uid="{0445FED5-D42F-479A-94C5-D5D9CD2295A6}"/>
    <cellStyle name="Moeda 3 10 2 2 2 2 3 2 3 3 2" xfId="3278" xr:uid="{A449574B-50E5-45EC-BD6F-E60370F5AD6E}"/>
    <cellStyle name="Moeda 3 10 2 2 2 2 3 2 3 4" xfId="2276" xr:uid="{58F55285-0C18-4259-A763-24FD8A1376A6}"/>
    <cellStyle name="Moeda 3 10 2 2 2 2 3 2 4" xfId="580" xr:uid="{D6D6C066-851B-4D39-B27F-036E83439B2A}"/>
    <cellStyle name="Moeda 3 10 2 2 2 2 3 2 4 2" xfId="2349" xr:uid="{4FB892A1-4977-4DD1-A8B8-5CF98777A518}"/>
    <cellStyle name="Moeda 3 10 2 2 2 2 3 2 5" xfId="86" xr:uid="{7E448473-5AA8-4FDD-89DE-D3866113D978}"/>
    <cellStyle name="Moeda 3 10 2 2 2 2 3 2 5 2" xfId="116" xr:uid="{53481659-F709-4064-939C-1CE76C840A34}"/>
    <cellStyle name="Moeda 3 10 2 2 2 2 3 2 5 2 2" xfId="128" xr:uid="{5FCCA46D-2B1E-4905-B5A3-56C9CB88CFEF}"/>
    <cellStyle name="Moeda 3 10 2 2 2 2 3 2 5 2 2 2" xfId="220" xr:uid="{B5B06E6D-7DB1-4755-A4F8-65B7903F6657}"/>
    <cellStyle name="Moeda 3 10 2 2 2 2 3 2 5 2 2 2 2" xfId="835" xr:uid="{A41242A2-72E3-4A23-AF55-363A234583C3}"/>
    <cellStyle name="Moeda 3 10 2 2 2 2 3 2 5 2 2 2 2 2" xfId="1327" xr:uid="{924CE92D-E09F-4F3F-BADA-6F36F5CAFE9C}"/>
    <cellStyle name="Moeda 3 10 2 2 2 2 3 2 5 2 2 2 2 2 2" xfId="3096" xr:uid="{638C4B80-F012-48FE-AB3F-2CAA6BEE15C8}"/>
    <cellStyle name="Moeda 3 10 2 2 2 2 3 2 5 2 2 2 2 3" xfId="1819" xr:uid="{AB410684-1581-4B89-B9F0-378EABFBE405}"/>
    <cellStyle name="Moeda 3 10 2 2 2 2 3 2 5 2 2 2 2 3 2" xfId="3588" xr:uid="{AF24EF7F-3F2B-4758-8D0C-7627E27B1E38}"/>
    <cellStyle name="Moeda 3 10 2 2 2 2 3 2 5 2 2 2 2 4" xfId="2604" xr:uid="{E456AB84-7EF7-40EA-9687-41A100EFF4C6}"/>
    <cellStyle name="Moeda 3 10 2 2 2 2 3 2 5 2 2 2 3" xfId="699" xr:uid="{D3733857-0EE9-4A72-8469-CF0C10536F4F}"/>
    <cellStyle name="Moeda 3 10 2 2 2 2 3 2 5 2 2 2 3 2" xfId="1191" xr:uid="{385A865D-CE69-4014-86E3-8C450EBB6201}"/>
    <cellStyle name="Moeda 3 10 2 2 2 2 3 2 5 2 2 2 3 2 2" xfId="2960" xr:uid="{3D59C053-3915-4FDE-9614-9E4CA2EA7150}"/>
    <cellStyle name="Moeda 3 10 2 2 2 2 3 2 5 2 2 2 3 3" xfId="1683" xr:uid="{81AA63C8-106E-4C12-BEBF-5E0C93A63AAA}"/>
    <cellStyle name="Moeda 3 10 2 2 2 2 3 2 5 2 2 2 3 3 2" xfId="3452" xr:uid="{22391B52-68CD-47D1-9148-4629E216A88B}"/>
    <cellStyle name="Moeda 3 10 2 2 2 2 3 2 5 2 2 2 3 4" xfId="2468" xr:uid="{321F52A1-AECF-464C-94F8-7746AB02651B}"/>
    <cellStyle name="Moeda 3 10 2 2 2 2 3 2 5 2 2 2 4" xfId="533" xr:uid="{3905DD4E-E366-4CC3-83BF-F93A8F9D79EE}"/>
    <cellStyle name="Moeda 3 10 2 2 2 2 3 2 5 2 2 2 4 2" xfId="2302" xr:uid="{8DB3F4FF-DA5A-4B3E-8AD2-C2241820F407}"/>
    <cellStyle name="Moeda 3 10 2 2 2 2 3 2 5 2 2 2 5" xfId="436" xr:uid="{374A9BEE-D1E3-4BF6-84F4-3340B5C702BA}"/>
    <cellStyle name="Moeda 3 10 2 2 2 2 3 2 5 2 2 2 5 2" xfId="2214" xr:uid="{7FF6479B-9C95-4415-BD18-A43A54047805}"/>
    <cellStyle name="Moeda 3 10 2 2 2 2 3 2 5 2 2 2 6" xfId="1037" xr:uid="{70D15A7A-AD22-43E1-AB0D-14D45621EB7E}"/>
    <cellStyle name="Moeda 3 10 2 2 2 2 3 2 5 2 2 2 6 2" xfId="2806" xr:uid="{1D40DC27-08E1-4B9F-B001-885BDE0C9CF7}"/>
    <cellStyle name="Moeda 3 10 2 2 2 2 3 2 5 2 2 2 7" xfId="1529" xr:uid="{7E24DD9A-0F19-4740-981B-8974288EC52A}"/>
    <cellStyle name="Moeda 3 10 2 2 2 2 3 2 5 2 2 2 7 2" xfId="3298" xr:uid="{42132901-6BB7-4163-8FE1-292C59B57DFA}"/>
    <cellStyle name="Moeda 3 10 2 2 2 2 3 2 5 2 2 2 8" xfId="2004" xr:uid="{8A4DE142-E1B0-4BFA-8FE9-93C8B036AC03}"/>
    <cellStyle name="Moeda 3 10 2 2 2 2 3 2 5 2 2 3" xfId="809" xr:uid="{246AE90E-4355-4BFA-AAC8-91636B7DB953}"/>
    <cellStyle name="Moeda 3 10 2 2 2 2 3 2 5 2 2 3 2" xfId="1301" xr:uid="{C430DDD3-D3FC-481E-B9FA-B2C3A388B4D8}"/>
    <cellStyle name="Moeda 3 10 2 2 2 2 3 2 5 2 2 3 2 2" xfId="3070" xr:uid="{E5F46BD8-FFFA-4377-A7B4-201BEBBFDC11}"/>
    <cellStyle name="Moeda 3 10 2 2 2 2 3 2 5 2 2 3 3" xfId="1793" xr:uid="{B12C8A69-7D2A-4604-9D16-5626DB6109F4}"/>
    <cellStyle name="Moeda 3 10 2 2 2 2 3 2 5 2 2 3 3 2" xfId="3562" xr:uid="{57DE4060-243E-4EAB-B5B6-DCBF2B96F3FC}"/>
    <cellStyle name="Moeda 3 10 2 2 2 2 3 2 5 2 2 3 4" xfId="2578" xr:uid="{304F1451-0CEB-494F-B257-2C0E4C6468BB}"/>
    <cellStyle name="Moeda 3 10 2 2 2 2 3 2 5 2 2 4" xfId="653" xr:uid="{2E2F0E17-B8FF-4E79-9BBD-86013EBEE20D}"/>
    <cellStyle name="Moeda 3 10 2 2 2 2 3 2 5 2 2 4 2" xfId="1145" xr:uid="{32AA651A-3756-4268-BDA1-88F8D290C669}"/>
    <cellStyle name="Moeda 3 10 2 2 2 2 3 2 5 2 2 4 2 2" xfId="2914" xr:uid="{A65656B7-AA38-4F4D-9B15-0540CF2417DB}"/>
    <cellStyle name="Moeda 3 10 2 2 2 2 3 2 5 2 2 4 3" xfId="1637" xr:uid="{79C2571B-E9B6-4078-9795-182C91E3D3CD}"/>
    <cellStyle name="Moeda 3 10 2 2 2 2 3 2 5 2 2 4 3 2" xfId="3406" xr:uid="{354ED13E-EB9B-4076-9124-6C084C6DC829}"/>
    <cellStyle name="Moeda 3 10 2 2 2 2 3 2 5 2 2 4 4" xfId="2422" xr:uid="{3AB62B16-F38D-4D95-897C-4DF28EF0CCCE}"/>
    <cellStyle name="Moeda 3 10 2 2 2 2 3 2 5 2 2 5" xfId="303" xr:uid="{2AAE55F9-8D07-4A7E-B55D-043CDC316360}"/>
    <cellStyle name="Moeda 3 10 2 2 2 2 3 2 5 2 2 5 2" xfId="2082" xr:uid="{3DD2C36A-5F3B-495F-9803-62F5E9A12D31}"/>
    <cellStyle name="Moeda 3 10 2 2 2 2 3 2 5 2 2 6" xfId="411" xr:uid="{87309A2F-29A3-489B-B5AB-1C85FB27D40B}"/>
    <cellStyle name="Moeda 3 10 2 2 2 2 3 2 5 2 2 6 2" xfId="2189" xr:uid="{D4D06D15-6C48-4BD3-A3AD-750D23BAB995}"/>
    <cellStyle name="Moeda 3 10 2 2 2 2 3 2 5 2 2 7" xfId="942" xr:uid="{E6CC5C1E-FB62-4B41-B371-FE5972951842}"/>
    <cellStyle name="Moeda 3 10 2 2 2 2 3 2 5 2 2 7 2" xfId="2711" xr:uid="{E6BABB8A-17D2-48B0-91C2-596D995905D3}"/>
    <cellStyle name="Moeda 3 10 2 2 2 2 3 2 5 2 2 8" xfId="1434" xr:uid="{24A93101-DC6D-4861-A3E5-8FC2ECF78CD8}"/>
    <cellStyle name="Moeda 3 10 2 2 2 2 3 2 5 2 2 8 2" xfId="3203" xr:uid="{02E14696-2E63-44C4-98C0-E62C96A1FC6E}"/>
    <cellStyle name="Moeda 3 10 2 2 2 2 3 2 5 2 2 9" xfId="1958" xr:uid="{8F398F03-9357-4B66-B945-811B00D9A480}"/>
    <cellStyle name="Moeda 3 10 2 2 2 2 3 2 5 2 3" xfId="801" xr:uid="{52E22D41-78B4-48A9-BE7C-0F5B9142D2E2}"/>
    <cellStyle name="Moeda 3 10 2 2 2 2 3 2 5 2 3 2" xfId="1293" xr:uid="{67550719-D924-4450-9A4E-12A126EA4E07}"/>
    <cellStyle name="Moeda 3 10 2 2 2 2 3 2 5 2 3 2 2" xfId="3062" xr:uid="{A829082E-CA36-4A0E-9274-B7E547D7576E}"/>
    <cellStyle name="Moeda 3 10 2 2 2 2 3 2 5 2 3 3" xfId="1785" xr:uid="{9EDEDEAA-9353-4A05-B680-680A66B170E8}"/>
    <cellStyle name="Moeda 3 10 2 2 2 2 3 2 5 2 3 3 2" xfId="3554" xr:uid="{42A14A7F-991C-4A6F-A0F6-B62C35087CFF}"/>
    <cellStyle name="Moeda 3 10 2 2 2 2 3 2 5 2 3 4" xfId="2570" xr:uid="{0BC41B16-BD3C-4C8B-BA42-8330F20F2493}"/>
    <cellStyle name="Moeda 3 10 2 2 2 2 3 2 5 2 4" xfId="643" xr:uid="{52A96809-BBAB-4FC3-9C3D-2D2A9790C850}"/>
    <cellStyle name="Moeda 3 10 2 2 2 2 3 2 5 2 4 2" xfId="1135" xr:uid="{59360C08-EF8F-4072-95FF-CE1CD7344BE0}"/>
    <cellStyle name="Moeda 3 10 2 2 2 2 3 2 5 2 4 2 2" xfId="2904" xr:uid="{11B07087-CEF2-47F8-AA5A-B7E29C06301A}"/>
    <cellStyle name="Moeda 3 10 2 2 2 2 3 2 5 2 4 3" xfId="1627" xr:uid="{9DA0384B-AB02-4060-825B-1286D9E5550E}"/>
    <cellStyle name="Moeda 3 10 2 2 2 2 3 2 5 2 4 3 2" xfId="3396" xr:uid="{773B5B88-8822-4254-97C6-563F2522DF9A}"/>
    <cellStyle name="Moeda 3 10 2 2 2 2 3 2 5 2 4 4" xfId="2412" xr:uid="{693BD8CA-1D64-4D67-8E26-6050EEFF08FF}"/>
    <cellStyle name="Moeda 3 10 2 2 2 2 3 2 5 2 5" xfId="525" xr:uid="{1E91670F-AE08-48E2-9529-244A0D1B1FA7}"/>
    <cellStyle name="Moeda 3 10 2 2 2 2 3 2 5 2 5 2" xfId="2294" xr:uid="{4171C8F3-DBC4-48AA-ABCD-4BFC799C4C19}"/>
    <cellStyle name="Moeda 3 10 2 2 2 2 3 2 5 2 6" xfId="403" xr:uid="{FBB048EE-3C45-41FB-94B2-12E5A8D925C9}"/>
    <cellStyle name="Moeda 3 10 2 2 2 2 3 2 5 2 6 2" xfId="2181" xr:uid="{94779896-CEEF-4090-A8BD-76044E46410E}"/>
    <cellStyle name="Moeda 3 10 2 2 2 2 3 2 5 2 7" xfId="1030" xr:uid="{91D26EEB-7E98-4F0C-97F5-5B0570F2A50F}"/>
    <cellStyle name="Moeda 3 10 2 2 2 2 3 2 5 2 7 2" xfId="2799" xr:uid="{3A56712A-995D-4DCB-8C8B-9CE2AD7AAC9A}"/>
    <cellStyle name="Moeda 3 10 2 2 2 2 3 2 5 2 8" xfId="1522" xr:uid="{B4CDD275-C598-46DC-9D43-BA38D3F9BE28}"/>
    <cellStyle name="Moeda 3 10 2 2 2 2 3 2 5 2 8 2" xfId="3291" xr:uid="{14EC1143-AD67-4C79-B20C-5E56998FE449}"/>
    <cellStyle name="Moeda 3 10 2 2 2 2 3 2 5 2 9" xfId="1948" xr:uid="{B423F1DE-2681-4C86-BDCB-71A12FC7D5B1}"/>
    <cellStyle name="Moeda 3 10 2 2 2 2 3 2 5 3" xfId="776" xr:uid="{3949F47C-4F14-4539-87A6-38FE16AFD291}"/>
    <cellStyle name="Moeda 3 10 2 2 2 2 3 2 5 3 2" xfId="1268" xr:uid="{C7237303-0480-4B7C-AE02-1C02B885139D}"/>
    <cellStyle name="Moeda 3 10 2 2 2 2 3 2 5 3 2 2" xfId="3037" xr:uid="{D56E9348-563D-4DB9-8165-74DB55DF6BF8}"/>
    <cellStyle name="Moeda 3 10 2 2 2 2 3 2 5 3 3" xfId="1760" xr:uid="{D379598D-CBB4-4549-9BCD-79700BB62D87}"/>
    <cellStyle name="Moeda 3 10 2 2 2 2 3 2 5 3 3 2" xfId="3529" xr:uid="{A2ABED0F-A237-4010-A457-767F6FD67ACF}"/>
    <cellStyle name="Moeda 3 10 2 2 2 2 3 2 5 3 4" xfId="2545" xr:uid="{46E056A6-2EDA-45DF-89E9-A7F1ECBACBCC}"/>
    <cellStyle name="Moeda 3 10 2 2 2 2 3 2 5 4" xfId="615" xr:uid="{C295E21A-51E5-4158-BFB1-70CEEE44D0D3}"/>
    <cellStyle name="Moeda 3 10 2 2 2 2 3 2 5 4 2" xfId="1107" xr:uid="{FF7DFFF9-5679-448C-A2B1-24B73491D895}"/>
    <cellStyle name="Moeda 3 10 2 2 2 2 3 2 5 4 2 2" xfId="2876" xr:uid="{8095D2E4-D765-43A8-B2AF-3A37970691E1}"/>
    <cellStyle name="Moeda 3 10 2 2 2 2 3 2 5 4 3" xfId="1599" xr:uid="{2C372CCA-4524-4F26-A111-3D53300D96C1}"/>
    <cellStyle name="Moeda 3 10 2 2 2 2 3 2 5 4 3 2" xfId="3368" xr:uid="{E6E315CB-AB42-44A6-AB5F-9B5B2968EC79}"/>
    <cellStyle name="Moeda 3 10 2 2 2 2 3 2 5 4 4" xfId="2384" xr:uid="{5950D651-4ECE-4474-959D-FF0188C5161F}"/>
    <cellStyle name="Moeda 3 10 2 2 2 2 3 2 5 5" xfId="550" xr:uid="{D6DFF558-B96D-4F47-A4D0-4F8B2A76F923}"/>
    <cellStyle name="Moeda 3 10 2 2 2 2 3 2 5 5 2" xfId="2319" xr:uid="{064D2A3C-B9C8-46FE-B4FF-EE1E82148256}"/>
    <cellStyle name="Moeda 3 10 2 2 2 2 3 2 5 6" xfId="378" xr:uid="{7E277114-D5D2-4C4A-8A22-24FFB89C7A99}"/>
    <cellStyle name="Moeda 3 10 2 2 2 2 3 2 5 6 2" xfId="2156" xr:uid="{FE177C12-0BE8-4AFD-87E5-3C370A160F5C}"/>
    <cellStyle name="Moeda 3 10 2 2 2 2 3 2 5 7" xfId="1049" xr:uid="{40D98D75-EA9E-42B7-9517-98C44433C596}"/>
    <cellStyle name="Moeda 3 10 2 2 2 2 3 2 5 7 2" xfId="2818" xr:uid="{24402116-C39F-4F84-8F54-661695EC9316}"/>
    <cellStyle name="Moeda 3 10 2 2 2 2 3 2 5 8" xfId="1541" xr:uid="{C5175C0D-528F-46A6-9EE2-6E43E9C42571}"/>
    <cellStyle name="Moeda 3 10 2 2 2 2 3 2 5 8 2" xfId="3310" xr:uid="{74B14FF6-C39F-4950-9CA7-8C356BFBD204}"/>
    <cellStyle name="Moeda 3 10 2 2 2 2 3 2 5 9" xfId="1920" xr:uid="{465BD15D-A712-4984-AAFE-D0CC57FDAB1C}"/>
    <cellStyle name="Moeda 3 10 2 2 2 2 3 2 6" xfId="82" xr:uid="{09151F5F-289D-42BF-A412-4BDC8EF000E4}"/>
    <cellStyle name="Moeda 3 10 2 2 2 2 3 2 6 2" xfId="763" xr:uid="{FC469129-4D05-4730-B7DC-F1B507EF66CC}"/>
    <cellStyle name="Moeda 3 10 2 2 2 2 3 2 6 2 2" xfId="1255" xr:uid="{DC0A85FD-97B8-4574-B3ED-3620CABDF163}"/>
    <cellStyle name="Moeda 3 10 2 2 2 2 3 2 6 2 2 2" xfId="3024" xr:uid="{8D3AC2E9-50E7-477D-8FBA-71A95913B936}"/>
    <cellStyle name="Moeda 3 10 2 2 2 2 3 2 6 2 3" xfId="1747" xr:uid="{FAAB7A7B-4D4A-45BA-95F5-05D11824B02B}"/>
    <cellStyle name="Moeda 3 10 2 2 2 2 3 2 6 2 3 2" xfId="3516" xr:uid="{CDCF2992-CD3D-49B5-9352-5AB6FABC9144}"/>
    <cellStyle name="Moeda 3 10 2 2 2 2 3 2 6 2 4" xfId="2532" xr:uid="{0A763067-17E3-4170-ABCD-AEC2221136C5}"/>
    <cellStyle name="Moeda 3 10 2 2 2 2 3 2 6 3" xfId="612" xr:uid="{806E8C4B-F6F6-4F91-A25A-9F8C8826A2C4}"/>
    <cellStyle name="Moeda 3 10 2 2 2 2 3 2 6 3 2" xfId="1104" xr:uid="{C01B4681-2BE9-404E-A20C-B6DB23D429D1}"/>
    <cellStyle name="Moeda 3 10 2 2 2 2 3 2 6 3 2 2" xfId="2873" xr:uid="{C566EEA8-4152-4BE9-B2F1-DF14CE2004C9}"/>
    <cellStyle name="Moeda 3 10 2 2 2 2 3 2 6 3 3" xfId="1596" xr:uid="{05C6CD34-B174-4F15-87DA-009D70F0D664}"/>
    <cellStyle name="Moeda 3 10 2 2 2 2 3 2 6 3 3 2" xfId="3365" xr:uid="{AB9B2739-65DD-41A5-B57A-61A092113D91}"/>
    <cellStyle name="Moeda 3 10 2 2 2 2 3 2 6 3 4" xfId="2381" xr:uid="{69FD6B78-AE30-4523-B0AF-C2F1601B91FD}"/>
    <cellStyle name="Moeda 3 10 2 2 2 2 3 2 6 4" xfId="348" xr:uid="{5D90E751-17B1-4571-A231-06B5BFDF5D4E}"/>
    <cellStyle name="Moeda 3 10 2 2 2 2 3 2 6 4 2" xfId="2126" xr:uid="{74E6EAE0-AFF7-48C7-9BD5-A40E5EA9A85E}"/>
    <cellStyle name="Moeda 3 10 2 2 2 2 3 2 6 5" xfId="114" xr:uid="{E945F383-6545-47BF-843F-2D54D9DB74AA}"/>
    <cellStyle name="Moeda 3 10 2 2 2 2 3 2 6 5 2" xfId="795" xr:uid="{834B37F4-521E-4DD8-9352-CD9C39EC49E7}"/>
    <cellStyle name="Moeda 3 10 2 2 2 2 3 2 6 5 2 2" xfId="1287" xr:uid="{FA8D5C07-1FAE-4CB2-99B1-8E25DD86C789}"/>
    <cellStyle name="Moeda 3 10 2 2 2 2 3 2 6 5 2 2 2" xfId="3056" xr:uid="{A7719492-D9DE-4ADE-8606-7AE67EDAC3BF}"/>
    <cellStyle name="Moeda 3 10 2 2 2 2 3 2 6 5 2 3" xfId="1779" xr:uid="{97A17222-4358-44AE-8067-8C38021BF323}"/>
    <cellStyle name="Moeda 3 10 2 2 2 2 3 2 6 5 2 3 2" xfId="3548" xr:uid="{CCB30B72-52F2-4758-A049-3C73FD811E52}"/>
    <cellStyle name="Moeda 3 10 2 2 2 2 3 2 6 5 2 4" xfId="2564" xr:uid="{5FF7D339-A5C9-4143-AB28-D520983AEC30}"/>
    <cellStyle name="Moeda 3 10 2 2 2 2 3 2 6 5 3" xfId="135" xr:uid="{2483C428-46C7-4906-A1EB-ADDBB6CBFABC}"/>
    <cellStyle name="Moeda 3 10 2 2 2 2 3 2 6 5 3 2" xfId="816" xr:uid="{8FA6123D-ECEB-4984-9B78-FC11E440BDDF}"/>
    <cellStyle name="Moeda 3 10 2 2 2 2 3 2 6 5 3 2 2" xfId="1308" xr:uid="{10E50543-6FAA-486F-91DD-E0C048F530AB}"/>
    <cellStyle name="Moeda 3 10 2 2 2 2 3 2 6 5 3 2 2 2" xfId="3077" xr:uid="{EE9F05FF-835E-4381-ACEC-CA70C8A66599}"/>
    <cellStyle name="Moeda 3 10 2 2 2 2 3 2 6 5 3 2 3" xfId="1800" xr:uid="{498C9216-9D27-416C-9562-9451B912702C}"/>
    <cellStyle name="Moeda 3 10 2 2 2 2 3 2 6 5 3 2 3 2" xfId="3569" xr:uid="{2C6EE084-DBC6-4A26-9112-4B0BF4964E9B}"/>
    <cellStyle name="Moeda 3 10 2 2 2 2 3 2 6 5 3 2 4" xfId="2585" xr:uid="{CF43EF5A-3DBE-4275-BDE2-1227504F63F9}"/>
    <cellStyle name="Moeda 3 10 2 2 2 2 3 2 6 5 3 3" xfId="660" xr:uid="{D8901AC4-DE0F-41A8-BF0F-D612765B5EC2}"/>
    <cellStyle name="Moeda 3 10 2 2 2 2 3 2 6 5 3 3 2" xfId="1152" xr:uid="{D8957967-6F4E-4A60-B0F2-D76B705277E0}"/>
    <cellStyle name="Moeda 3 10 2 2 2 2 3 2 6 5 3 3 2 2" xfId="2921" xr:uid="{CF1515E8-8769-4AEC-9EC4-3CB809A50590}"/>
    <cellStyle name="Moeda 3 10 2 2 2 2 3 2 6 5 3 3 3" xfId="1644" xr:uid="{B5E1FDD9-8A63-4250-A5AF-FF21C4569AE4}"/>
    <cellStyle name="Moeda 3 10 2 2 2 2 3 2 6 5 3 3 3 2" xfId="3413" xr:uid="{31DD732C-429A-4C10-9362-D380EDDFBDBC}"/>
    <cellStyle name="Moeda 3 10 2 2 2 2 3 2 6 5 3 3 4" xfId="2429" xr:uid="{D9BCAACF-42EE-4E04-8BAC-E65166CF55E9}"/>
    <cellStyle name="Moeda 3 10 2 2 2 2 3 2 6 5 3 4" xfId="576" xr:uid="{B445A51B-1E23-4DE3-ABD7-DB73ED077775}"/>
    <cellStyle name="Moeda 3 10 2 2 2 2 3 2 6 5 3 4 2" xfId="2345" xr:uid="{B30E8F8E-8781-4EB8-8350-B4394E3D6F8F}"/>
    <cellStyle name="Moeda 3 10 2 2 2 2 3 2 6 5 3 5" xfId="417" xr:uid="{F6889C3B-C546-470F-921C-33046D738D94}"/>
    <cellStyle name="Moeda 3 10 2 2 2 2 3 2 6 5 3 5 2" xfId="2195" xr:uid="{E967C921-85E7-45E3-AD2D-CFC3ED3BDBAF}"/>
    <cellStyle name="Moeda 3 10 2 2 2 2 3 2 6 5 3 6" xfId="1072" xr:uid="{56AE8930-428C-4C0D-84D9-D48373023F8C}"/>
    <cellStyle name="Moeda 3 10 2 2 2 2 3 2 6 5 3 6 2" xfId="2841" xr:uid="{DAFE2DB6-D1BB-4F76-BE17-73125D7D0A36}"/>
    <cellStyle name="Moeda 3 10 2 2 2 2 3 2 6 5 3 7" xfId="1564" xr:uid="{9C308A5D-03A9-457C-B02A-CB17789F8F9A}"/>
    <cellStyle name="Moeda 3 10 2 2 2 2 3 2 6 5 3 7 2" xfId="3333" xr:uid="{4A8F410F-0DFC-427C-876F-5F7ED5E88DEF}"/>
    <cellStyle name="Moeda 3 10 2 2 2 2 3 2 6 5 3 8" xfId="1965" xr:uid="{ED2BAD6E-F87F-468A-AF7A-983ACED146A2}"/>
    <cellStyle name="Moeda 3 10 2 2 2 2 3 2 6 5 4" xfId="641" xr:uid="{6DFF47F1-6A34-46B8-B990-F8B9C980371A}"/>
    <cellStyle name="Moeda 3 10 2 2 2 2 3 2 6 5 4 2" xfId="1133" xr:uid="{F2740791-C94D-4D81-9B26-6BDF0F6E2024}"/>
    <cellStyle name="Moeda 3 10 2 2 2 2 3 2 6 5 4 2 2" xfId="2902" xr:uid="{37D6F2B5-289C-4D88-B26C-BC70EA95FE6C}"/>
    <cellStyle name="Moeda 3 10 2 2 2 2 3 2 6 5 4 3" xfId="1625" xr:uid="{B21BDFB8-82BE-4A97-8DF1-2F843CCD0B35}"/>
    <cellStyle name="Moeda 3 10 2 2 2 2 3 2 6 5 4 3 2" xfId="3394" xr:uid="{9FA9D3B5-4585-4777-984E-11C04890D233}"/>
    <cellStyle name="Moeda 3 10 2 2 2 2 3 2 6 5 4 4" xfId="2410" xr:uid="{B4A00984-69FF-4DCF-AB88-D8FA1350CF8A}"/>
    <cellStyle name="Moeda 3 10 2 2 2 2 3 2 6 5 5" xfId="552" xr:uid="{A4FD11CE-B96E-4484-BF6A-DCDDB7539BD7}"/>
    <cellStyle name="Moeda 3 10 2 2 2 2 3 2 6 5 5 2" xfId="2321" xr:uid="{17FE3C00-98B9-4285-91CE-B3DA08945E5D}"/>
    <cellStyle name="Moeda 3 10 2 2 2 2 3 2 6 5 6" xfId="397" xr:uid="{F2608976-CB4D-4DDC-BB2F-E655809C1555}"/>
    <cellStyle name="Moeda 3 10 2 2 2 2 3 2 6 5 6 2" xfId="2175" xr:uid="{7FAF1B7A-39E3-4A70-91A3-4A9AC05EA9F6}"/>
    <cellStyle name="Moeda 3 10 2 2 2 2 3 2 6 5 7" xfId="1051" xr:uid="{6FAEF47F-512D-4BCA-94A8-E1B42C4FD1F0}"/>
    <cellStyle name="Moeda 3 10 2 2 2 2 3 2 6 5 7 2" xfId="2820" xr:uid="{62F274A4-8481-4EC0-B0AD-CF593956E239}"/>
    <cellStyle name="Moeda 3 10 2 2 2 2 3 2 6 5 8" xfId="1543" xr:uid="{C5736A9B-75CA-4348-BC15-29376EA538D1}"/>
    <cellStyle name="Moeda 3 10 2 2 2 2 3 2 6 5 8 2" xfId="3312" xr:uid="{B9A61286-9929-4E81-A6CB-AF840ED8BCD4}"/>
    <cellStyle name="Moeda 3 10 2 2 2 2 3 2 6 5 9" xfId="1946" xr:uid="{4A37F609-3229-4BD1-8A4B-D2B57C7544A1}"/>
    <cellStyle name="Moeda 3 10 2 2 2 2 3 2 6 6" xfId="365" xr:uid="{5C545600-D02E-4AA9-951C-385D1902AF52}"/>
    <cellStyle name="Moeda 3 10 2 2 2 2 3 2 6 6 2" xfId="2143" xr:uid="{7C4694B9-E281-4B0F-B674-6122D7B873B6}"/>
    <cellStyle name="Moeda 3 10 2 2 2 2 3 2 6 7" xfId="979" xr:uid="{3DA6EC9A-FC72-49FC-AE92-56A273F03D55}"/>
    <cellStyle name="Moeda 3 10 2 2 2 2 3 2 6 7 2" xfId="2748" xr:uid="{54C51080-9820-4FA7-8C6C-3B9B2BA19F07}"/>
    <cellStyle name="Moeda 3 10 2 2 2 2 3 2 6 8" xfId="1471" xr:uid="{A2F3F430-0096-4529-BE32-ACCBE1E1F63B}"/>
    <cellStyle name="Moeda 3 10 2 2 2 2 3 2 6 8 2" xfId="3240" xr:uid="{14E7E7C8-E9AD-4ADC-B316-9242ED8CAAA5}"/>
    <cellStyle name="Moeda 3 10 2 2 2 2 3 2 6 9" xfId="1917" xr:uid="{C76CC71E-DC69-47D0-9703-B143C628A38C}"/>
    <cellStyle name="Moeda 3 10 2 2 2 2 3 2 7" xfId="253" xr:uid="{88B6E8A9-129E-4558-8AD8-D4614CF116B0}"/>
    <cellStyle name="Moeda 3 10 2 2 2 2 3 2 7 2" xfId="2037" xr:uid="{1D3DBA33-4FC9-4B60-BF6E-DFFFD1D96153}"/>
    <cellStyle name="Moeda 3 10 2 2 2 2 3 2 8" xfId="901" xr:uid="{4B07386F-0E60-4821-9CF0-69B2D252D029}"/>
    <cellStyle name="Moeda 3 10 2 2 2 2 3 2 8 2" xfId="2670" xr:uid="{2F00AC5F-5D5D-40C0-94B9-56573A661204}"/>
    <cellStyle name="Moeda 3 10 2 2 2 2 3 2 9" xfId="1393" xr:uid="{22A13958-E684-4D72-981C-6AD9B4ABCD0E}"/>
    <cellStyle name="Moeda 3 10 2 2 2 2 3 2 9 2" xfId="3162" xr:uid="{DFC0042E-B82A-4475-900E-D01A8CA1D66F}"/>
    <cellStyle name="Moeda 3 10 2 2 2 2 3 3" xfId="727" xr:uid="{79A35249-D452-4E3C-B41A-7D44003FB782}"/>
    <cellStyle name="Moeda 3 10 2 2 2 2 3 3 2" xfId="1219" xr:uid="{FFD7C46E-40AF-4070-908D-FE7A60DCB490}"/>
    <cellStyle name="Moeda 3 10 2 2 2 2 3 3 2 2" xfId="2988" xr:uid="{25FC3250-79F5-4C55-8596-0F24D57A65FB}"/>
    <cellStyle name="Moeda 3 10 2 2 2 2 3 3 3" xfId="1711" xr:uid="{4D755664-4A27-4516-98B6-B0107ADEB82A}"/>
    <cellStyle name="Moeda 3 10 2 2 2 2 3 3 3 2" xfId="3480" xr:uid="{93521DD0-06FA-431A-A258-D17D7B1E9931}"/>
    <cellStyle name="Moeda 3 10 2 2 2 2 3 3 4" xfId="2496" xr:uid="{AED600B2-EF4E-45A0-8C76-AB6DF72E1CDD}"/>
    <cellStyle name="Moeda 3 10 2 2 2 2 3 4" xfId="586" xr:uid="{7DACFFA0-41A4-42E8-9637-9D3E9090BEE5}"/>
    <cellStyle name="Moeda 3 10 2 2 2 2 3 4 2" xfId="1078" xr:uid="{E06CB71D-DB9A-41C0-B7DD-F5DB7C045542}"/>
    <cellStyle name="Moeda 3 10 2 2 2 2 3 4 2 2" xfId="2847" xr:uid="{A731A88F-AAE9-4EB7-8612-4F8F160914A5}"/>
    <cellStyle name="Moeda 3 10 2 2 2 2 3 4 3" xfId="1570" xr:uid="{267C5AEF-715D-4A9B-958F-6C595D249B46}"/>
    <cellStyle name="Moeda 3 10 2 2 2 2 3 4 3 2" xfId="3339" xr:uid="{605726F2-B21B-4828-A8CE-AF3B0AECD514}"/>
    <cellStyle name="Moeda 3 10 2 2 2 2 3 4 4" xfId="2355" xr:uid="{EA7E0792-BAB3-4CFC-A107-C2BC40C44D7D}"/>
    <cellStyle name="Moeda 3 10 2 2 2 2 3 5" xfId="511" xr:uid="{0211B0F3-ED09-4C22-A800-B738D5F48A16}"/>
    <cellStyle name="Moeda 3 10 2 2 2 2 3 5 2" xfId="2280" xr:uid="{B61736D9-6EF2-4ED4-991E-517AEB4DC584}"/>
    <cellStyle name="Moeda 3 10 2 2 2 2 3 6" xfId="238" xr:uid="{4F663DF9-C2F8-4E0A-8933-5B4DFC2C8C2B}"/>
    <cellStyle name="Moeda 3 10 2 2 2 2 3 6 2" xfId="2022" xr:uid="{9B76454C-0376-43CE-9F6B-4A0BD444600B}"/>
    <cellStyle name="Moeda 3 10 2 2 2 2 3 7" xfId="886" xr:uid="{5127FE77-2901-43A1-AC49-9548D784AC82}"/>
    <cellStyle name="Moeda 3 10 2 2 2 2 3 7 2" xfId="2655" xr:uid="{DC91DE58-9C06-4400-822F-EE2163A428E3}"/>
    <cellStyle name="Moeda 3 10 2 2 2 2 3 8" xfId="1378" xr:uid="{DDFD6949-D0F1-4395-87C1-6A452DAFA860}"/>
    <cellStyle name="Moeda 3 10 2 2 2 2 3 8 2" xfId="3147" xr:uid="{2B746B7A-141E-4B4F-95F2-E142522BBBC1}"/>
    <cellStyle name="Moeda 3 10 2 2 2 2 3 9" xfId="1881" xr:uid="{741C7CA5-2E81-4723-85BB-259BFC1F372D}"/>
    <cellStyle name="Moeda 3 10 2 2 2 2 4" xfId="47" xr:uid="{FB097F0A-7ED4-4FC4-84CE-4FE8D15A6235}"/>
    <cellStyle name="Moeda 3 10 2 2 2 2 4 2" xfId="50" xr:uid="{8E4F19CF-0191-49EF-B4CB-01BF0CC97EE7}"/>
    <cellStyle name="Moeda 3 10 2 2 2 2 4 2 2" xfId="738" xr:uid="{0A4EA2C2-1C57-4C8D-A183-2BA8E55BF4EF}"/>
    <cellStyle name="Moeda 3 10 2 2 2 2 4 2 2 2" xfId="1230" xr:uid="{5C902EC3-C989-43B8-BC2E-B827DC737207}"/>
    <cellStyle name="Moeda 3 10 2 2 2 2 4 2 2 2 2" xfId="2999" xr:uid="{D6D66712-1322-4A2E-A19E-998F8E39E468}"/>
    <cellStyle name="Moeda 3 10 2 2 2 2 4 2 2 3" xfId="1722" xr:uid="{C3A6750A-0C47-41DF-9769-0979647D7779}"/>
    <cellStyle name="Moeda 3 10 2 2 2 2 4 2 2 3 2" xfId="3491" xr:uid="{1A55C92F-7567-46AD-B698-1087F4F7A2E4}"/>
    <cellStyle name="Moeda 3 10 2 2 2 2 4 2 2 4" xfId="2507" xr:uid="{D5EE6C24-8AEE-4062-B49B-1683132D4B99}"/>
    <cellStyle name="Moeda 3 10 2 2 2 2 4 2 3" xfId="479" xr:uid="{0C2DD2F2-0351-4124-932A-2C02F6B9C916}"/>
    <cellStyle name="Moeda 3 10 2 2 2 2 4 2 3 2" xfId="995" xr:uid="{890FB7E6-2B6F-4ECE-9105-87DA00847CBF}"/>
    <cellStyle name="Moeda 3 10 2 2 2 2 4 2 3 2 2" xfId="2764" xr:uid="{D6F8875D-7602-4C4D-83FC-4C8788E3E734}"/>
    <cellStyle name="Moeda 3 10 2 2 2 2 4 2 3 3" xfId="1487" xr:uid="{2EAF444D-9BCF-417B-95EC-00604AF780EF}"/>
    <cellStyle name="Moeda 3 10 2 2 2 2 4 2 3 3 2" xfId="3256" xr:uid="{ECDA12B7-ADD8-4547-B789-B962A6FCD826}"/>
    <cellStyle name="Moeda 3 10 2 2 2 2 4 2 3 4" xfId="2248" xr:uid="{F75D1614-B2A1-440F-BFAD-471068993531}"/>
    <cellStyle name="Moeda 3 10 2 2 2 2 4 2 4" xfId="578" xr:uid="{299DCB7C-E129-4320-BB6A-679CD88CE7E7}"/>
    <cellStyle name="Moeda 3 10 2 2 2 2 4 2 4 2" xfId="2347" xr:uid="{56A9FF73-241E-471B-8F3C-A1723998D45E}"/>
    <cellStyle name="Moeda 3 10 2 2 2 2 4 2 5" xfId="248" xr:uid="{755D3753-0DFD-40BA-A546-9E914B486CEA}"/>
    <cellStyle name="Moeda 3 10 2 2 2 2 4 2 5 2" xfId="2032" xr:uid="{CC0213F2-60F6-41C6-9778-151D353FFEFD}"/>
    <cellStyle name="Moeda 3 10 2 2 2 2 4 2 6" xfId="896" xr:uid="{F3A38178-0616-4A79-BA37-F34B3C9FEA8C}"/>
    <cellStyle name="Moeda 3 10 2 2 2 2 4 2 6 2" xfId="2665" xr:uid="{AF1C11E1-2A70-4BA8-9B23-2B6CA4241522}"/>
    <cellStyle name="Moeda 3 10 2 2 2 2 4 2 7" xfId="1388" xr:uid="{367ECD2A-BE14-4790-AFDE-A2B21B259650}"/>
    <cellStyle name="Moeda 3 10 2 2 2 2 4 2 7 2" xfId="3157" xr:uid="{C45EE4FD-83D4-4D22-99E7-B974B3E0443E}"/>
    <cellStyle name="Moeda 3 10 2 2 2 2 4 2 8" xfId="1891" xr:uid="{8173622A-7362-427F-82B0-93DFDF909CA8}"/>
    <cellStyle name="Moeda 3 10 2 2 2 2 4 3" xfId="735" xr:uid="{FF22497D-E70D-4618-9D8F-84A5083381F7}"/>
    <cellStyle name="Moeda 3 10 2 2 2 2 4 3 2" xfId="1227" xr:uid="{C383C417-B086-49F0-9D50-F561C82FFA56}"/>
    <cellStyle name="Moeda 3 10 2 2 2 2 4 3 2 2" xfId="2996" xr:uid="{FEAEC7AE-9F8D-4658-9716-222EA9A88F4E}"/>
    <cellStyle name="Moeda 3 10 2 2 2 2 4 3 3" xfId="1719" xr:uid="{92A3AB33-2E58-49A5-9A20-7944F6BC2567}"/>
    <cellStyle name="Moeda 3 10 2 2 2 2 4 3 3 2" xfId="3488" xr:uid="{AD7B863F-43B3-46D4-9B3E-627B78BF1690}"/>
    <cellStyle name="Moeda 3 10 2 2 2 2 4 3 4" xfId="2504" xr:uid="{D8771333-C11C-467E-90CB-13CC9F7633BF}"/>
    <cellStyle name="Moeda 3 10 2 2 2 2 4 4" xfId="573" xr:uid="{45C17180-495E-41DA-BFB9-8BAB3D86DA12}"/>
    <cellStyle name="Moeda 3 10 2 2 2 2 4 4 2" xfId="1069" xr:uid="{95DA9722-1DBF-4EB5-92D1-D7B6D111E0F9}"/>
    <cellStyle name="Moeda 3 10 2 2 2 2 4 4 2 2" xfId="2838" xr:uid="{DF00721E-BC65-4909-8E8F-37DF70F1B7B6}"/>
    <cellStyle name="Moeda 3 10 2 2 2 2 4 4 3" xfId="1561" xr:uid="{D9B1062F-7F53-4BAC-B01A-FCB9BBCABE0B}"/>
    <cellStyle name="Moeda 3 10 2 2 2 2 4 4 3 2" xfId="3330" xr:uid="{16A4D753-69C7-4616-8619-A130EC067A25}"/>
    <cellStyle name="Moeda 3 10 2 2 2 2 4 4 4" xfId="2342" xr:uid="{F4368507-C781-41A1-9297-49F26F35AD79}"/>
    <cellStyle name="Moeda 3 10 2 2 2 2 4 5" xfId="490" xr:uid="{7ADF61BC-EB3E-4FDB-B1F0-E153F4374CDE}"/>
    <cellStyle name="Moeda 3 10 2 2 2 2 4 5 2" xfId="2259" xr:uid="{AA6478E2-45A5-45D7-AA7C-31F015B1EFD3}"/>
    <cellStyle name="Moeda 3 10 2 2 2 2 4 6" xfId="245" xr:uid="{EF29DF13-AEE9-44ED-95DF-8FEABDFB83C3}"/>
    <cellStyle name="Moeda 3 10 2 2 2 2 4 6 2" xfId="2029" xr:uid="{6B41DC76-239F-43B5-B5C1-1C802DEA04AE}"/>
    <cellStyle name="Moeda 3 10 2 2 2 2 4 7" xfId="893" xr:uid="{00648BA4-76D1-469F-BBC7-D2F013464394}"/>
    <cellStyle name="Moeda 3 10 2 2 2 2 4 7 2" xfId="2662" xr:uid="{E6395E86-088F-4B8F-BE63-A25BCFE36AB1}"/>
    <cellStyle name="Moeda 3 10 2 2 2 2 4 8" xfId="1385" xr:uid="{02AF72C1-5D36-4122-9E3A-D8D07B4B58E9}"/>
    <cellStyle name="Moeda 3 10 2 2 2 2 4 8 2" xfId="3154" xr:uid="{489C74E9-5E5B-45FE-8121-C3D6B78B7A04}"/>
    <cellStyle name="Moeda 3 10 2 2 2 2 4 9" xfId="1888" xr:uid="{42DED07B-485E-42BE-8D34-64BF88632A4B}"/>
    <cellStyle name="Moeda 3 10 2 2 2 2 5" xfId="718" xr:uid="{A229F6FA-8F75-4CCF-AE8C-F976946757EA}"/>
    <cellStyle name="Moeda 3 10 2 2 2 2 5 2" xfId="1210" xr:uid="{A5C709B0-E989-4496-AA02-5FFA88696455}"/>
    <cellStyle name="Moeda 3 10 2 2 2 2 5 2 2" xfId="2979" xr:uid="{1C38933F-9000-4A1B-8865-1D9C872D07D6}"/>
    <cellStyle name="Moeda 3 10 2 2 2 2 5 3" xfId="1702" xr:uid="{3ADE7F52-C9F5-4A6F-98C7-AA138911FB4F}"/>
    <cellStyle name="Moeda 3 10 2 2 2 2 5 3 2" xfId="3471" xr:uid="{42839F9C-6E82-4912-BF50-80ED040FA288}"/>
    <cellStyle name="Moeda 3 10 2 2 2 2 5 4" xfId="2487" xr:uid="{1BAF44FE-E6E6-467A-A0E1-C975A0B93369}"/>
    <cellStyle name="Moeda 3 10 2 2 2 2 6" xfId="52" xr:uid="{80EC8BC6-2314-41A7-A48E-F33C45755FF7}"/>
    <cellStyle name="Moeda 3 10 2 2 2 2 6 2" xfId="740" xr:uid="{32AAE9C2-7808-4585-8A17-85C273BCD5C0}"/>
    <cellStyle name="Moeda 3 10 2 2 2 2 6 2 2" xfId="1232" xr:uid="{C8116239-E4D9-43DF-93C6-EA8663701F33}"/>
    <cellStyle name="Moeda 3 10 2 2 2 2 6 2 2 2" xfId="3001" xr:uid="{23C2ABD6-B321-4609-9CB3-20FBA11B1F3E}"/>
    <cellStyle name="Moeda 3 10 2 2 2 2 6 2 3" xfId="1724" xr:uid="{491C3E43-2FB4-4914-9E87-B89513565421}"/>
    <cellStyle name="Moeda 3 10 2 2 2 2 6 2 3 2" xfId="3493" xr:uid="{A342898E-BE28-4F7C-86AF-412285433CA5}"/>
    <cellStyle name="Moeda 3 10 2 2 2 2 6 2 4" xfId="2509" xr:uid="{643A5089-0A63-4D58-A088-AE8F5BE8DCBE}"/>
    <cellStyle name="Moeda 3 10 2 2 2 2 6 3" xfId="601" xr:uid="{160BEF53-DEE1-489C-B8B6-627EAED72AB6}"/>
    <cellStyle name="Moeda 3 10 2 2 2 2 6 3 2" xfId="1093" xr:uid="{3678EDC7-54F5-420A-B848-EA2F7006206B}"/>
    <cellStyle name="Moeda 3 10 2 2 2 2 6 3 2 2" xfId="2862" xr:uid="{45C6101E-DECA-47AF-9A84-96AD4BC2D35A}"/>
    <cellStyle name="Moeda 3 10 2 2 2 2 6 3 3" xfId="1585" xr:uid="{C645F6C2-D830-4C3D-B2EF-149A70D4436B}"/>
    <cellStyle name="Moeda 3 10 2 2 2 2 6 3 3 2" xfId="3354" xr:uid="{6921D964-5A47-4C7E-A1BF-283A774FA012}"/>
    <cellStyle name="Moeda 3 10 2 2 2 2 6 3 4" xfId="2370" xr:uid="{63102283-BD91-4DFB-95F2-0DE2D8C0610F}"/>
    <cellStyle name="Moeda 3 10 2 2 2 2 6 4" xfId="517" xr:uid="{5CF204EA-A889-410E-A282-5C7ACBF5ACD1}"/>
    <cellStyle name="Moeda 3 10 2 2 2 2 6 4 2" xfId="2286" xr:uid="{E2F67661-1CB1-4DFC-B5C2-502D6814AD41}"/>
    <cellStyle name="Moeda 3 10 2 2 2 2 6 5" xfId="250" xr:uid="{DA128BE2-37F1-4AF4-906E-95DC0CBD7949}"/>
    <cellStyle name="Moeda 3 10 2 2 2 2 6 5 2" xfId="2034" xr:uid="{71F0BA48-6948-402C-8A12-07DFF5558275}"/>
    <cellStyle name="Moeda 3 10 2 2 2 2 6 6" xfId="898" xr:uid="{55272037-4C80-42F6-A08F-B13831E7549F}"/>
    <cellStyle name="Moeda 3 10 2 2 2 2 6 6 2" xfId="2667" xr:uid="{8FD11C1E-B55D-4590-A280-79A096277587}"/>
    <cellStyle name="Moeda 3 10 2 2 2 2 6 7" xfId="1390" xr:uid="{2671350D-169D-462C-9732-A47FA94180D1}"/>
    <cellStyle name="Moeda 3 10 2 2 2 2 6 7 2" xfId="3159" xr:uid="{098409B1-6A7F-4990-9B9D-868A2A5CBB71}"/>
    <cellStyle name="Moeda 3 10 2 2 2 2 6 8" xfId="1893" xr:uid="{D32CA425-4AC4-48C7-9E04-EF0DDBA41E97}"/>
    <cellStyle name="Moeda 3 10 2 2 2 2 7" xfId="592" xr:uid="{0844CD97-FBE3-47FA-B244-9D187BBA98B7}"/>
    <cellStyle name="Moeda 3 10 2 2 2 2 7 2" xfId="1084" xr:uid="{3A2E7B55-11F5-4E2E-BE60-00EFAE3E39CC}"/>
    <cellStyle name="Moeda 3 10 2 2 2 2 7 2 2" xfId="2853" xr:uid="{23182B4F-1F90-4EAC-B2A0-77F3FC186729}"/>
    <cellStyle name="Moeda 3 10 2 2 2 2 7 3" xfId="1576" xr:uid="{BBF56957-7A8E-4C2A-BC2E-E932C461B52B}"/>
    <cellStyle name="Moeda 3 10 2 2 2 2 7 3 2" xfId="3345" xr:uid="{6CC8ED09-13E8-47F3-A28A-B76B7BBC2469}"/>
    <cellStyle name="Moeda 3 10 2 2 2 2 7 4" xfId="2361" xr:uid="{F0B29DCE-1AFF-48CD-9C71-7F7A6C3A0E51}"/>
    <cellStyle name="Moeda 3 10 2 2 2 2 8" xfId="470" xr:uid="{ED898637-CF37-4ECC-B83A-4509B2ED0AD6}"/>
    <cellStyle name="Moeda 3 10 2 2 2 2 8 2" xfId="2239" xr:uid="{74281A34-5D91-40D0-BDA2-2D6889B6CEA8}"/>
    <cellStyle name="Moeda 3 10 2 2 2 2 9" xfId="232" xr:uid="{5AC22D3A-4CFE-4239-AFE7-3E883781BF8D}"/>
    <cellStyle name="Moeda 3 10 2 2 2 2 9 2" xfId="2016" xr:uid="{7C45CFED-3128-411C-9780-19814137CE5C}"/>
    <cellStyle name="Moeda 3 10 2 2 2 3" xfId="31" xr:uid="{073D7A44-0190-4A8D-98AF-E19F15D55FDC}"/>
    <cellStyle name="Moeda 3 10 2 2 2 3 2" xfId="720" xr:uid="{276F996C-94E6-4CAA-9635-C160E30946B3}"/>
    <cellStyle name="Moeda 3 10 2 2 2 3 2 2" xfId="1212" xr:uid="{4F0DF5A2-D9A1-4E05-82B3-2FCEFA2956F0}"/>
    <cellStyle name="Moeda 3 10 2 2 2 3 2 2 2" xfId="2981" xr:uid="{A1600951-6B25-4FBE-86CC-11D7D5673C66}"/>
    <cellStyle name="Moeda 3 10 2 2 2 3 2 3" xfId="1704" xr:uid="{ED73C831-F8DF-4B47-BF5F-5E74710A2F0E}"/>
    <cellStyle name="Moeda 3 10 2 2 2 3 2 3 2" xfId="3473" xr:uid="{8FBCBBF2-5386-46C0-A89C-0E7C8B90FA1D}"/>
    <cellStyle name="Moeda 3 10 2 2 2 3 2 4" xfId="2489" xr:uid="{8BF61870-7E55-40E8-B0BE-D4E1BBEE8BAA}"/>
    <cellStyle name="Moeda 3 10 2 2 2 3 3" xfId="44" xr:uid="{676B275F-458D-472C-BEE9-6BB23D5D2202}"/>
    <cellStyle name="Moeda 3 10 2 2 2 3 3 2" xfId="59" xr:uid="{1B616317-B6D2-45ED-8FBD-42E3C64CB8B8}"/>
    <cellStyle name="Moeda 3 10 2 2 2 3 3 2 2" xfId="747" xr:uid="{64F5BE02-4538-4072-BC72-1C776304B8AF}"/>
    <cellStyle name="Moeda 3 10 2 2 2 3 3 2 2 2" xfId="1239" xr:uid="{D9907B5D-8F2F-4260-9AC7-B7E39F598CA9}"/>
    <cellStyle name="Moeda 3 10 2 2 2 3 3 2 2 2 2" xfId="3008" xr:uid="{C418EB6E-4D6C-40E4-89A2-2C231A5D38BE}"/>
    <cellStyle name="Moeda 3 10 2 2 2 3 3 2 2 3" xfId="1731" xr:uid="{8A7C6684-9D6E-4F0F-ABC4-0D394FB8FDEC}"/>
    <cellStyle name="Moeda 3 10 2 2 2 3 3 2 2 3 2" xfId="3500" xr:uid="{5A834C4D-E621-4B7A-9306-3504E455A757}"/>
    <cellStyle name="Moeda 3 10 2 2 2 3 3 2 2 4" xfId="2516" xr:uid="{A36E01BB-80A4-4FB3-B9D2-610F59A3B842}"/>
    <cellStyle name="Moeda 3 10 2 2 2 3 3 2 3" xfId="67" xr:uid="{3574F4FC-707A-4913-B90B-9B06F6EE53D7}"/>
    <cellStyle name="Moeda 3 10 2 2 2 3 3 2 3 10" xfId="1906" xr:uid="{E0091E76-38EF-49CE-80B9-059175FA6C2C}"/>
    <cellStyle name="Moeda 3 10 2 2 2 3 3 2 3 2" xfId="84" xr:uid="{6D0452B2-ED13-4815-B721-14831A12BCEC}"/>
    <cellStyle name="Moeda 3 10 2 2 2 3 3 2 3 2 2" xfId="102" xr:uid="{AEF86EB5-0F8C-4B11-955A-75416CD281D1}"/>
    <cellStyle name="Moeda 3 10 2 2 2 3 3 2 3 2 2 10" xfId="1934" xr:uid="{C6FC9BF2-D4FD-4D5F-959D-4AB4CBC61076}"/>
    <cellStyle name="Moeda 3 10 2 2 2 3 3 2 3 2 2 2" xfId="142" xr:uid="{8EDA2C1A-BD86-4103-B2E9-933B3BC6FCA4}"/>
    <cellStyle name="Moeda 3 10 2 2 2 3 3 2 3 2 2 2 2" xfId="821" xr:uid="{113AFF06-1832-4496-B5FD-A93CF600C25D}"/>
    <cellStyle name="Moeda 3 10 2 2 2 3 3 2 3 2 2 2 2 2" xfId="342" xr:uid="{5911E2A5-84B0-4609-B27F-92D9FAD73D69}"/>
    <cellStyle name="Moeda 3 10 2 2 2 3 3 2 3 2 2 2 2 2 2" xfId="973" xr:uid="{928DFC6B-1154-4F15-BCD3-5FB8BF0B2B68}"/>
    <cellStyle name="Moeda 3 10 2 2 2 3 3 2 3 2 2 2 2 2 2 2" xfId="2742" xr:uid="{74530672-EFBE-4976-8206-A088EB108C31}"/>
    <cellStyle name="Moeda 3 10 2 2 2 3 3 2 3 2 2 2 2 2 3" xfId="1465" xr:uid="{7E7ED484-35F3-45AA-AD54-3CE378B82671}"/>
    <cellStyle name="Moeda 3 10 2 2 2 3 3 2 3 2 2 2 2 2 3 2" xfId="3234" xr:uid="{14FABFEB-2F5A-4DF9-8D24-FA4B4CC843CF}"/>
    <cellStyle name="Moeda 3 10 2 2 2 3 3 2 3 2 2 2 2 2 4" xfId="2120" xr:uid="{1CDAD987-397E-44A1-B7D3-6AB542D8BCF9}"/>
    <cellStyle name="Moeda 3 10 2 2 2 3 3 2 3 2 2 2 2 3" xfId="1313" xr:uid="{8DFADB59-0871-443A-8EE7-D63646C21D19}"/>
    <cellStyle name="Moeda 3 10 2 2 2 3 3 2 3 2 2 2 2 3 2" xfId="3082" xr:uid="{58F44E10-2D6D-4597-BFCD-3E448B5837FB}"/>
    <cellStyle name="Moeda 3 10 2 2 2 3 3 2 3 2 2 2 2 4" xfId="1805" xr:uid="{956B00F7-3FFB-414D-956B-CD05B537DB47}"/>
    <cellStyle name="Moeda 3 10 2 2 2 3 3 2 3 2 2 2 2 4 2" xfId="3574" xr:uid="{F0A4EB82-0C2D-4518-90A4-2AFE77EFFAEF}"/>
    <cellStyle name="Moeda 3 10 2 2 2 3 3 2 3 2 2 2 2 5" xfId="2590" xr:uid="{F9690C5E-97A8-4CC0-A21D-8050063A1D86}"/>
    <cellStyle name="Moeda 3 10 2 2 2 3 3 2 3 2 2 2 3" xfId="667" xr:uid="{23EBC565-26B9-4A12-9251-CA37B6E93131}"/>
    <cellStyle name="Moeda 3 10 2 2 2 3 3 2 3 2 2 2 3 2" xfId="1159" xr:uid="{CF8E505F-A26A-41D7-AFE1-B8E1F5F5D2DD}"/>
    <cellStyle name="Moeda 3 10 2 2 2 3 3 2 3 2 2 2 3 2 2" xfId="2928" xr:uid="{C7AACDF0-805A-4189-AB32-F431A6454C4B}"/>
    <cellStyle name="Moeda 3 10 2 2 2 3 3 2 3 2 2 2 3 3" xfId="1651" xr:uid="{E51FC9D4-F5B2-4CFB-A162-440FB5444D4C}"/>
    <cellStyle name="Moeda 3 10 2 2 2 3 3 2 3 2 2 2 3 3 2" xfId="3420" xr:uid="{F79293EC-4102-4894-9BAB-248F9DF727F7}"/>
    <cellStyle name="Moeda 3 10 2 2 2 3 3 2 3 2 2 2 3 4" xfId="2436" xr:uid="{C714C9F3-DF7C-42A4-8298-B1C26ACA2BD7}"/>
    <cellStyle name="Moeda 3 10 2 2 2 3 3 2 3 2 2 2 4" xfId="312" xr:uid="{EAF12C10-7284-4963-B062-C6640640C7F2}"/>
    <cellStyle name="Moeda 3 10 2 2 2 3 3 2 3 2 2 2 4 2" xfId="2090" xr:uid="{EFE2D793-FFBF-4CDB-8C77-98E7D13D0D00}"/>
    <cellStyle name="Moeda 3 10 2 2 2 3 3 2 3 2 2 2 5" xfId="422" xr:uid="{FA5A6F2B-67EE-43DF-A377-EF8F952BF7B6}"/>
    <cellStyle name="Moeda 3 10 2 2 2 3 3 2 3 2 2 2 5 2" xfId="2200" xr:uid="{24243D71-63A0-4FB2-AD53-80C00DBB72DC}"/>
    <cellStyle name="Moeda 3 10 2 2 2 3 3 2 3 2 2 2 6" xfId="948" xr:uid="{BDF00E95-0625-40D7-B749-4DE134702BEB}"/>
    <cellStyle name="Moeda 3 10 2 2 2 3 3 2 3 2 2 2 6 2" xfId="2717" xr:uid="{5689CB8B-154E-46E3-8E26-D8794EFCDB28}"/>
    <cellStyle name="Moeda 3 10 2 2 2 3 3 2 3 2 2 2 7" xfId="1440" xr:uid="{1FD2D66C-9F97-4A56-8879-D93D66AF8653}"/>
    <cellStyle name="Moeda 3 10 2 2 2 3 3 2 3 2 2 2 7 2" xfId="3209" xr:uid="{69325A53-A337-4239-8047-F883ED09D21D}"/>
    <cellStyle name="Moeda 3 10 2 2 2 3 3 2 3 2 2 2 8" xfId="1972" xr:uid="{EA7B8F60-F00B-4E86-952C-3D46B0A20315}"/>
    <cellStyle name="Moeda 3 10 2 2 2 3 3 2 3 2 2 3" xfId="125" xr:uid="{9FD0304D-CF8B-409B-B0D3-21220DC6FA4F}"/>
    <cellStyle name="Moeda 3 10 2 2 2 3 3 2 3 2 2 3 10" xfId="1955" xr:uid="{25F84AE2-06D1-4E1A-BAB6-540BDB76E23C}"/>
    <cellStyle name="Moeda 3 10 2 2 2 3 3 2 3 2 2 3 2" xfId="808" xr:uid="{98BEBEC5-F776-4DE7-B09D-3742A28A211B}"/>
    <cellStyle name="Moeda 3 10 2 2 2 3 3 2 3 2 2 3 2 2" xfId="1300" xr:uid="{79D005C0-E0CE-4BA0-A5EB-8DF24C67628A}"/>
    <cellStyle name="Moeda 3 10 2 2 2 3 3 2 3 2 2 3 2 2 2" xfId="3069" xr:uid="{373BC3AA-2142-46A3-A3E6-CDD886528309}"/>
    <cellStyle name="Moeda 3 10 2 2 2 3 3 2 3 2 2 3 2 3" xfId="1792" xr:uid="{0BD70494-E8DD-4BC3-9B97-53798E3C4C8F}"/>
    <cellStyle name="Moeda 3 10 2 2 2 3 3 2 3 2 2 3 2 3 2" xfId="3561" xr:uid="{CB609812-CD6B-4839-BA28-AF8D290BE22C}"/>
    <cellStyle name="Moeda 3 10 2 2 2 3 3 2 3 2 2 3 2 4" xfId="2577" xr:uid="{081CAED3-45BE-408B-A292-E9BC462A3ACB}"/>
    <cellStyle name="Moeda 3 10 2 2 2 3 3 2 3 2 2 3 3" xfId="143" xr:uid="{A63F6335-C35B-4246-B246-BD8ADBEF0A37}"/>
    <cellStyle name="Moeda 3 10 2 2 2 3 3 2 3 2 2 3 3 2" xfId="518" xr:uid="{9AF89630-7357-4289-B2E8-594D8220820C}"/>
    <cellStyle name="Moeda 3 10 2 2 2 3 3 2 3 2 2 3 3 2 2" xfId="861" xr:uid="{14FB3C41-1EFF-4BD8-A0DC-5A68AFF8DA84}"/>
    <cellStyle name="Moeda 3 10 2 2 2 3 3 2 3 2 2 3 3 2 2 2" xfId="1353" xr:uid="{EA5BFB76-F71B-4B48-A867-D092D770A088}"/>
    <cellStyle name="Moeda 3 10 2 2 2 3 3 2 3 2 2 3 3 2 2 2 2" xfId="3122" xr:uid="{EE329804-999D-4C2F-8F91-6CA3D34B3796}"/>
    <cellStyle name="Moeda 3 10 2 2 2 3 3 2 3 2 2 3 3 2 2 3" xfId="1845" xr:uid="{6C679D23-7387-486C-BD52-D8F03174BFCC}"/>
    <cellStyle name="Moeda 3 10 2 2 2 3 3 2 3 2 2 3 3 2 2 3 2" xfId="3614" xr:uid="{250614FB-D836-430A-8830-28C5139667D6}"/>
    <cellStyle name="Moeda 3 10 2 2 2 3 3 2 3 2 2 3 3 2 2 4" xfId="2630" xr:uid="{9E8F0151-B552-4ADA-A107-96C362E1A708}"/>
    <cellStyle name="Moeda 3 10 2 2 2 3 3 2 3 2 2 3 3 2 3" xfId="1025" xr:uid="{79A3E963-B15D-4966-B1EF-3606A081FA48}"/>
    <cellStyle name="Moeda 3 10 2 2 2 3 3 2 3 2 2 3 3 2 3 2" xfId="2794" xr:uid="{1C92712E-D02A-4625-B2BB-9113A99897D1}"/>
    <cellStyle name="Moeda 3 10 2 2 2 3 3 2 3 2 2 3 3 2 4" xfId="1517" xr:uid="{FC60936D-46B3-46AC-8BBD-4DA69D0B4E76}"/>
    <cellStyle name="Moeda 3 10 2 2 2 3 3 2 3 2 2 3 3 2 4 2" xfId="3286" xr:uid="{7062B16E-8A40-4FC2-8D70-1387D319DC4A}"/>
    <cellStyle name="Moeda 3 10 2 2 2 3 3 2 3 2 2 3 3 2 5" xfId="2287" xr:uid="{C80E7C90-E729-41C3-81F4-4A4B92DB7360}"/>
    <cellStyle name="Moeda 3 10 2 2 2 3 3 2 3 2 2 3 3 3" xfId="823" xr:uid="{2656EA61-DFFC-4135-A6E8-13ACE3FCAA9F}"/>
    <cellStyle name="Moeda 3 10 2 2 2 3 3 2 3 2 2 3 3 3 2" xfId="1315" xr:uid="{E01FB11E-380C-4660-AACF-097FFE2D9D98}"/>
    <cellStyle name="Moeda 3 10 2 2 2 3 3 2 3 2 2 3 3 3 2 2" xfId="3084" xr:uid="{0B68C423-0EF1-4627-BE77-9D3992BDFA63}"/>
    <cellStyle name="Moeda 3 10 2 2 2 3 3 2 3 2 2 3 3 3 3" xfId="1807" xr:uid="{370CF889-B461-4504-9AE1-FF9817CD0D76}"/>
    <cellStyle name="Moeda 3 10 2 2 2 3 3 2 3 2 2 3 3 3 3 2" xfId="3576" xr:uid="{E13CBE91-A903-4A78-A7BB-8587B9DD5C35}"/>
    <cellStyle name="Moeda 3 10 2 2 2 3 3 2 3 2 2 3 3 3 4" xfId="2592" xr:uid="{AED7269B-AEBB-4706-86B7-D8C40D823223}"/>
    <cellStyle name="Moeda 3 10 2 2 2 3 3 2 3 2 2 3 3 4" xfId="668" xr:uid="{525EC93B-144A-454B-9315-8DC281CDB5C2}"/>
    <cellStyle name="Moeda 3 10 2 2 2 3 3 2 3 2 2 3 3 4 2" xfId="1160" xr:uid="{CADFFFC6-730D-48D6-823E-40712F2E40F5}"/>
    <cellStyle name="Moeda 3 10 2 2 2 3 3 2 3 2 2 3 3 4 2 2" xfId="2929" xr:uid="{75AD23E7-1C2C-4387-AE6B-7A0ABCE58B83}"/>
    <cellStyle name="Moeda 3 10 2 2 2 3 3 2 3 2 2 3 3 4 3" xfId="1652" xr:uid="{3E1F8264-7586-4D40-B453-448B92A76ED3}"/>
    <cellStyle name="Moeda 3 10 2 2 2 3 3 2 3 2 2 3 3 4 3 2" xfId="3421" xr:uid="{0055E309-F461-400E-8933-D6B0FD9B4980}"/>
    <cellStyle name="Moeda 3 10 2 2 2 3 3 2 3 2 2 3 3 4 4" xfId="2437" xr:uid="{A3EE30CE-6EB5-4937-8523-38F169265046}"/>
    <cellStyle name="Moeda 3 10 2 2 2 3 3 2 3 2 2 3 3 5" xfId="556" xr:uid="{09EED428-F82D-4C38-ADAD-79E464C4EB54}"/>
    <cellStyle name="Moeda 3 10 2 2 2 3 3 2 3 2 2 3 3 5 2" xfId="2325" xr:uid="{AF0315EC-CFC5-46DF-A99F-E606A6CBB51E}"/>
    <cellStyle name="Moeda 3 10 2 2 2 3 3 2 3 2 2 3 3 6" xfId="424" xr:uid="{5FDB458E-9F34-4D60-AA0C-0230ED3E4537}"/>
    <cellStyle name="Moeda 3 10 2 2 2 3 3 2 3 2 2 3 3 6 2" xfId="2202" xr:uid="{CA976428-F87F-45E2-9432-8ED28AE7F60D}"/>
    <cellStyle name="Moeda 3 10 2 2 2 3 3 2 3 2 2 3 3 7" xfId="1054" xr:uid="{7D1F453C-9915-4750-9071-DAA2D4D63828}"/>
    <cellStyle name="Moeda 3 10 2 2 2 3 3 2 3 2 2 3 3 7 2" xfId="2823" xr:uid="{0C6A92AE-20B2-413A-AB9C-BC4EEB86CD42}"/>
    <cellStyle name="Moeda 3 10 2 2 2 3 3 2 3 2 2 3 3 8" xfId="1546" xr:uid="{2B725AAF-FD3C-4337-95C3-B84DCFDC8406}"/>
    <cellStyle name="Moeda 3 10 2 2 2 3 3 2 3 2 2 3 3 8 2" xfId="3315" xr:uid="{9694C7C4-0C90-4545-B264-05639852C14B}"/>
    <cellStyle name="Moeda 3 10 2 2 2 3 3 2 3 2 2 3 3 9" xfId="1973" xr:uid="{123B9369-D3E4-4424-8F30-39527AB66200}"/>
    <cellStyle name="Moeda 3 10 2 2 2 3 3 2 3 2 2 3 4" xfId="149" xr:uid="{F8D45D4E-1767-448D-8A68-9A6D935C1F03}"/>
    <cellStyle name="Moeda 3 10 2 2 2 3 3 2 3 2 2 3 4 2" xfId="834" xr:uid="{44931E47-DEE6-4CD8-86AD-A11A7DAE6D3E}"/>
    <cellStyle name="Moeda 3 10 2 2 2 3 3 2 3 2 2 3 4 2 2" xfId="1326" xr:uid="{67706890-9DA3-4E72-BD26-F32FF9D84918}"/>
    <cellStyle name="Moeda 3 10 2 2 2 3 3 2 3 2 2 3 4 2 2 2" xfId="3095" xr:uid="{C159657A-97A1-453B-BE48-D98BF996E3E7}"/>
    <cellStyle name="Moeda 3 10 2 2 2 3 3 2 3 2 2 3 4 2 3" xfId="1818" xr:uid="{EFBE1E37-8DC9-4C2D-8840-CDD2A4DAAB2E}"/>
    <cellStyle name="Moeda 3 10 2 2 2 3 3 2 3 2 2 3 4 2 3 2" xfId="3587" xr:uid="{F2327321-C409-4523-9993-0DB89BF78CD0}"/>
    <cellStyle name="Moeda 3 10 2 2 2 3 3 2 3 2 2 3 4 2 4" xfId="2603" xr:uid="{AB087504-1106-48FC-AE6A-ED32C1773C78}"/>
    <cellStyle name="Moeda 3 10 2 2 2 3 3 2 3 2 2 3 4 3" xfId="674" xr:uid="{1A69F184-A7F4-48FF-8AB9-EAB4427467F8}"/>
    <cellStyle name="Moeda 3 10 2 2 2 3 3 2 3 2 2 3 4 3 2" xfId="1166" xr:uid="{E91233B9-1BFF-4463-B9F1-A59506F93E52}"/>
    <cellStyle name="Moeda 3 10 2 2 2 3 3 2 3 2 2 3 4 3 2 2" xfId="2935" xr:uid="{B8062568-6F08-4901-B8AB-0CC5454F8DB5}"/>
    <cellStyle name="Moeda 3 10 2 2 2 3 3 2 3 2 2 3 4 3 3" xfId="1658" xr:uid="{80122613-3855-4E4C-A7EA-4C1B579339BB}"/>
    <cellStyle name="Moeda 3 10 2 2 2 3 3 2 3 2 2 3 4 3 3 2" xfId="3427" xr:uid="{32104AC7-E84F-482B-8F83-C3FAE2B9AF5C}"/>
    <cellStyle name="Moeda 3 10 2 2 2 3 3 2 3 2 2 3 4 3 4" xfId="2443" xr:uid="{E18CD95F-2309-4097-AB37-749B5EACCE9D}"/>
    <cellStyle name="Moeda 3 10 2 2 2 3 3 2 3 2 2 3 4 4" xfId="565" xr:uid="{E35492CE-C8D1-40DF-9F36-6D3E6D6A2189}"/>
    <cellStyle name="Moeda 3 10 2 2 2 3 3 2 3 2 2 3 4 4 2" xfId="2334" xr:uid="{5DBD943D-DE69-40B6-823A-F18C6E4D7E9E}"/>
    <cellStyle name="Moeda 3 10 2 2 2 3 3 2 3 2 2 3 4 5" xfId="435" xr:uid="{F2AA1859-5BEE-4FD9-A989-F56885430510}"/>
    <cellStyle name="Moeda 3 10 2 2 2 3 3 2 3 2 2 3 4 5 2" xfId="2213" xr:uid="{0769F8A9-7AF8-420D-8CEF-FFA6F75C6B54}"/>
    <cellStyle name="Moeda 3 10 2 2 2 3 3 2 3 2 2 3 4 6" xfId="1062" xr:uid="{AE60C12A-0FCA-4789-8BD4-8D283A8C2510}"/>
    <cellStyle name="Moeda 3 10 2 2 2 3 3 2 3 2 2 3 4 6 2" xfId="2831" xr:uid="{F28642F3-9A64-4DD7-AB24-AA309F2B435A}"/>
    <cellStyle name="Moeda 3 10 2 2 2 3 3 2 3 2 2 3 4 7" xfId="1554" xr:uid="{1933F32E-D892-49B5-9E84-24C15502F3DA}"/>
    <cellStyle name="Moeda 3 10 2 2 2 3 3 2 3 2 2 3 4 7 2" xfId="3323" xr:uid="{4A825F61-ABB0-432C-87B7-7CDBB25C05F9}"/>
    <cellStyle name="Moeda 3 10 2 2 2 3 3 2 3 2 2 3 4 8" xfId="1979" xr:uid="{202E6529-C65D-41EE-9D43-B222B433293B}"/>
    <cellStyle name="Moeda 3 10 2 2 2 3 3 2 3 2 2 3 5" xfId="650" xr:uid="{00904F16-36BE-4D87-8E9D-CB5B7EB3C8A2}"/>
    <cellStyle name="Moeda 3 10 2 2 2 3 3 2 3 2 2 3 5 2" xfId="1142" xr:uid="{AC89892F-7DE0-4EC8-8077-BEB6BD61B00C}"/>
    <cellStyle name="Moeda 3 10 2 2 2 3 3 2 3 2 2 3 5 2 2" xfId="2911" xr:uid="{50C20A74-E785-48E2-9C14-7712FD890201}"/>
    <cellStyle name="Moeda 3 10 2 2 2 3 3 2 3 2 2 3 5 3" xfId="1634" xr:uid="{82097CC4-A9E1-4C66-B26C-B76C71F96359}"/>
    <cellStyle name="Moeda 3 10 2 2 2 3 3 2 3 2 2 3 5 3 2" xfId="3403" xr:uid="{89F4A8AE-D8F5-400B-8CF7-C54C378A54E7}"/>
    <cellStyle name="Moeda 3 10 2 2 2 3 3 2 3 2 2 3 5 4" xfId="2419" xr:uid="{3810FE94-7D6C-4AA6-9098-58BF40D8D08F}"/>
    <cellStyle name="Moeda 3 10 2 2 2 3 3 2 3 2 2 3 6" xfId="272" xr:uid="{97F295C4-848B-4B4F-AE66-02E1E1F4A613}"/>
    <cellStyle name="Moeda 3 10 2 2 2 3 3 2 3 2 2 3 6 2" xfId="2056" xr:uid="{80F570BE-D30D-4F2B-9E0D-21C78FF8285A}"/>
    <cellStyle name="Moeda 3 10 2 2 2 3 3 2 3 2 2 3 7" xfId="410" xr:uid="{1803D242-BBBA-4720-8ED2-471F5C495989}"/>
    <cellStyle name="Moeda 3 10 2 2 2 3 3 2 3 2 2 3 7 2" xfId="2188" xr:uid="{AE36E92F-26E3-4AFA-99E6-156CE314AA3C}"/>
    <cellStyle name="Moeda 3 10 2 2 2 3 3 2 3 2 2 3 8" xfId="919" xr:uid="{7E9FE1C1-5A97-41FD-AB3E-8C5414AF830B}"/>
    <cellStyle name="Moeda 3 10 2 2 2 3 3 2 3 2 2 3 8 2" xfId="2688" xr:uid="{43DF3567-E8A3-4689-88CC-66CD851C8F95}"/>
    <cellStyle name="Moeda 3 10 2 2 2 3 3 2 3 2 2 3 9" xfId="1411" xr:uid="{F81BFE38-0468-4954-8684-13568E391B1E}"/>
    <cellStyle name="Moeda 3 10 2 2 2 3 3 2 3 2 2 3 9 2" xfId="3180" xr:uid="{E2ACFE58-7F2F-48BC-AB19-FF91242F8EAC}"/>
    <cellStyle name="Moeda 3 10 2 2 2 3 3 2 3 2 2 4" xfId="786" xr:uid="{12A031E0-F3B6-4FBE-9E1A-109440172D94}"/>
    <cellStyle name="Moeda 3 10 2 2 2 3 3 2 3 2 2 4 2" xfId="1278" xr:uid="{270A8F0E-2790-440A-8EF1-F93D22122306}"/>
    <cellStyle name="Moeda 3 10 2 2 2 3 3 2 3 2 2 4 2 2" xfId="3047" xr:uid="{4ECA1E41-64BA-4B2C-A5F7-20C4FEF5B8E9}"/>
    <cellStyle name="Moeda 3 10 2 2 2 3 3 2 3 2 2 4 3" xfId="1770" xr:uid="{B6FA30D3-D899-4D99-BA97-2B8AB4815B33}"/>
    <cellStyle name="Moeda 3 10 2 2 2 3 3 2 3 2 2 4 3 2" xfId="3539" xr:uid="{932CD705-E44B-4C71-A114-471BC050471E}"/>
    <cellStyle name="Moeda 3 10 2 2 2 3 3 2 3 2 2 4 4" xfId="2555" xr:uid="{884AF36D-27C2-48D4-8CD1-B3173D3AFA95}"/>
    <cellStyle name="Moeda 3 10 2 2 2 3 3 2 3 2 2 5" xfId="629" xr:uid="{1B231D92-5E48-4C49-BCCB-3CD768249006}"/>
    <cellStyle name="Moeda 3 10 2 2 2 3 3 2 3 2 2 5 2" xfId="1121" xr:uid="{3D815F1E-E064-40E4-931C-870855834197}"/>
    <cellStyle name="Moeda 3 10 2 2 2 3 3 2 3 2 2 5 2 2" xfId="2890" xr:uid="{00276084-D288-411C-B2B0-F46600E9032E}"/>
    <cellStyle name="Moeda 3 10 2 2 2 3 3 2 3 2 2 5 3" xfId="1613" xr:uid="{EFBC3FB5-A79D-41C3-957F-2DD6EC915B86}"/>
    <cellStyle name="Moeda 3 10 2 2 2 3 3 2 3 2 2 5 3 2" xfId="3382" xr:uid="{DA1DF186-C33F-4817-B177-A4601C6F24FB}"/>
    <cellStyle name="Moeda 3 10 2 2 2 3 3 2 3 2 2 5 4" xfId="2398" xr:uid="{5339A47B-3B14-40F8-B7F9-36B4D1A7C240}"/>
    <cellStyle name="Moeda 3 10 2 2 2 3 3 2 3 2 2 6" xfId="289" xr:uid="{86586278-F129-4F55-92EA-BCAF13E39F0A}"/>
    <cellStyle name="Moeda 3 10 2 2 2 3 3 2 3 2 2 6 2" xfId="2069" xr:uid="{D655A03F-8C40-4B4F-BB3B-F56718E59FBE}"/>
    <cellStyle name="Moeda 3 10 2 2 2 3 3 2 3 2 2 7" xfId="388" xr:uid="{031ECAF0-A5D5-4ACB-A3D8-263D3D6B8883}"/>
    <cellStyle name="Moeda 3 10 2 2 2 3 3 2 3 2 2 7 2" xfId="2166" xr:uid="{0187119D-7EFC-4BA3-96F7-152D077ACA0B}"/>
    <cellStyle name="Moeda 3 10 2 2 2 3 3 2 3 2 2 8" xfId="931" xr:uid="{6ACB26EF-8780-4E4C-A1B3-09A8056541A7}"/>
    <cellStyle name="Moeda 3 10 2 2 2 3 3 2 3 2 2 8 2" xfId="2700" xr:uid="{5D0109C6-B50F-45AF-A8DB-96FD4BC12104}"/>
    <cellStyle name="Moeda 3 10 2 2 2 3 3 2 3 2 2 9" xfId="1423" xr:uid="{6637355B-4092-4EB2-ADD5-362CDBC1DC0A}"/>
    <cellStyle name="Moeda 3 10 2 2 2 3 3 2 3 2 2 9 2" xfId="3192" xr:uid="{644CFEBC-CEC9-4AE9-9C53-65F297AEF4F7}"/>
    <cellStyle name="Moeda 3 10 2 2 2 3 3 2 3 2 3" xfId="768" xr:uid="{3A3D187D-38B6-479F-93D3-24A9431885E9}"/>
    <cellStyle name="Moeda 3 10 2 2 2 3 3 2 3 2 3 2" xfId="1260" xr:uid="{849ED6B9-AAE0-403D-9175-37CFC8C8FF37}"/>
    <cellStyle name="Moeda 3 10 2 2 2 3 3 2 3 2 3 2 2" xfId="3029" xr:uid="{B57D85C1-21FE-474E-863C-9EC89948361A}"/>
    <cellStyle name="Moeda 3 10 2 2 2 3 3 2 3 2 3 3" xfId="1752" xr:uid="{6B06F426-1380-4942-BDA3-0D5D4C5D2276}"/>
    <cellStyle name="Moeda 3 10 2 2 2 3 3 2 3 2 3 3 2" xfId="3521" xr:uid="{9A96EABD-FDEB-4926-9F55-46ADF27BC2C2}"/>
    <cellStyle name="Moeda 3 10 2 2 2 3 3 2 3 2 3 4" xfId="2537" xr:uid="{5C0EB43D-C8D6-434C-B33B-89E3D7F41D00}"/>
    <cellStyle name="Moeda 3 10 2 2 2 3 3 2 3 2 4" xfId="614" xr:uid="{EB966DA6-3A4B-4F0E-9BCB-8D71BA2A29A0}"/>
    <cellStyle name="Moeda 3 10 2 2 2 3 3 2 3 2 4 2" xfId="1106" xr:uid="{5421D2F7-9983-426E-9760-BF033BEBFBAD}"/>
    <cellStyle name="Moeda 3 10 2 2 2 3 3 2 3 2 4 2 2" xfId="2875" xr:uid="{71367DE2-3FD9-4E0C-96DE-B50A19CAF449}"/>
    <cellStyle name="Moeda 3 10 2 2 2 3 3 2 3 2 4 3" xfId="1598" xr:uid="{BB016C25-67DE-4578-B626-5470620C208B}"/>
    <cellStyle name="Moeda 3 10 2 2 2 3 3 2 3 2 4 3 2" xfId="3367" xr:uid="{119DF561-4325-48F5-92E2-7C00847FFAC7}"/>
    <cellStyle name="Moeda 3 10 2 2 2 3 3 2 3 2 4 4" xfId="2383" xr:uid="{679A8E6B-6C17-42B8-8DF7-964B288B3054}"/>
    <cellStyle name="Moeda 3 10 2 2 2 3 3 2 3 2 5" xfId="320" xr:uid="{CE8A4C9E-6D77-4F84-AAFD-3A80AC2D91A2}"/>
    <cellStyle name="Moeda 3 10 2 2 2 3 3 2 3 2 5 2" xfId="2098" xr:uid="{BC3BFE82-555C-4257-AE9A-D13E680B5692}"/>
    <cellStyle name="Moeda 3 10 2 2 2 3 3 2 3 2 6" xfId="370" xr:uid="{35B1911E-1EBD-4689-AB3D-13815C504637}"/>
    <cellStyle name="Moeda 3 10 2 2 2 3 3 2 3 2 6 2" xfId="2148" xr:uid="{35C56445-AD8C-4083-84F0-EADA268C3942}"/>
    <cellStyle name="Moeda 3 10 2 2 2 3 3 2 3 2 7" xfId="954" xr:uid="{B14DD639-D87E-414D-A36C-82986C9D1FCB}"/>
    <cellStyle name="Moeda 3 10 2 2 2 3 3 2 3 2 7 2" xfId="2723" xr:uid="{7C3AAFBB-C6CB-469D-A084-A80FBDBEEE43}"/>
    <cellStyle name="Moeda 3 10 2 2 2 3 3 2 3 2 8" xfId="1446" xr:uid="{35462568-B89A-4E19-926F-489E1734FA01}"/>
    <cellStyle name="Moeda 3 10 2 2 2 3 3 2 3 2 8 2" xfId="3215" xr:uid="{74577DE7-C086-46F6-B530-ABD2CCA49883}"/>
    <cellStyle name="Moeda 3 10 2 2 2 3 3 2 3 2 9" xfId="1919" xr:uid="{7F17F0DF-9D23-4FF7-8D9D-035FE08B3101}"/>
    <cellStyle name="Moeda 3 10 2 2 2 3 3 2 3 3" xfId="753" xr:uid="{E1E44578-FC32-44ED-B4A8-B2088886D3F4}"/>
    <cellStyle name="Moeda 3 10 2 2 2 3 3 2 3 3 2" xfId="1245" xr:uid="{8D1E8D90-9B16-4281-8055-CF67FC4FBCED}"/>
    <cellStyle name="Moeda 3 10 2 2 2 3 3 2 3 3 2 2" xfId="3014" xr:uid="{F30A35B6-D6E3-43EC-AA35-2A2E35A235A3}"/>
    <cellStyle name="Moeda 3 10 2 2 2 3 3 2 3 3 3" xfId="1737" xr:uid="{934907A4-075A-44A6-AA28-D26237B2D1BC}"/>
    <cellStyle name="Moeda 3 10 2 2 2 3 3 2 3 3 3 2" xfId="3506" xr:uid="{A90ABEDA-6637-4FD6-8591-3E8366B40914}"/>
    <cellStyle name="Moeda 3 10 2 2 2 3 3 2 3 3 4" xfId="2522" xr:uid="{6BCF225F-1AD9-4BAA-8511-045CFB1F97FD}"/>
    <cellStyle name="Moeda 3 10 2 2 2 3 3 2 3 4" xfId="95" xr:uid="{9C8714B6-6292-44CA-9A19-D101AF3F1B68}"/>
    <cellStyle name="Moeda 3 10 2 2 2 3 3 2 3 4 2" xfId="777" xr:uid="{9DC39F1B-B922-47E5-9A73-662B16E1C0F2}"/>
    <cellStyle name="Moeda 3 10 2 2 2 3 3 2 3 4 2 2" xfId="1269" xr:uid="{8043DA4B-8A60-4459-9650-0026D92D8D8F}"/>
    <cellStyle name="Moeda 3 10 2 2 2 3 3 2 3 4 2 2 2" xfId="3038" xr:uid="{800B0C2B-B8AF-484B-AE34-180AF8F31022}"/>
    <cellStyle name="Moeda 3 10 2 2 2 3 3 2 3 4 2 3" xfId="1761" xr:uid="{B5E0B141-AD34-444C-8C14-894B8B402EDE}"/>
    <cellStyle name="Moeda 3 10 2 2 2 3 3 2 3 4 2 3 2" xfId="3530" xr:uid="{EC5C80E5-72DA-4E5B-BFD4-FB6B3660E8B2}"/>
    <cellStyle name="Moeda 3 10 2 2 2 3 3 2 3 4 2 4" xfId="2546" xr:uid="{E345190D-A4D4-4788-A34B-528EAB259FC4}"/>
    <cellStyle name="Moeda 3 10 2 2 2 3 3 2 3 4 3" xfId="623" xr:uid="{0C751C17-0E75-42DA-BAB9-97B3B6658BD2}"/>
    <cellStyle name="Moeda 3 10 2 2 2 3 3 2 3 4 3 2" xfId="1115" xr:uid="{C89B6F2A-B02E-44D4-BFBE-B230FC287B62}"/>
    <cellStyle name="Moeda 3 10 2 2 2 3 3 2 3 4 3 2 2" xfId="2884" xr:uid="{5D65CCA2-3DF1-41C0-8545-BDECD5151A83}"/>
    <cellStyle name="Moeda 3 10 2 2 2 3 3 2 3 4 3 3" xfId="1607" xr:uid="{8F4D5CF7-D9E6-4280-B5C7-B6241ED37AEC}"/>
    <cellStyle name="Moeda 3 10 2 2 2 3 3 2 3 4 3 3 2" xfId="3376" xr:uid="{B2D835B8-3FD6-4F9F-BE23-ECD9A17530FF}"/>
    <cellStyle name="Moeda 3 10 2 2 2 3 3 2 3 4 3 4" xfId="2392" xr:uid="{CDC09501-001B-4C2C-9731-57018FDA1731}"/>
    <cellStyle name="Moeda 3 10 2 2 2 3 3 2 3 4 4" xfId="126" xr:uid="{6D916F33-5152-416D-A99A-24415B266EAC}"/>
    <cellStyle name="Moeda 3 10 2 2 2 3 3 2 3 4 4 2" xfId="806" xr:uid="{7AF12E28-9E9C-4716-872F-2214EF3AFA86}"/>
    <cellStyle name="Moeda 3 10 2 2 2 3 3 2 3 4 4 2 2" xfId="1298" xr:uid="{F0EFFF34-69AD-4B82-9091-5A64E7812BEC}"/>
    <cellStyle name="Moeda 3 10 2 2 2 3 3 2 3 4 4 2 2 2" xfId="3067" xr:uid="{C05272D6-D402-45BA-BAFE-9738631901D1}"/>
    <cellStyle name="Moeda 3 10 2 2 2 3 3 2 3 4 4 2 3" xfId="1790" xr:uid="{0CD92125-D086-4601-9318-B785011DB2C0}"/>
    <cellStyle name="Moeda 3 10 2 2 2 3 3 2 3 4 4 2 3 2" xfId="3559" xr:uid="{24508A15-7749-42AE-B6FD-B6A4973027B6}"/>
    <cellStyle name="Moeda 3 10 2 2 2 3 3 2 3 4 4 2 4" xfId="2575" xr:uid="{A6BF5DEE-67CE-4666-8FAA-F764CCEF3793}"/>
    <cellStyle name="Moeda 3 10 2 2 2 3 3 2 3 4 4 3" xfId="138" xr:uid="{2552168E-428E-455A-BA0E-DADEAD14E5FE}"/>
    <cellStyle name="Moeda 3 10 2 2 2 3 3 2 3 4 4 3 2" xfId="822" xr:uid="{C2041AB3-B097-4D66-81E5-92B531E055B8}"/>
    <cellStyle name="Moeda 3 10 2 2 2 3 3 2 3 4 4 3 2 2" xfId="1314" xr:uid="{BD3D7B02-984E-4E80-BC36-E2E7F78896EE}"/>
    <cellStyle name="Moeda 3 10 2 2 2 3 3 2 3 4 4 3 2 2 2" xfId="3083" xr:uid="{57B8EE26-3E14-4014-AC31-8D4B47BAF9B7}"/>
    <cellStyle name="Moeda 3 10 2 2 2 3 3 2 3 4 4 3 2 3" xfId="1806" xr:uid="{93502476-8329-47CF-983F-BB4B5E43259E}"/>
    <cellStyle name="Moeda 3 10 2 2 2 3 3 2 3 4 4 3 2 3 2" xfId="3575" xr:uid="{57FCEDEA-BCD7-4975-9C5C-17E194965DC2}"/>
    <cellStyle name="Moeda 3 10 2 2 2 3 3 2 3 4 4 3 2 4" xfId="2591" xr:uid="{C98135F0-6EB4-4AC5-86E3-246D8B8911B1}"/>
    <cellStyle name="Moeda 3 10 2 2 2 3 3 2 3 4 4 3 3" xfId="170" xr:uid="{D2E7D1AA-1786-4517-9228-5627A2CC2149}"/>
    <cellStyle name="Moeda 3 10 2 2 2 3 3 2 3 4 4 3 3 2" xfId="855" xr:uid="{914FF105-CF3A-424D-ADC4-3F1E62EA1FAF}"/>
    <cellStyle name="Moeda 3 10 2 2 2 3 3 2 3 4 4 3 3 2 2" xfId="1347" xr:uid="{13D7FE67-1D89-4605-8263-C89A1ECE2AFC}"/>
    <cellStyle name="Moeda 3 10 2 2 2 3 3 2 3 4 4 3 3 2 2 2" xfId="3116" xr:uid="{254A6B7D-CC6E-4E05-AB6D-01ED4BF6D85D}"/>
    <cellStyle name="Moeda 3 10 2 2 2 3 3 2 3 4 4 3 3 2 3" xfId="1839" xr:uid="{ED6EC745-BC12-4563-82D7-B45914BD059E}"/>
    <cellStyle name="Moeda 3 10 2 2 2 3 3 2 3 4 4 3 3 2 3 2" xfId="3608" xr:uid="{16DFDB52-3B36-4A60-AA18-82B39B2368D0}"/>
    <cellStyle name="Moeda 3 10 2 2 2 3 3 2 3 4 4 3 3 2 4" xfId="2624" xr:uid="{FC94DB55-F609-4E53-9E69-57418669258D}"/>
    <cellStyle name="Moeda 3 10 2 2 2 3 3 2 3 4 4 3 3 2 5" xfId="3648" xr:uid="{37ACED32-D67B-4363-9DBD-2ED38772F73B}"/>
    <cellStyle name="Moeda 3 10 2 2 2 3 3 2 3 4 4 3 3 3" xfId="695" xr:uid="{2C0ED530-00BA-4132-9ECD-7913EADB9D06}"/>
    <cellStyle name="Moeda 3 10 2 2 2 3 3 2 3 4 4 3 3 3 2" xfId="1187" xr:uid="{10655207-6B6E-4142-88B4-CED347F12218}"/>
    <cellStyle name="Moeda 3 10 2 2 2 3 3 2 3 4 4 3 3 3 2 2" xfId="2956" xr:uid="{D05CD780-D2AD-4F36-BC79-22E973E6748C}"/>
    <cellStyle name="Moeda 3 10 2 2 2 3 3 2 3 4 4 3 3 3 3" xfId="1679" xr:uid="{DB95ABC7-8EAF-4E8F-B99C-E2888CD3396E}"/>
    <cellStyle name="Moeda 3 10 2 2 2 3 3 2 3 4 4 3 3 3 3 2" xfId="3448" xr:uid="{D9CA4B0F-ADAD-4246-AD4C-8455DDDC6B2D}"/>
    <cellStyle name="Moeda 3 10 2 2 2 3 3 2 3 4 4 3 3 3 4" xfId="2464" xr:uid="{15F0480E-3FDA-4DE8-B828-6AA112D02B8D}"/>
    <cellStyle name="Moeda 3 10 2 2 2 3 3 2 3 4 4 3 3 4" xfId="473" xr:uid="{96D24F25-2E3C-4DDA-BF69-40F4FDD7068F}"/>
    <cellStyle name="Moeda 3 10 2 2 2 3 3 2 3 4 4 3 3 4 2" xfId="2242" xr:uid="{C0AC9DF9-904F-44D2-AEFD-090536CBB045}"/>
    <cellStyle name="Moeda 3 10 2 2 2 3 3 2 3 4 4 3 3 5" xfId="452" xr:uid="{93DD523F-C531-409F-92EE-C4FB0B9D0AF5}"/>
    <cellStyle name="Moeda 3 10 2 2 2 3 3 2 3 4 4 3 3 5 2" xfId="2230" xr:uid="{542A28D6-20FB-4BE0-B9D9-99D34298015D}"/>
    <cellStyle name="Moeda 3 10 2 2 2 3 3 2 3 4 4 3 3 6" xfId="989" xr:uid="{599C79CC-1CBB-47CA-B661-DEF6C9FEB037}"/>
    <cellStyle name="Moeda 3 10 2 2 2 3 3 2 3 4 4 3 3 6 2" xfId="2758" xr:uid="{1E05B181-73FE-4B78-BD79-09C64D787DA5}"/>
    <cellStyle name="Moeda 3 10 2 2 2 3 3 2 3 4 4 3 3 7" xfId="1481" xr:uid="{925B6C34-4547-4984-9FB9-D3874A822A5D}"/>
    <cellStyle name="Moeda 3 10 2 2 2 3 3 2 3 4 4 3 3 7 2" xfId="3250" xr:uid="{CB214B22-DC02-411A-941A-E1EE2ECEC1AB}"/>
    <cellStyle name="Moeda 3 10 2 2 2 3 3 2 3 4 4 3 3 8" xfId="2000" xr:uid="{0BB5F688-2B7F-4D95-8BF7-CDDC0979B766}"/>
    <cellStyle name="Moeda 3 10 2 2 2 3 3 2 3 4 4 3 4" xfId="663" xr:uid="{40491A08-C47F-4F21-A307-82A91FA54120}"/>
    <cellStyle name="Moeda 3 10 2 2 2 3 3 2 3 4 4 3 4 2" xfId="1155" xr:uid="{76952078-7C02-4BD1-B5E2-B43FEC343202}"/>
    <cellStyle name="Moeda 3 10 2 2 2 3 3 2 3 4 4 3 4 2 2" xfId="2924" xr:uid="{8BAE9020-05F5-4C9D-924B-1903161D6AAB}"/>
    <cellStyle name="Moeda 3 10 2 2 2 3 3 2 3 4 4 3 4 3" xfId="1647" xr:uid="{21E87F71-9A8D-4CE7-9D3F-4738F2140A10}"/>
    <cellStyle name="Moeda 3 10 2 2 2 3 3 2 3 4 4 3 4 3 2" xfId="3416" xr:uid="{01C768EC-2AD7-49B0-B1AA-EF9EC68066F5}"/>
    <cellStyle name="Moeda 3 10 2 2 2 3 3 2 3 4 4 3 4 4" xfId="2432" xr:uid="{8BCF660B-CA8C-4DC8-B1E1-A199A8F7C64B}"/>
    <cellStyle name="Moeda 3 10 2 2 2 3 3 2 3 4 4 3 5" xfId="587" xr:uid="{01CB25F9-FDBF-4152-A6D2-0E3602C03BD7}"/>
    <cellStyle name="Moeda 3 10 2 2 2 3 3 2 3 4 4 3 5 2" xfId="2356" xr:uid="{A3C10D4D-D209-4A1A-8F65-B02DB5B7312B}"/>
    <cellStyle name="Moeda 3 10 2 2 2 3 3 2 3 4 4 3 6" xfId="423" xr:uid="{60488C50-46F0-4FDC-8026-6105E5FA875F}"/>
    <cellStyle name="Moeda 3 10 2 2 2 3 3 2 3 4 4 3 6 2" xfId="2201" xr:uid="{82460B63-70EB-48C3-83CC-20D3B0C4DAA1}"/>
    <cellStyle name="Moeda 3 10 2 2 2 3 3 2 3 4 4 3 7" xfId="1079" xr:uid="{08D78699-A53D-4F4E-A54A-B9BE2B354598}"/>
    <cellStyle name="Moeda 3 10 2 2 2 3 3 2 3 4 4 3 7 2" xfId="2848" xr:uid="{968C28E5-B22C-4FE1-ABE9-18DDBC9FE913}"/>
    <cellStyle name="Moeda 3 10 2 2 2 3 3 2 3 4 4 3 8" xfId="1571" xr:uid="{CC7657B2-BCDD-4BD4-843A-C6D43206E92D}"/>
    <cellStyle name="Moeda 3 10 2 2 2 3 3 2 3 4 4 3 8 2" xfId="3340" xr:uid="{0786E3EC-398B-4137-9B8E-6A70D6FE8F6C}"/>
    <cellStyle name="Moeda 3 10 2 2 2 3 3 2 3 4 4 3 9" xfId="1968" xr:uid="{34B2BB85-7AC7-4BB3-A86D-73874BE48CF1}"/>
    <cellStyle name="Moeda 3 10 2 2 2 3 3 2 3 4 4 4" xfId="651" xr:uid="{6C2B1E80-CAFF-4332-B413-615A9F95F1E2}"/>
    <cellStyle name="Moeda 3 10 2 2 2 3 3 2 3 4 4 4 2" xfId="1143" xr:uid="{35EFE1E4-5CC4-4277-A228-3BFF9C60EBB3}"/>
    <cellStyle name="Moeda 3 10 2 2 2 3 3 2 3 4 4 4 2 2" xfId="2912" xr:uid="{AA3C7F44-E878-4E4D-920C-B1C2F0F657CF}"/>
    <cellStyle name="Moeda 3 10 2 2 2 3 3 2 3 4 4 4 3" xfId="1635" xr:uid="{4C34714E-9FC7-4409-B121-30A837F92532}"/>
    <cellStyle name="Moeda 3 10 2 2 2 3 3 2 3 4 4 4 3 2" xfId="3404" xr:uid="{9B17F840-E2B3-4291-9A69-0A183A26686B}"/>
    <cellStyle name="Moeda 3 10 2 2 2 3 3 2 3 4 4 4 4" xfId="2420" xr:uid="{B634E6B8-E9F1-4C52-8B76-5E01AFA4E98D}"/>
    <cellStyle name="Moeda 3 10 2 2 2 3 3 2 3 4 4 5" xfId="530" xr:uid="{5F1434AC-89AF-4D28-BDD2-57A71815D814}"/>
    <cellStyle name="Moeda 3 10 2 2 2 3 3 2 3 4 4 5 2" xfId="2299" xr:uid="{8EB3F9DA-5C97-4380-9A30-74E72866B55A}"/>
    <cellStyle name="Moeda 3 10 2 2 2 3 3 2 3 4 4 6" xfId="408" xr:uid="{FFBFD76F-E46A-40E9-B5A5-4A71CC3CA14C}"/>
    <cellStyle name="Moeda 3 10 2 2 2 3 3 2 3 4 4 6 2" xfId="2186" xr:uid="{D64B779B-C194-4AB2-A577-253321D9BE7C}"/>
    <cellStyle name="Moeda 3 10 2 2 2 3 3 2 3 4 4 7" xfId="1034" xr:uid="{47249DDF-8A61-45B8-B542-B8722BE61AD9}"/>
    <cellStyle name="Moeda 3 10 2 2 2 3 3 2 3 4 4 7 2" xfId="2803" xr:uid="{D7B21709-0563-4E41-8C0F-E8CE241FB890}"/>
    <cellStyle name="Moeda 3 10 2 2 2 3 3 2 3 4 4 8" xfId="1526" xr:uid="{7EBE00BC-DD14-4C37-AA89-54472BA37390}"/>
    <cellStyle name="Moeda 3 10 2 2 2 3 3 2 3 4 4 8 2" xfId="3295" xr:uid="{ED6D0EC8-BEF4-47A3-91AC-5E89EF6EDAF1}"/>
    <cellStyle name="Moeda 3 10 2 2 2 3 3 2 3 4 4 9" xfId="1956" xr:uid="{61D0F5B5-2901-4B52-876A-2626FDF960BF}"/>
    <cellStyle name="Moeda 3 10 2 2 2 3 3 2 3 4 5" xfId="522" xr:uid="{7BC09558-3A53-4A0D-8A0C-7684FCB7BF83}"/>
    <cellStyle name="Moeda 3 10 2 2 2 3 3 2 3 4 5 2" xfId="2291" xr:uid="{7B44FD9A-2733-4D56-81D2-CCDC44405B2C}"/>
    <cellStyle name="Moeda 3 10 2 2 2 3 3 2 3 4 6" xfId="379" xr:uid="{94FABA8D-8BA7-4EDF-89F3-D0765C528FB5}"/>
    <cellStyle name="Moeda 3 10 2 2 2 3 3 2 3 4 6 2" xfId="2157" xr:uid="{36BC8048-2FB8-408A-ABD0-124927035E2B}"/>
    <cellStyle name="Moeda 3 10 2 2 2 3 3 2 3 4 7" xfId="1027" xr:uid="{35259929-D373-4216-942F-BFDFFE89B0DB}"/>
    <cellStyle name="Moeda 3 10 2 2 2 3 3 2 3 4 7 2" xfId="2796" xr:uid="{02AB00B2-D4E6-4161-BBD7-AF6E3D6A63A1}"/>
    <cellStyle name="Moeda 3 10 2 2 2 3 3 2 3 4 8" xfId="1519" xr:uid="{1BD70853-1095-4A10-959A-367D950F5C88}"/>
    <cellStyle name="Moeda 3 10 2 2 2 3 3 2 3 4 8 2" xfId="3288" xr:uid="{39A39DBB-7AA0-491F-AF7C-A0EE91BABE2F}"/>
    <cellStyle name="Moeda 3 10 2 2 2 3 3 2 3 4 9" xfId="1928" xr:uid="{066B9556-29DC-403A-9108-7073DB3BBBFF}"/>
    <cellStyle name="Moeda 3 10 2 2 2 3 3 2 3 5" xfId="404" xr:uid="{1E30BE30-AAF2-446D-A376-6C59B0A984FD}"/>
    <cellStyle name="Moeda 3 10 2 2 2 3 3 2 3 5 2" xfId="984" xr:uid="{F82B031D-4A99-432D-8C83-91D7BF767E25}"/>
    <cellStyle name="Moeda 3 10 2 2 2 3 3 2 3 5 2 2" xfId="2753" xr:uid="{EFBC400E-4EC8-4BEE-B37F-F0CE5530BFB4}"/>
    <cellStyle name="Moeda 3 10 2 2 2 3 3 2 3 5 3" xfId="1476" xr:uid="{4316D26B-8467-42B0-BD51-D0B45793A736}"/>
    <cellStyle name="Moeda 3 10 2 2 2 3 3 2 3 5 3 2" xfId="3245" xr:uid="{6B9EBD6A-16BD-4801-A431-83E90149207D}"/>
    <cellStyle name="Moeda 3 10 2 2 2 3 3 2 3 5 4" xfId="2182" xr:uid="{E0AAD436-763F-406B-B54D-A18979EA217C}"/>
    <cellStyle name="Moeda 3 10 2 2 2 3 3 2 3 6" xfId="584" xr:uid="{25D5245E-0CEE-4468-B942-2A48FC195D4F}"/>
    <cellStyle name="Moeda 3 10 2 2 2 3 3 2 3 6 2" xfId="2353" xr:uid="{9F783193-E388-4CC1-A0DA-1058CAE13B93}"/>
    <cellStyle name="Moeda 3 10 2 2 2 3 3 2 3 7" xfId="259" xr:uid="{8D1BF612-4B4C-4DBB-BEDD-A31869CD5B9B}"/>
    <cellStyle name="Moeda 3 10 2 2 2 3 3 2 3 7 2" xfId="2043" xr:uid="{2039AA1E-AD5A-4E60-A467-26A6C56FE53D}"/>
    <cellStyle name="Moeda 3 10 2 2 2 3 3 2 3 8" xfId="907" xr:uid="{EC9E29FB-674D-4CF0-913F-6E093E7447AF}"/>
    <cellStyle name="Moeda 3 10 2 2 2 3 3 2 3 8 2" xfId="2676" xr:uid="{F00F1FB5-A5C6-40E7-9C48-4DF488D9971E}"/>
    <cellStyle name="Moeda 3 10 2 2 2 3 3 2 3 9" xfId="1399" xr:uid="{740B5B17-B4FC-44BB-B890-CB6639C2D63F}"/>
    <cellStyle name="Moeda 3 10 2 2 2 3 3 2 3 9 2" xfId="3168" xr:uid="{65D8CCA4-F802-4D66-A277-63C7DD7FBBC1}"/>
    <cellStyle name="Moeda 3 10 2 2 2 3 3 2 4" xfId="344" xr:uid="{08CA897C-6CBB-47BA-B5E1-471F92547B28}"/>
    <cellStyle name="Moeda 3 10 2 2 2 3 3 2 4 2" xfId="975" xr:uid="{E1783DAF-1A03-480A-B571-1508B84A75C5}"/>
    <cellStyle name="Moeda 3 10 2 2 2 3 3 2 4 2 2" xfId="2744" xr:uid="{54DBE3F1-5693-45CD-8588-23BB82DDB79D}"/>
    <cellStyle name="Moeda 3 10 2 2 2 3 3 2 4 3" xfId="1467" xr:uid="{0286C90C-28D1-41F2-8585-BD62926EF8C9}"/>
    <cellStyle name="Moeda 3 10 2 2 2 3 3 2 4 3 2" xfId="3236" xr:uid="{D32BFD3D-3516-4039-8E45-991BE057920B}"/>
    <cellStyle name="Moeda 3 10 2 2 2 3 3 2 4 4" xfId="2122" xr:uid="{5609A947-40B2-4A0A-8ADF-A3FA79BC1F66}"/>
    <cellStyle name="Moeda 3 10 2 2 2 3 3 2 5" xfId="314" xr:uid="{FEF53634-E3DF-4017-8ABD-F63552D53F62}"/>
    <cellStyle name="Moeda 3 10 2 2 2 3 3 2 5 2" xfId="2092" xr:uid="{611A1293-7820-462D-BE2E-208FE313EAB1}"/>
    <cellStyle name="Moeda 3 10 2 2 2 3 3 2 6" xfId="257" xr:uid="{0B85D10E-56FB-44F4-AFD9-CE8F3BAFE689}"/>
    <cellStyle name="Moeda 3 10 2 2 2 3 3 2 6 2" xfId="2041" xr:uid="{8DDEDD69-250A-42BA-9D01-E8C2F4CBFDED}"/>
    <cellStyle name="Moeda 3 10 2 2 2 3 3 2 7" xfId="905" xr:uid="{C99C60EE-C564-4133-BA30-A28EEAE78BC8}"/>
    <cellStyle name="Moeda 3 10 2 2 2 3 3 2 7 2" xfId="2674" xr:uid="{524A2F46-9362-4861-910F-A6DFFF1F0A1C}"/>
    <cellStyle name="Moeda 3 10 2 2 2 3 3 2 8" xfId="1397" xr:uid="{152CAEEA-F5EF-474D-B638-01D5CEC37A35}"/>
    <cellStyle name="Moeda 3 10 2 2 2 3 3 2 8 2" xfId="3166" xr:uid="{C69B5959-3201-415A-A1B8-14949AAE5E02}"/>
    <cellStyle name="Moeda 3 10 2 2 2 3 3 2 9" xfId="1900" xr:uid="{E99E5C98-70A5-4B64-84F2-278A93D4BF06}"/>
    <cellStyle name="Moeda 3 10 2 2 2 3 3 3" xfId="732" xr:uid="{0BAE8D30-6830-4164-A384-EE81D14AB75B}"/>
    <cellStyle name="Moeda 3 10 2 2 2 3 3 3 2" xfId="1224" xr:uid="{CD910A21-477A-4A8E-AD60-D80CECBD9682}"/>
    <cellStyle name="Moeda 3 10 2 2 2 3 3 3 2 2" xfId="2993" xr:uid="{05149F2F-EDD8-49DF-9AF2-355AA44D5635}"/>
    <cellStyle name="Moeda 3 10 2 2 2 3 3 3 3" xfId="1716" xr:uid="{B8301BEE-41EE-4C3E-B635-332520697E1B}"/>
    <cellStyle name="Moeda 3 10 2 2 2 3 3 3 3 2" xfId="3485" xr:uid="{74F7A75E-9415-4BA0-8F0F-F4E8FA34CFF9}"/>
    <cellStyle name="Moeda 3 10 2 2 2 3 3 3 4" xfId="2501" xr:uid="{99C37326-A262-4051-9B44-8BE069FE8FC0}"/>
    <cellStyle name="Moeda 3 10 2 2 2 3 3 4" xfId="269" xr:uid="{B764EDB9-33FF-4636-803E-2EF743C307DA}"/>
    <cellStyle name="Moeda 3 10 2 2 2 3 3 4 2" xfId="916" xr:uid="{B49EFFDC-5499-4074-A815-D431A7B2B359}"/>
    <cellStyle name="Moeda 3 10 2 2 2 3 3 4 2 2" xfId="2685" xr:uid="{E283B86D-2407-4609-9878-605CA4AED7AC}"/>
    <cellStyle name="Moeda 3 10 2 2 2 3 3 4 3" xfId="1408" xr:uid="{5021D80A-8888-4922-9741-77E44800E36B}"/>
    <cellStyle name="Moeda 3 10 2 2 2 3 3 4 3 2" xfId="3177" xr:uid="{0A070A25-2627-4D47-A9C2-6FA97AB7DFF3}"/>
    <cellStyle name="Moeda 3 10 2 2 2 3 3 4 4" xfId="2053" xr:uid="{498029CF-C98B-4D3B-80B9-36F6CCC100E6}"/>
    <cellStyle name="Moeda 3 10 2 2 2 3 3 5" xfId="581" xr:uid="{81FB6F45-748A-468C-9899-E926739235F4}"/>
    <cellStyle name="Moeda 3 10 2 2 2 3 3 5 2" xfId="2350" xr:uid="{1E649AED-F6A5-45BC-94A7-C6EB5437ECE0}"/>
    <cellStyle name="Moeda 3 10 2 2 2 3 3 6" xfId="242" xr:uid="{78AAF308-F900-48AC-9DA7-2FD551D2E111}"/>
    <cellStyle name="Moeda 3 10 2 2 2 3 3 6 2" xfId="2026" xr:uid="{C9B74323-EE23-4D60-8AD1-57B28B86C6D4}"/>
    <cellStyle name="Moeda 3 10 2 2 2 3 3 7" xfId="890" xr:uid="{D80AB3C8-C321-4FCA-BE2A-393A3A7C8DCE}"/>
    <cellStyle name="Moeda 3 10 2 2 2 3 3 7 2" xfId="2659" xr:uid="{FDA16AD5-8F9B-43C5-9521-3D2C7A031895}"/>
    <cellStyle name="Moeda 3 10 2 2 2 3 3 8" xfId="1382" xr:uid="{4AED5F61-E0F8-41D5-BFAB-01B33220869C}"/>
    <cellStyle name="Moeda 3 10 2 2 2 3 3 8 2" xfId="3151" xr:uid="{970BEF19-8421-46F1-AB0F-72E8CF7E9FBD}"/>
    <cellStyle name="Moeda 3 10 2 2 2 3 3 9" xfId="1885" xr:uid="{D949626D-8467-471F-8145-E890761908D4}"/>
    <cellStyle name="Moeda 3 10 2 2 2 3 4" xfId="317" xr:uid="{D1EA81A2-2013-4E17-9E31-263FE4FC735C}"/>
    <cellStyle name="Moeda 3 10 2 2 2 3 4 2" xfId="951" xr:uid="{D32036F4-DB67-4628-B75E-95FB1BCF4375}"/>
    <cellStyle name="Moeda 3 10 2 2 2 3 4 2 2" xfId="2720" xr:uid="{D711C05A-91C4-4A07-AE31-3FB217BD00D2}"/>
    <cellStyle name="Moeda 3 10 2 2 2 3 4 3" xfId="1443" xr:uid="{AB9B994E-2F46-473F-8C9A-223BEF68AC4A}"/>
    <cellStyle name="Moeda 3 10 2 2 2 3 4 3 2" xfId="3212" xr:uid="{26A5E348-4BE9-41A7-873F-538550672437}"/>
    <cellStyle name="Moeda 3 10 2 2 2 3 4 4" xfId="2095" xr:uid="{67C6EB5B-608B-4F8E-854C-85C52EB9ABB8}"/>
    <cellStyle name="Moeda 3 10 2 2 2 3 5" xfId="315" xr:uid="{4F9CDDA0-5AAD-4829-8295-BA2565586583}"/>
    <cellStyle name="Moeda 3 10 2 2 2 3 5 2" xfId="2093" xr:uid="{94B8EA48-8234-4291-9061-F72081733770}"/>
    <cellStyle name="Moeda 3 10 2 2 2 3 6" xfId="231" xr:uid="{9D31C31C-F7DD-40EF-B412-18A287641AAA}"/>
    <cellStyle name="Moeda 3 10 2 2 2 3 6 2" xfId="2015" xr:uid="{1D909826-02E9-4CD7-921D-DEC472163E65}"/>
    <cellStyle name="Moeda 3 10 2 2 2 3 7" xfId="879" xr:uid="{B211EBCA-BC06-4DAC-A135-E4199036E0B5}"/>
    <cellStyle name="Moeda 3 10 2 2 2 3 7 2" xfId="2648" xr:uid="{467E07B5-F69F-44B7-BBB2-D16D65E1EC8A}"/>
    <cellStyle name="Moeda 3 10 2 2 2 3 8" xfId="1371" xr:uid="{31A7726A-EB09-4545-B41B-A8878FAC5634}"/>
    <cellStyle name="Moeda 3 10 2 2 2 3 8 2" xfId="3140" xr:uid="{74A17060-202E-481C-8738-BFFE321AB270}"/>
    <cellStyle name="Moeda 3 10 2 2 2 3 9" xfId="1874" xr:uid="{3758D015-0623-40CE-8457-274C620DEA6A}"/>
    <cellStyle name="Moeda 3 10 2 2 2 4" xfId="598" xr:uid="{DF9029BA-0A61-47D5-BFE0-B563A8501D83}"/>
    <cellStyle name="Moeda 3 10 2 2 2 4 2" xfId="864" xr:uid="{0B9867E2-E83C-4994-B453-A7488339DB58}"/>
    <cellStyle name="Moeda 3 10 2 2 2 4 2 2" xfId="1356" xr:uid="{CE52B491-F015-4AD6-98E6-D97ED9E4A8FE}"/>
    <cellStyle name="Moeda 3 10 2 2 2 4 2 2 2" xfId="3125" xr:uid="{EDD1F17F-578A-45A2-B014-E34D2F8F2BE1}"/>
    <cellStyle name="Moeda 3 10 2 2 2 4 2 3" xfId="1848" xr:uid="{96D79050-F987-4B75-BF66-057459857E9B}"/>
    <cellStyle name="Moeda 3 10 2 2 2 4 2 3 2" xfId="3617" xr:uid="{C3FBE2CB-CA48-40D4-9A77-7113CD3B07AA}"/>
    <cellStyle name="Moeda 3 10 2 2 2 4 2 4" xfId="2633" xr:uid="{621EE690-C0BA-47AC-91C3-BA0CB6EC8A98}"/>
    <cellStyle name="Moeda 3 10 2 2 2 4 3" xfId="1090" xr:uid="{386FA69D-CB94-4821-A7A6-5DBC07C5265C}"/>
    <cellStyle name="Moeda 3 10 2 2 2 4 3 2" xfId="2859" xr:uid="{29A1F783-175C-4C58-9646-9A6A083FC1CC}"/>
    <cellStyle name="Moeda 3 10 2 2 2 4 4" xfId="1582" xr:uid="{DFBE94CA-D8CA-4BC8-BA4E-09B26FAEAC86}"/>
    <cellStyle name="Moeda 3 10 2 2 2 4 4 2" xfId="3351" xr:uid="{6A942FCB-7C1F-40BC-ABFF-4285564004E8}"/>
    <cellStyle name="Moeda 3 10 2 2 2 4 5" xfId="2367" xr:uid="{CA9F15A6-ED56-42AF-8876-8248A241798B}"/>
    <cellStyle name="Moeda 3 10 2 2 2 5" xfId="712" xr:uid="{94833169-8445-4904-A74E-1D5035457050}"/>
    <cellStyle name="Moeda 3 10 2 2 2 5 2" xfId="1204" xr:uid="{B26C29CD-01BB-47D2-BA7C-246A8FA04BFF}"/>
    <cellStyle name="Moeda 3 10 2 2 2 5 2 2" xfId="2973" xr:uid="{2C5F9B1E-2E93-41C2-AC1E-BEBE09A6F7C9}"/>
    <cellStyle name="Moeda 3 10 2 2 2 5 3" xfId="1696" xr:uid="{E64C400F-ED6E-42E6-94DF-1B75006B786E}"/>
    <cellStyle name="Moeda 3 10 2 2 2 5 3 2" xfId="3465" xr:uid="{518A1BA6-437F-40D2-A7D9-51693367516D}"/>
    <cellStyle name="Moeda 3 10 2 2 2 5 4" xfId="2481" xr:uid="{563EC580-7D51-4156-B4B4-8A9B84DA81D8}"/>
    <cellStyle name="Moeda 3 10 2 2 2 6" xfId="557" xr:uid="{5D58747B-C51F-4FD8-B397-7B6B3A15429C}"/>
    <cellStyle name="Moeda 3 10 2 2 2 6 2" xfId="1055" xr:uid="{4393CD5B-86C7-4434-8287-38AFA881DBF0}"/>
    <cellStyle name="Moeda 3 10 2 2 2 6 2 2" xfId="2824" xr:uid="{47F77E81-0E3D-45CB-852A-66B378D7BB90}"/>
    <cellStyle name="Moeda 3 10 2 2 2 6 3" xfId="1547" xr:uid="{7FA109D5-6CA5-47BE-984D-7C25D3F9C653}"/>
    <cellStyle name="Moeda 3 10 2 2 2 6 3 2" xfId="3316" xr:uid="{68AB9308-56F5-4ADF-B6C3-BC7A41E49FAF}"/>
    <cellStyle name="Moeda 3 10 2 2 2 6 4" xfId="2326" xr:uid="{EAD6BF9E-896C-4F3B-9517-9920F61DC51B}"/>
    <cellStyle name="Moeda 3 10 2 2 2 7" xfId="321" xr:uid="{BA1994D9-77E4-45C0-8663-B676B3F72713}"/>
    <cellStyle name="Moeda 3 10 2 2 2 7 2" xfId="2099" xr:uid="{9490155E-A2A4-4A0A-B406-9A14800A3CA8}"/>
    <cellStyle name="Moeda 3 10 2 2 2 8" xfId="228" xr:uid="{536CBE53-5A28-42EC-BF41-493B5A9B5279}"/>
    <cellStyle name="Moeda 3 10 2 2 2 8 2" xfId="2012" xr:uid="{6C835EE2-D941-4DF6-97BF-BA090414A9BD}"/>
    <cellStyle name="Moeda 3 10 2 2 2 9" xfId="876" xr:uid="{F682924A-09A5-4BF8-A111-BD8A4677C2A5}"/>
    <cellStyle name="Moeda 3 10 2 2 2 9 2" xfId="2645" xr:uid="{0D38CFA2-4486-430E-88D6-23D979248346}"/>
    <cellStyle name="Moeda 3 10 2 2 3" xfId="711" xr:uid="{834FEDDC-0942-466C-B1B1-6F9421291FD3}"/>
    <cellStyle name="Moeda 3 10 2 2 3 2" xfId="1203" xr:uid="{7C4F777B-CE9E-4090-BB56-C643E24C81AA}"/>
    <cellStyle name="Moeda 3 10 2 2 3 2 2" xfId="2972" xr:uid="{E4C09C6A-707C-4B6B-970B-65B2FA056B09}"/>
    <cellStyle name="Moeda 3 10 2 2 3 3" xfId="1695" xr:uid="{06D2D273-AF05-42EA-A49B-17C8B32418C4}"/>
    <cellStyle name="Moeda 3 10 2 2 3 3 2" xfId="3464" xr:uid="{7CA99630-70E7-4E4E-A585-3F30F9E1C50A}"/>
    <cellStyle name="Moeda 3 10 2 2 3 4" xfId="2480" xr:uid="{6A0FEFB6-6AAE-4783-90B1-ACEA1B06AF91}"/>
    <cellStyle name="Moeda 3 10 2 2 4" xfId="992" xr:uid="{4B899DFD-D6F8-4FEA-9871-D4DED0E5F429}"/>
    <cellStyle name="Moeda 3 10 2 2 4 2" xfId="2761" xr:uid="{A0D81DB1-1113-4B2A-B482-66598D8F73D3}"/>
    <cellStyle name="Moeda 3 10 2 2 5" xfId="1484" xr:uid="{0B28F1B7-E247-4FE2-AF86-B10E28D1AC9B}"/>
    <cellStyle name="Moeda 3 10 2 2 5 2" xfId="3253" xr:uid="{FDE5B59A-0360-49E8-9904-F21B38DE5E18}"/>
    <cellStyle name="Moeda 3 10 2 2 6" xfId="2245" xr:uid="{588E6B52-7C99-4B48-AF28-B7B4628DAB31}"/>
    <cellStyle name="Moeda 3 10 2 3" xfId="1197" xr:uid="{5761CA27-CEDF-43D6-9816-107F0F900A90}"/>
    <cellStyle name="Moeda 3 10 2 3 2" xfId="2966" xr:uid="{CE96736D-8FE8-4078-A51A-FDD8F1BEF19C}"/>
    <cellStyle name="Moeda 3 10 2 4" xfId="1689" xr:uid="{2C618C97-66A6-4F14-8759-B006D49B6EFA}"/>
    <cellStyle name="Moeda 3 10 2 4 2" xfId="3458" xr:uid="{5518A549-0699-4E44-A885-E6684676D439}"/>
    <cellStyle name="Moeda 3 10 2 5" xfId="2474" xr:uid="{8B0944F7-E1B9-4C99-9C7C-349D94CC2F4F}"/>
    <cellStyle name="Moeda 3 10 3" xfId="551" xr:uid="{9E20DC9E-6469-4262-BA4C-429524BAC5DA}"/>
    <cellStyle name="Moeda 3 10 3 2" xfId="1050" xr:uid="{D899A350-39CE-45C6-AB6F-B61AE23EC458}"/>
    <cellStyle name="Moeda 3 10 3 2 2" xfId="2819" xr:uid="{2093E00F-42E0-465C-9768-8B512B288086}"/>
    <cellStyle name="Moeda 3 10 3 3" xfId="1542" xr:uid="{D34CC02E-037D-45A2-BED9-1E5F54910AB1}"/>
    <cellStyle name="Moeda 3 10 3 3 2" xfId="3311" xr:uid="{A52762FD-A470-496D-9F1C-3CEF2EE5FE52}"/>
    <cellStyle name="Moeda 3 10 3 4" xfId="2320" xr:uid="{AA96945E-D7D6-4523-AE84-71E3A2C59751}"/>
    <cellStyle name="Moeda 3 10 4" xfId="512" xr:uid="{8A1FB1F8-F487-4A72-8A5E-C1AF7F54652E}"/>
    <cellStyle name="Moeda 3 10 4 2" xfId="2281" xr:uid="{697B66D7-B541-4AAE-8662-667EA293D580}"/>
    <cellStyle name="Moeda 3 10 5" xfId="225" xr:uid="{8B669781-880A-42C7-B20A-4C97C82B8056}"/>
    <cellStyle name="Moeda 3 10 5 2" xfId="2009" xr:uid="{E51ED407-E272-4882-9618-7CB0F168067A}"/>
    <cellStyle name="Moeda 3 10 6" xfId="873" xr:uid="{C99102B9-ECFF-4A54-9973-869D08C96089}"/>
    <cellStyle name="Moeda 3 10 6 2" xfId="2642" xr:uid="{50382A81-3958-42FF-AF28-9BCF8C4ACF7E}"/>
    <cellStyle name="Moeda 3 10 7" xfId="1365" xr:uid="{1F57D4CE-353D-4D8D-A60A-73B959ED5A73}"/>
    <cellStyle name="Moeda 3 10 7 2" xfId="3134" xr:uid="{374B53FD-17AE-4F87-9A44-EE7F263076FA}"/>
    <cellStyle name="Moeda 3 10 8" xfId="1867" xr:uid="{2E85ED60-7F9A-4FC9-9C07-9378CD91D5F3}"/>
    <cellStyle name="Moeda 3 11" xfId="1363" xr:uid="{B35AA027-8D7D-4D9A-B78A-A12B911F2032}"/>
    <cellStyle name="Moeda 3 11 2" xfId="3132" xr:uid="{087C37BE-6066-4D86-BABC-A66F74124EBD}"/>
    <cellStyle name="Moeda 3 12" xfId="1865" xr:uid="{81629934-2DEF-4F73-8E82-56BA7D400760}"/>
    <cellStyle name="Moeda 3 14" xfId="508" xr:uid="{EE7901CE-444C-4C63-BD51-CF1DE1CBC512}"/>
    <cellStyle name="Moeda 3 14 2" xfId="710" xr:uid="{458191BE-09E4-43CE-85A0-C63682F4FB2F}"/>
    <cellStyle name="Moeda 3 14 2 2" xfId="1202" xr:uid="{4030DDD6-06C8-42C2-936A-04C7AE6682FD}"/>
    <cellStyle name="Moeda 3 14 2 2 2" xfId="2971" xr:uid="{40D0A159-EA47-470A-B592-B708C95599DD}"/>
    <cellStyle name="Moeda 3 14 2 3" xfId="1694" xr:uid="{E6714394-AB86-4941-BE51-2A9450B7B84A}"/>
    <cellStyle name="Moeda 3 14 2 3 2" xfId="3463" xr:uid="{54DCE2B6-19D3-4CBF-94E8-8EC397868AA1}"/>
    <cellStyle name="Moeda 3 14 2 4" xfId="2479" xr:uid="{0B9D0CF5-18A4-4EB8-9AD8-41703ACE59EC}"/>
    <cellStyle name="Moeda 3 14 3" xfId="1018" xr:uid="{4360D351-20F7-4919-AB2E-0D90F96786D1}"/>
    <cellStyle name="Moeda 3 14 3 2" xfId="2787" xr:uid="{8BF3D655-74C0-4B74-B116-CC790545AF91}"/>
    <cellStyle name="Moeda 3 14 4" xfId="1510" xr:uid="{CCB6FCE8-416F-4E8E-9D2D-01E05E007FD5}"/>
    <cellStyle name="Moeda 3 14 4 2" xfId="3279" xr:uid="{6E96AA27-B42A-478E-AB1F-66F7B9C2FD87}"/>
    <cellStyle name="Moeda 3 14 5" xfId="2277" xr:uid="{8F113CEF-4D63-4811-82C8-79519AE2287F}"/>
    <cellStyle name="Moeda 3 15" xfId="18" xr:uid="{6DEC64C4-EDFC-445C-9574-3032FD457347}"/>
    <cellStyle name="Moeda 3 15 2" xfId="704" xr:uid="{2D4F0F7B-900D-4A4B-B9F5-7C82D53577C1}"/>
    <cellStyle name="Moeda 3 15 2 2" xfId="1196" xr:uid="{BAB6AB08-1355-4201-A645-98316D8E0479}"/>
    <cellStyle name="Moeda 3 15 2 2 2" xfId="37" xr:uid="{A93E1C89-9EDD-4A51-9D84-CB27F589385B}"/>
    <cellStyle name="Moeda 3 15 2 2 2 10" xfId="1879" xr:uid="{ABDBDF3F-016F-4451-A53E-F44CFFE3DF67}"/>
    <cellStyle name="Moeda 3 15 2 2 2 2" xfId="725" xr:uid="{204DBD30-AD78-47BC-92AD-A7CE5222819C}"/>
    <cellStyle name="Moeda 3 15 2 2 2 2 2" xfId="1217" xr:uid="{9F9F475B-074A-46A7-B891-AE1F8F9A8C99}"/>
    <cellStyle name="Moeda 3 15 2 2 2 2 2 2" xfId="2986" xr:uid="{0D08E8D8-3947-4B33-83B1-ADF77703A70E}"/>
    <cellStyle name="Moeda 3 15 2 2 2 2 3" xfId="1709" xr:uid="{07D28968-B4EA-4947-A206-8695C7833158}"/>
    <cellStyle name="Moeda 3 15 2 2 2 2 3 2" xfId="3478" xr:uid="{0CCC9935-29D9-4967-93C3-7684A747C1DA}"/>
    <cellStyle name="Moeda 3 15 2 2 2 2 4" xfId="2494" xr:uid="{875D0A41-1315-41D5-9FF5-AD8C2DD6D174}"/>
    <cellStyle name="Moeda 3 15 2 2 2 3" xfId="277" xr:uid="{F0F714AC-0E79-4258-BFA9-AFEE070E578D}"/>
    <cellStyle name="Moeda 3 15 2 2 2 3 2" xfId="924" xr:uid="{59D91399-20DE-4692-B123-C50D4BA1FECE}"/>
    <cellStyle name="Moeda 3 15 2 2 2 3 2 2" xfId="2693" xr:uid="{EE52200A-4E38-487C-8F75-8EAD7652D16C}"/>
    <cellStyle name="Moeda 3 15 2 2 2 3 3" xfId="1416" xr:uid="{790F4600-B560-4591-9E00-AECADB1AC317}"/>
    <cellStyle name="Moeda 3 15 2 2 2 3 3 2" xfId="3185" xr:uid="{6C734F15-67D7-477F-ACC0-4BCE0F8C21F1}"/>
    <cellStyle name="Moeda 3 15 2 2 2 3 4" xfId="2061" xr:uid="{C4E6ADAD-F150-4775-96A5-1C0E1783B314}"/>
    <cellStyle name="Moeda 3 15 2 2 2 4" xfId="141" xr:uid="{34440BDE-2423-423A-B6DC-65EF9419E9A9}"/>
    <cellStyle name="Moeda 3 15 2 2 2 4 12" xfId="221" xr:uid="{8C8EA9C0-104C-4331-9BDC-D403955E1B1D}"/>
    <cellStyle name="Moeda 3 15 2 2 2 4 12 2" xfId="870" xr:uid="{6A0098EE-24F9-479F-96AC-23A2EAF4B578}"/>
    <cellStyle name="Moeda 3 15 2 2 2 4 12 2 2" xfId="337" xr:uid="{1B73E2E1-D047-45EE-893E-6E56714A770B}"/>
    <cellStyle name="Moeda 3 15 2 2 2 4 12 2 2 2" xfId="968" xr:uid="{1C81F70C-F55B-4300-A128-86BD6D700F8C}"/>
    <cellStyle name="Moeda 3 15 2 2 2 4 12 2 2 2 2" xfId="2737" xr:uid="{0200DF7E-37A2-406D-BE31-6F29F209F463}"/>
    <cellStyle name="Moeda 3 15 2 2 2 4 12 2 2 3" xfId="1460" xr:uid="{2E354850-F157-4760-AA6B-5EF0F5D5F218}"/>
    <cellStyle name="Moeda 3 15 2 2 2 4 12 2 2 3 2" xfId="3229" xr:uid="{AA4A2425-B460-4C3C-85EB-126F5D743148}"/>
    <cellStyle name="Moeda 3 15 2 2 2 4 12 2 2 4" xfId="2115" xr:uid="{5B75CDAB-E40B-4F8A-9000-B34F3FD5A859}"/>
    <cellStyle name="Moeda 3 15 2 2 2 4 12 2 3" xfId="1362" xr:uid="{0108B9C2-A110-4E36-9440-75A9C7E61149}"/>
    <cellStyle name="Moeda 3 15 2 2 2 4 12 2 3 2" xfId="3131" xr:uid="{55C6C2E9-F9C1-4486-A780-C07B5329E4FD}"/>
    <cellStyle name="Moeda 3 15 2 2 2 4 12 2 4" xfId="1854" xr:uid="{4362312F-2F9C-4683-88EC-7A9BA70529C5}"/>
    <cellStyle name="Moeda 3 15 2 2 2 4 12 2 4 2" xfId="3623" xr:uid="{A0CB33AB-EEB1-4C7A-AE24-272482E386B5}"/>
    <cellStyle name="Moeda 3 15 2 2 2 4 12 2 5" xfId="2639" xr:uid="{A4B5C63E-A475-4E68-B39A-BCC7F665C03B}"/>
    <cellStyle name="Moeda 3 15 2 2 2 4 12 3" xfId="700" xr:uid="{9ABBF661-4D9D-472C-B077-73CCEE0A6191}"/>
    <cellStyle name="Moeda 3 15 2 2 2 4 12 3 2" xfId="1192" xr:uid="{41D45B3E-BD01-4A83-BBD8-4DCFBC7475B1}"/>
    <cellStyle name="Moeda 3 15 2 2 2 4 12 3 2 2" xfId="2961" xr:uid="{603E9DCB-4583-4E55-BA44-278B9A7BE1CA}"/>
    <cellStyle name="Moeda 3 15 2 2 2 4 12 3 3" xfId="1684" xr:uid="{F54F2F5F-36DA-4F51-8D64-808CCC780059}"/>
    <cellStyle name="Moeda 3 15 2 2 2 4 12 3 3 2" xfId="3453" xr:uid="{E04DDD7F-F056-4EA5-9F51-02E038FE7C85}"/>
    <cellStyle name="Moeda 3 15 2 2 2 4 12 3 4" xfId="2469" xr:uid="{6182B207-5000-49D7-89BD-22D6AF0E2C20}"/>
    <cellStyle name="Moeda 3 15 2 2 2 4 12 4" xfId="541" xr:uid="{AED5A393-7112-4D5F-BA29-D6869BF00899}"/>
    <cellStyle name="Moeda 3 15 2 2 2 4 12 4 2" xfId="2310" xr:uid="{A4542FA2-2415-40EA-AA8A-CCB53A9905C8}"/>
    <cellStyle name="Moeda 3 15 2 2 2 4 12 5" xfId="457" xr:uid="{131865C1-D6AC-482F-A083-784AE0C9A2C5}"/>
    <cellStyle name="Moeda 3 15 2 2 2 4 12 5 2" xfId="2235" xr:uid="{72505635-420E-4022-906F-A57BBE178168}"/>
    <cellStyle name="Moeda 3 15 2 2 2 4 12 6" xfId="1043" xr:uid="{2B8708E9-CE9D-4DA2-A314-D4A8E758A06C}"/>
    <cellStyle name="Moeda 3 15 2 2 2 4 12 6 2" xfId="2812" xr:uid="{400A1ACA-414C-4C58-9D2A-C6DF38E8279D}"/>
    <cellStyle name="Moeda 3 15 2 2 2 4 12 7" xfId="1535" xr:uid="{5EFA62A8-B8AE-416D-BABB-EB6C22F23502}"/>
    <cellStyle name="Moeda 3 15 2 2 2 4 12 7 2" xfId="3304" xr:uid="{F2C74C5B-FD8A-44EA-A3A1-2C1480250CFC}"/>
    <cellStyle name="Moeda 3 15 2 2 2 4 12 8" xfId="2005" xr:uid="{17CA20C7-5C60-4AEA-AFC8-9FFA6565C4F3}"/>
    <cellStyle name="Moeda 3 15 2 2 2 4 2" xfId="758" xr:uid="{D4F271A9-2512-4251-B1C3-0B7C4319722A}"/>
    <cellStyle name="Moeda 3 15 2 2 2 4 2 2" xfId="1250" xr:uid="{938E8C83-B916-4C94-A4F5-8FBC3F7E051E}"/>
    <cellStyle name="Moeda 3 15 2 2 2 4 2 2 2" xfId="3019" xr:uid="{FBFA9661-0FD3-4D4F-BC62-CB0C674063CC}"/>
    <cellStyle name="Moeda 3 15 2 2 2 4 2 3" xfId="1742" xr:uid="{FE1010C6-B3B6-43BF-8A01-0997B9FCCB53}"/>
    <cellStyle name="Moeda 3 15 2 2 2 4 2 3 2" xfId="3511" xr:uid="{803D8F63-81A6-4B8E-B53D-C41E4F67341C}"/>
    <cellStyle name="Moeda 3 15 2 2 2 4 2 4" xfId="2527" xr:uid="{5DD41565-979A-4EAD-8BAA-B5A516AA5019}"/>
    <cellStyle name="Moeda 3 15 2 2 2 4 3" xfId="666" xr:uid="{FFF84C2B-F44D-4DA1-B966-D48318A973FD}"/>
    <cellStyle name="Moeda 3 15 2 2 2 4 3 2" xfId="1158" xr:uid="{45998393-134A-4FC9-BBEC-402C6FD51B30}"/>
    <cellStyle name="Moeda 3 15 2 2 2 4 3 2 2" xfId="2927" xr:uid="{A6ABED14-224F-4AEA-8075-CD561ABAB1AA}"/>
    <cellStyle name="Moeda 3 15 2 2 2 4 3 3" xfId="1650" xr:uid="{73638215-29CC-4EE0-976D-58201A87018A}"/>
    <cellStyle name="Moeda 3 15 2 2 2 4 3 3 2" xfId="3419" xr:uid="{0AACE865-D862-4095-8A76-80F8CDADAEE2}"/>
    <cellStyle name="Moeda 3 15 2 2 2 4 3 4" xfId="2435" xr:uid="{3DEBE2F3-D1D0-45DE-93CB-85ADAEF1133F}"/>
    <cellStyle name="Moeda 3 15 2 2 2 4 4" xfId="262" xr:uid="{77D6A6DA-4C1D-49ED-B08D-CD02584D3026}"/>
    <cellStyle name="Moeda 3 15 2 2 2 4 4 2" xfId="2046" xr:uid="{C5ECDC77-989C-44CE-8D75-99C95D5BDD07}"/>
    <cellStyle name="Moeda 3 15 2 2 2 4 5" xfId="361" xr:uid="{D4359B71-FC50-4739-B740-6F313C07D7E9}"/>
    <cellStyle name="Moeda 3 15 2 2 2 4 5 2" xfId="2139" xr:uid="{6A79FF46-1282-41D6-901A-17451B209485}"/>
    <cellStyle name="Moeda 3 15 2 2 2 4 6" xfId="910" xr:uid="{B7E3F8A9-CF4D-4F71-B5D8-F538BB571793}"/>
    <cellStyle name="Moeda 3 15 2 2 2 4 6 2" xfId="2679" xr:uid="{56746369-F8E4-4ADB-B703-1FD377993547}"/>
    <cellStyle name="Moeda 3 15 2 2 2 4 7" xfId="1402" xr:uid="{AF5DBD8B-C946-4878-8F84-F9273BD35625}"/>
    <cellStyle name="Moeda 3 15 2 2 2 4 7 2" xfId="3171" xr:uid="{9B38BA74-4688-4F4D-A1D8-0CBD11022900}"/>
    <cellStyle name="Moeda 3 15 2 2 2 4 8" xfId="1971" xr:uid="{8BF39E14-E59A-4CA5-AAAF-CB9477523F64}"/>
    <cellStyle name="Moeda 3 15 2 2 2 5" xfId="74" xr:uid="{C3D7669D-8723-437A-8D98-8FD85E55E691}"/>
    <cellStyle name="Moeda 3 15 2 2 2 5 2" xfId="764" xr:uid="{045A5ABB-9B8D-495D-B8FA-AD21BDF8A0D8}"/>
    <cellStyle name="Moeda 3 15 2 2 2 5 2 2" xfId="1256" xr:uid="{988263D9-BEA9-4E73-B101-80F72A772589}"/>
    <cellStyle name="Moeda 3 15 2 2 2 5 2 2 2" xfId="3025" xr:uid="{FFACAA5A-8F0A-4122-A30A-0DE5BDB6E99B}"/>
    <cellStyle name="Moeda 3 15 2 2 2 5 2 3" xfId="1748" xr:uid="{5D3C846C-663E-467F-A2E6-C047A9604134}"/>
    <cellStyle name="Moeda 3 15 2 2 2 5 2 3 2" xfId="3517" xr:uid="{EE7D6775-32BB-4DF7-9F9F-52AE7406B7ED}"/>
    <cellStyle name="Moeda 3 15 2 2 2 5 2 4" xfId="2533" xr:uid="{D9AA5F65-D5DC-40CC-BA15-25FC6DEEAC28}"/>
    <cellStyle name="Moeda 3 15 2 2 2 5 3" xfId="91" xr:uid="{789BE422-DDEC-41E9-A8D9-C32434CAAA04}"/>
    <cellStyle name="Moeda 3 15 2 2 2 5 3 2" xfId="115" xr:uid="{BD0011E7-9508-4DBD-B71A-23CE8ECF80CB}"/>
    <cellStyle name="Moeda 3 15 2 2 2 5 3 2 2" xfId="796" xr:uid="{50E18226-E29F-46E5-81DD-ABDBDE03EE38}"/>
    <cellStyle name="Moeda 3 15 2 2 2 5 3 2 2 2" xfId="1288" xr:uid="{458C4296-ED98-4D0F-BEAF-B4AC6F0B4F3C}"/>
    <cellStyle name="Moeda 3 15 2 2 2 5 3 2 2 2 2" xfId="3057" xr:uid="{E1A7D703-06FC-4E44-B904-9D4EF8B1D881}"/>
    <cellStyle name="Moeda 3 15 2 2 2 5 3 2 2 3" xfId="1780" xr:uid="{8957EE20-3730-4605-8671-48DE3560E2E9}"/>
    <cellStyle name="Moeda 3 15 2 2 2 5 3 2 2 3 2" xfId="3549" xr:uid="{AF1E3962-9CE4-4DEE-8185-48588B9175E2}"/>
    <cellStyle name="Moeda 3 15 2 2 2 5 3 2 2 4" xfId="2565" xr:uid="{EF870F2A-FCBA-4536-9C19-6ECD9056CC0E}"/>
    <cellStyle name="Moeda 3 15 2 2 2 5 3 2 3" xfId="160" xr:uid="{B5CBA423-F31D-41E4-9EBC-B6C0F1B0ADC3}"/>
    <cellStyle name="Moeda 3 15 2 2 2 5 3 2 3 2" xfId="505" xr:uid="{52929170-2EED-43D2-9EC6-C8E32D6FCA4E}"/>
    <cellStyle name="Moeda 3 15 2 2 2 5 3 2 3 2 2" xfId="866" xr:uid="{D630813D-9507-4597-93C4-30D32E4B2ACA}"/>
    <cellStyle name="Moeda 3 15 2 2 2 5 3 2 3 2 2 2" xfId="1358" xr:uid="{CF48E93F-860F-4708-B369-BB7D2BBCFEAF}"/>
    <cellStyle name="Moeda 3 15 2 2 2 5 3 2 3 2 2 2 2" xfId="3127" xr:uid="{76EC9620-31AD-4CE9-B43F-1C7562A19215}"/>
    <cellStyle name="Moeda 3 15 2 2 2 5 3 2 3 2 2 3" xfId="1850" xr:uid="{ADBF45BF-08E3-4F78-90B6-B29FE3B534A4}"/>
    <cellStyle name="Moeda 3 15 2 2 2 5 3 2 3 2 2 3 2" xfId="3619" xr:uid="{FDBAFE99-4CB2-4AB0-8CB4-2BD8085B2C4A}"/>
    <cellStyle name="Moeda 3 15 2 2 2 5 3 2 3 2 2 4" xfId="2635" xr:uid="{DE910777-0DE0-4689-912D-682F99A23500}"/>
    <cellStyle name="Moeda 3 15 2 2 2 5 3 2 3 2 3" xfId="1015" xr:uid="{048EFEB1-1C7D-451D-A39E-AC292BDEF836}"/>
    <cellStyle name="Moeda 3 15 2 2 2 5 3 2 3 2 3 2" xfId="2784" xr:uid="{4125D5DB-B0BB-48FA-94D9-6465F5CE3FC0}"/>
    <cellStyle name="Moeda 3 15 2 2 2 5 3 2 3 2 4" xfId="1507" xr:uid="{66E8B3E2-E94B-4B8C-96A5-619ED0BE922B}"/>
    <cellStyle name="Moeda 3 15 2 2 2 5 3 2 3 2 4 2" xfId="3276" xr:uid="{CB284943-E114-4B15-9063-9BFC88F73D82}"/>
    <cellStyle name="Moeda 3 15 2 2 2 5 3 2 3 2 5" xfId="2274" xr:uid="{A24877E1-E89B-44FA-A8A8-90AE454C2917}"/>
    <cellStyle name="Moeda 3 15 2 2 2 5 3 2 3 3" xfId="843" xr:uid="{5B6B5605-6D65-4DDF-826C-FD68AF3C77BD}"/>
    <cellStyle name="Moeda 3 15 2 2 2 5 3 2 3 3 2" xfId="1335" xr:uid="{D30FDBDE-8969-4A97-B98B-9CA5CDCE5024}"/>
    <cellStyle name="Moeda 3 15 2 2 2 5 3 2 3 3 2 2" xfId="3104" xr:uid="{374250BB-3CF1-487C-9222-171F65E65F62}"/>
    <cellStyle name="Moeda 3 15 2 2 2 5 3 2 3 3 3" xfId="1827" xr:uid="{BCFF0753-9823-4B65-A762-B316071A2635}"/>
    <cellStyle name="Moeda 3 15 2 2 2 5 3 2 3 3 3 2" xfId="3596" xr:uid="{16522E38-DDF0-4ED8-BD58-C8DCCB6D66BF}"/>
    <cellStyle name="Moeda 3 15 2 2 2 5 3 2 3 3 4" xfId="2612" xr:uid="{AD460221-14C9-4F7F-B1E2-5255BE27AC46}"/>
    <cellStyle name="Moeda 3 15 2 2 2 5 3 2 3 4" xfId="685" xr:uid="{8C8953C1-E5D2-43F3-B50A-075B3B183735}"/>
    <cellStyle name="Moeda 3 15 2 2 2 5 3 2 3 4 2" xfId="1177" xr:uid="{3F8F8A96-EDE6-4CF3-9307-A4DF9C7F57B5}"/>
    <cellStyle name="Moeda 3 15 2 2 2 5 3 2 3 4 2 2" xfId="2946" xr:uid="{E454D5C3-C602-4453-A7C4-B9CB6ABDD875}"/>
    <cellStyle name="Moeda 3 15 2 2 2 5 3 2 3 4 3" xfId="1669" xr:uid="{AE8120EB-6573-42FA-B8BF-ED34285917BD}"/>
    <cellStyle name="Moeda 3 15 2 2 2 5 3 2 3 4 3 2" xfId="3438" xr:uid="{E2AD39A5-797F-4E89-9F20-3D8F9FA0CB0E}"/>
    <cellStyle name="Moeda 3 15 2 2 2 5 3 2 3 4 4" xfId="2454" xr:uid="{184FF440-2959-44E4-9978-28D41A6A210D}"/>
    <cellStyle name="Moeda 3 15 2 2 2 5 3 2 3 5" xfId="300" xr:uid="{6729DC51-C69A-43EB-BDBC-4B80A27F247A}"/>
    <cellStyle name="Moeda 3 15 2 2 2 5 3 2 3 5 2" xfId="2079" xr:uid="{B8103CC6-AC50-4020-95F4-C4D9E9AEC1D5}"/>
    <cellStyle name="Moeda 3 15 2 2 2 5 3 2 3 6" xfId="444" xr:uid="{4639283B-5AB5-480F-A1B6-46E1E7738828}"/>
    <cellStyle name="Moeda 3 15 2 2 2 5 3 2 3 6 2" xfId="2222" xr:uid="{2BA6A0E3-7C87-4EC8-BC6D-0F9FFA92E232}"/>
    <cellStyle name="Moeda 3 15 2 2 2 5 3 2 3 7" xfId="940" xr:uid="{99DDBDF6-4AC2-450A-AE0D-2FA96CE06E0D}"/>
    <cellStyle name="Moeda 3 15 2 2 2 5 3 2 3 7 2" xfId="2709" xr:uid="{BBD8A99E-90E5-4F87-92CC-9B471567FC18}"/>
    <cellStyle name="Moeda 3 15 2 2 2 5 3 2 3 8" xfId="1432" xr:uid="{8047B4C9-415E-4252-BFDB-2345F30377CB}"/>
    <cellStyle name="Moeda 3 15 2 2 2 5 3 2 3 8 2" xfId="3201" xr:uid="{2E47FF54-CA32-484F-8E39-0A7725649EEB}"/>
    <cellStyle name="Moeda 3 15 2 2 2 5 3 2 3 9" xfId="1990" xr:uid="{6560E1A8-69D5-4423-99AF-44361A1449FD}"/>
    <cellStyle name="Moeda 3 15 2 2 2 5 3 2 4" xfId="642" xr:uid="{03DF568C-F106-4A51-A14C-2C2238C9307B}"/>
    <cellStyle name="Moeda 3 15 2 2 2 5 3 2 4 2" xfId="1134" xr:uid="{017F8BF5-CCDB-47F9-B091-FA27F254AC7C}"/>
    <cellStyle name="Moeda 3 15 2 2 2 5 3 2 4 2 2" xfId="2903" xr:uid="{C4E86FA2-565F-4150-9B60-8F55AD5E072E}"/>
    <cellStyle name="Moeda 3 15 2 2 2 5 3 2 4 3" xfId="1626" xr:uid="{7CEE33C5-C06A-4567-ACAB-B44D426DD8CF}"/>
    <cellStyle name="Moeda 3 15 2 2 2 5 3 2 4 3 2" xfId="3395" xr:uid="{22A66080-DCAB-4494-90C8-769686377F9B}"/>
    <cellStyle name="Moeda 3 15 2 2 2 5 3 2 4 4" xfId="2411" xr:uid="{34C67F88-4D8D-4213-B392-095EACB024A0}"/>
    <cellStyle name="Moeda 3 15 2 2 2 5 3 2 5" xfId="524" xr:uid="{C2BB555F-53AD-4F03-A6B8-72CF9D161FBD}"/>
    <cellStyle name="Moeda 3 15 2 2 2 5 3 2 5 2" xfId="2293" xr:uid="{E6266E93-F46E-48BB-8704-4EADFA9B1D7A}"/>
    <cellStyle name="Moeda 3 15 2 2 2 5 3 2 6" xfId="398" xr:uid="{112B6C13-A149-4C6F-A961-875852F9821B}"/>
    <cellStyle name="Moeda 3 15 2 2 2 5 3 2 6 2" xfId="2176" xr:uid="{703CB277-4995-4AA6-BF83-CDE6F4096B6D}"/>
    <cellStyle name="Moeda 3 15 2 2 2 5 3 2 7" xfId="1029" xr:uid="{4668399B-90E2-479B-9C76-BE77B05BDC41}"/>
    <cellStyle name="Moeda 3 15 2 2 2 5 3 2 7 2" xfId="2798" xr:uid="{128DE3E9-CAFE-4D77-BFB2-65D7A6E08D2B}"/>
    <cellStyle name="Moeda 3 15 2 2 2 5 3 2 8" xfId="1521" xr:uid="{9EDD8F94-D19E-42FA-89DB-17943A4B1F33}"/>
    <cellStyle name="Moeda 3 15 2 2 2 5 3 2 8 2" xfId="3290" xr:uid="{12F234AB-3612-4005-9021-FBD65674122C}"/>
    <cellStyle name="Moeda 3 15 2 2 2 5 3 2 9" xfId="1947" xr:uid="{E50DE406-F99F-4AB1-A34B-B7B870EE51A8}"/>
    <cellStyle name="Moeda 3 15 2 2 2 5 3 3" xfId="773" xr:uid="{9469C38B-6724-4325-BAB3-38D8150BF06F}"/>
    <cellStyle name="Moeda 3 15 2 2 2 5 3 3 2" xfId="1265" xr:uid="{D3B939C6-136F-46D8-A24F-9284B173BD58}"/>
    <cellStyle name="Moeda 3 15 2 2 2 5 3 3 2 2" xfId="3034" xr:uid="{B02A01FD-D5B6-477C-95C3-9DA2DEB82767}"/>
    <cellStyle name="Moeda 3 15 2 2 2 5 3 3 3" xfId="1757" xr:uid="{7AB7CEEC-213C-45CB-B082-B7D22BDB2566}"/>
    <cellStyle name="Moeda 3 15 2 2 2 5 3 3 3 2" xfId="3526" xr:uid="{73A7304B-0DBE-4395-A9B2-0E27F0E6D09F}"/>
    <cellStyle name="Moeda 3 15 2 2 2 5 3 3 4" xfId="2542" xr:uid="{450DAFA2-BBEF-4550-875F-F938C5CDD95E}"/>
    <cellStyle name="Moeda 3 15 2 2 2 5 3 4" xfId="620" xr:uid="{FFF17B15-F309-4815-8C97-73A97D0C7F83}"/>
    <cellStyle name="Moeda 3 15 2 2 2 5 3 4 2" xfId="1112" xr:uid="{1A406660-C329-486C-B996-6DAEAED8205C}"/>
    <cellStyle name="Moeda 3 15 2 2 2 5 3 4 2 2" xfId="2881" xr:uid="{0F865FDF-F4B6-4DE7-BC02-0DFFEC2A4DD3}"/>
    <cellStyle name="Moeda 3 15 2 2 2 5 3 4 3" xfId="1604" xr:uid="{7197F7D7-616B-4F71-AC9C-8EFDE6E83599}"/>
    <cellStyle name="Moeda 3 15 2 2 2 5 3 4 3 2" xfId="3373" xr:uid="{B772A002-AD3E-4636-A8E7-802E988BA39B}"/>
    <cellStyle name="Moeda 3 15 2 2 2 5 3 4 4" xfId="2389" xr:uid="{84A3D090-6590-41DF-BA39-BFA1250B82E4}"/>
    <cellStyle name="Moeda 3 15 2 2 2 5 3 5" xfId="282" xr:uid="{4A07033F-7816-4740-AEDE-BA3F248DCA1F}"/>
    <cellStyle name="Moeda 3 15 2 2 2 5 3 5 2" xfId="2066" xr:uid="{375DC702-4CB4-4DCF-9E2C-44E93B65A909}"/>
    <cellStyle name="Moeda 3 15 2 2 2 5 3 6" xfId="375" xr:uid="{90BD2889-F275-436E-93A4-1A1326473D8B}"/>
    <cellStyle name="Moeda 3 15 2 2 2 5 3 6 2" xfId="2153" xr:uid="{18BA1339-95D8-4299-ADEA-DFAA66C7D665}"/>
    <cellStyle name="Moeda 3 15 2 2 2 5 3 7" xfId="928" xr:uid="{F01BCF2B-7975-4C1F-890E-AA8BBC2B864A}"/>
    <cellStyle name="Moeda 3 15 2 2 2 5 3 7 2" xfId="2697" xr:uid="{174CB91D-69AC-46AB-9AFD-E47175458FFF}"/>
    <cellStyle name="Moeda 3 15 2 2 2 5 3 8" xfId="1420" xr:uid="{214CD21A-B091-43A7-A93A-CC96835C7350}"/>
    <cellStyle name="Moeda 3 15 2 2 2 5 3 8 2" xfId="3189" xr:uid="{69475ACB-169B-4A2C-9A6A-268D6D434394}"/>
    <cellStyle name="Moeda 3 15 2 2 2 5 3 9" xfId="1925" xr:uid="{0482C848-0027-4A23-BEC8-18D950AAEE61}"/>
    <cellStyle name="Moeda 3 15 2 2 2 5 4" xfId="607" xr:uid="{D69A0650-AB38-46E8-8E35-532291092DC5}"/>
    <cellStyle name="Moeda 3 15 2 2 2 5 4 2" xfId="1099" xr:uid="{7144F9AA-A023-41E4-A798-521554047CF9}"/>
    <cellStyle name="Moeda 3 15 2 2 2 5 4 2 2" xfId="2868" xr:uid="{94713C7A-F705-4810-AE58-2A62B83866E1}"/>
    <cellStyle name="Moeda 3 15 2 2 2 5 4 3" xfId="1591" xr:uid="{4F880895-3CA6-49BF-A919-70A5E1A48CD0}"/>
    <cellStyle name="Moeda 3 15 2 2 2 5 4 3 2" xfId="3360" xr:uid="{D3E77581-E047-4FFB-8536-DC9382B84F54}"/>
    <cellStyle name="Moeda 3 15 2 2 2 5 4 4" xfId="2376" xr:uid="{FDDEE6A5-B1C5-455A-996E-BA7C0DF0F1CE}"/>
    <cellStyle name="Moeda 3 15 2 2 2 5 5" xfId="346" xr:uid="{476622EF-DC3D-4FEE-8C99-52BE9154C50B}"/>
    <cellStyle name="Moeda 3 15 2 2 2 5 5 2" xfId="2124" xr:uid="{6436A1F8-996B-4AB7-9F97-9538A996D225}"/>
    <cellStyle name="Moeda 3 15 2 2 2 5 6" xfId="366" xr:uid="{4B3B75A5-3C20-4B67-9B15-62C5AD4C4049}"/>
    <cellStyle name="Moeda 3 15 2 2 2 5 6 2" xfId="2144" xr:uid="{A6F013C2-3F49-4F09-89D1-BC2ECED35213}"/>
    <cellStyle name="Moeda 3 15 2 2 2 5 7" xfId="977" xr:uid="{BDFD22FD-0E3B-41DA-A798-01D7ACAC2B1B}"/>
    <cellStyle name="Moeda 3 15 2 2 2 5 7 2" xfId="2746" xr:uid="{E0D34516-FCFF-4EE6-88BE-EAEC3BED4EB7}"/>
    <cellStyle name="Moeda 3 15 2 2 2 5 8" xfId="1469" xr:uid="{970048B3-C991-4189-8A7E-13DF0534D128}"/>
    <cellStyle name="Moeda 3 15 2 2 2 5 8 2" xfId="3238" xr:uid="{611415C3-C485-4E58-8534-126EF0F615B7}"/>
    <cellStyle name="Moeda 3 15 2 2 2 5 9" xfId="1912" xr:uid="{28349A1C-273D-4F82-B3EB-EBBC3A815DE0}"/>
    <cellStyle name="Moeda 3 15 2 2 2 6" xfId="296" xr:uid="{849F42B7-5223-4C05-916A-A15DD14733AC}"/>
    <cellStyle name="Moeda 3 15 2 2 2 6 2" xfId="2075" xr:uid="{42575134-D24B-406A-9EA5-D179715CF164}"/>
    <cellStyle name="Moeda 3 15 2 2 2 7" xfId="236" xr:uid="{8E5DFDD5-57E6-47C5-A1D1-E4C4BC419553}"/>
    <cellStyle name="Moeda 3 15 2 2 2 7 2" xfId="2020" xr:uid="{458EE932-BE79-4E9F-8B81-9B74457D13D7}"/>
    <cellStyle name="Moeda 3 15 2 2 2 8" xfId="884" xr:uid="{B21FB9C3-718A-41B1-AD58-65079E93D940}"/>
    <cellStyle name="Moeda 3 15 2 2 2 8 2" xfId="2653" xr:uid="{53A3B9A1-C2B6-4F2F-AC51-140ED2246C44}"/>
    <cellStyle name="Moeda 3 15 2 2 2 9" xfId="1376" xr:uid="{BFF51F92-EA5F-4A31-B314-FC98F9DB7562}"/>
    <cellStyle name="Moeda 3 15 2 2 2 9 2" xfId="3145" xr:uid="{E162E3DF-892E-4159-B420-5C571BCEC57A}"/>
    <cellStyle name="Moeda 3 15 2 2 3" xfId="2965" xr:uid="{E5FCF38D-9121-4F02-82CA-A0E5CA46ADA2}"/>
    <cellStyle name="Moeda 3 15 2 3" xfId="1688" xr:uid="{3DD040D2-5395-4B36-B5E8-FE1BD3BE450C}"/>
    <cellStyle name="Moeda 3 15 2 3 2" xfId="3457" xr:uid="{D679FC2B-D5EB-414E-B2A5-FFD61AC35355}"/>
    <cellStyle name="Moeda 3 15 2 4" xfId="2473" xr:uid="{6D2AA68E-3C1D-429D-BCE5-B967520D457A}"/>
    <cellStyle name="Moeda 3 15 3" xfId="313" xr:uid="{6D957935-5A7C-4F40-99EC-66A72728F909}"/>
    <cellStyle name="Moeda 3 15 3 2" xfId="949" xr:uid="{4115D4FB-79A8-45A2-B029-418BA24F0129}"/>
    <cellStyle name="Moeda 3 15 3 2 2" xfId="2718" xr:uid="{4440CEAB-AE45-455B-BF7A-6994728292E6}"/>
    <cellStyle name="Moeda 3 15 3 3" xfId="1441" xr:uid="{08180A08-62E6-446A-9C86-4E36188EF8FD}"/>
    <cellStyle name="Moeda 3 15 3 3 2" xfId="3210" xr:uid="{C03E3C1D-98F0-482C-B3CC-F43EFF8C1531}"/>
    <cellStyle name="Moeda 3 15 3 4" xfId="2091" xr:uid="{B338DE80-DCDE-457B-81F1-CFAB5789A441}"/>
    <cellStyle name="Moeda 3 15 4" xfId="540" xr:uid="{B9C64379-DB56-4853-9CFC-543F02133E75}"/>
    <cellStyle name="Moeda 3 15 4 2" xfId="2309" xr:uid="{03195F96-D97E-4DC5-AED6-3BF6437F33AB}"/>
    <cellStyle name="Moeda 3 15 5" xfId="227" xr:uid="{6D14393E-3209-4299-AE74-219326D090ED}"/>
    <cellStyle name="Moeda 3 15 5 2" xfId="2011" xr:uid="{9BAD6799-9B5B-4732-90B7-C80C17047221}"/>
    <cellStyle name="Moeda 3 15 6" xfId="875" xr:uid="{516ADFC8-EB0A-4753-B144-E57B9F812F37}"/>
    <cellStyle name="Moeda 3 15 6 2" xfId="2644" xr:uid="{DCBAFDAF-AA35-4626-8D78-1D0EF1FDFDB9}"/>
    <cellStyle name="Moeda 3 15 7" xfId="1367" xr:uid="{6D8D48E4-5271-499E-A87F-348AE9493C23}"/>
    <cellStyle name="Moeda 3 15 7 2" xfId="3136" xr:uid="{5EEB099D-E231-44BA-AB00-9AB55D0C1A4A}"/>
    <cellStyle name="Moeda 3 15 8" xfId="1869" xr:uid="{3946A42C-0C69-4823-9C89-BAE0589D9BBC}"/>
    <cellStyle name="Moeda 3 16" xfId="347" xr:uid="{A6E04CF1-22F0-4AD3-9686-889368E2F31E}"/>
    <cellStyle name="Moeda 3 16 13" xfId="106" xr:uid="{FBFB04CB-924D-47B5-9EDA-9421DE6B0AA3}"/>
    <cellStyle name="Moeda 3 16 13 10" xfId="1938" xr:uid="{8A72FBDE-37E7-4749-BEA2-6AF6C9C64385}"/>
    <cellStyle name="Moeda 3 16 13 2" xfId="167" xr:uid="{747CE354-6A6F-4B7D-AC7B-FAB742B115DD}"/>
    <cellStyle name="Moeda 3 16 13 2 2" xfId="852" xr:uid="{365BEBB7-B210-48C9-839A-D3CA87EBA81C}"/>
    <cellStyle name="Moeda 3 16 13 2 2 2" xfId="1344" xr:uid="{73E8FABE-E538-4B9B-99CD-7146CAD48885}"/>
    <cellStyle name="Moeda 3 16 13 2 2 2 2" xfId="3113" xr:uid="{89AD62B1-D9D3-4759-98CC-90398AB7BB9A}"/>
    <cellStyle name="Moeda 3 16 13 2 2 3" xfId="1836" xr:uid="{466085D8-B5EC-4A46-B43F-D692C0DE1518}"/>
    <cellStyle name="Moeda 3 16 13 2 2 3 2" xfId="3605" xr:uid="{F64AB6A2-3B32-4516-B3C3-34A00C1466A4}"/>
    <cellStyle name="Moeda 3 16 13 2 2 4" xfId="2621" xr:uid="{31E0B460-543A-4E64-95D0-642954B8C1DD}"/>
    <cellStyle name="Moeda 3 16 13 2 3" xfId="692" xr:uid="{0627BBB7-B354-4661-A882-0A07A25B2956}"/>
    <cellStyle name="Moeda 3 16 13 2 3 2" xfId="1184" xr:uid="{D02BF5E3-D64B-4BD7-B0BA-085914359318}"/>
    <cellStyle name="Moeda 3 16 13 2 3 2 2" xfId="2953" xr:uid="{22C4C1E0-1BFE-423B-B7F6-0F4BB7FE5D31}"/>
    <cellStyle name="Moeda 3 16 13 2 3 3" xfId="1676" xr:uid="{1D37C1E7-B820-4F9C-A7CD-63CFA857FDEE}"/>
    <cellStyle name="Moeda 3 16 13 2 3 3 2" xfId="3445" xr:uid="{EEDFEE01-E7A6-4EF5-9292-264E2C220E9E}"/>
    <cellStyle name="Moeda 3 16 13 2 3 4" xfId="2461" xr:uid="{F699525E-98A9-4FB7-B2E3-487E814F9602}"/>
    <cellStyle name="Moeda 3 16 13 2 4" xfId="506" xr:uid="{3E9B919E-1696-4985-B872-DE43D085CCCD}"/>
    <cellStyle name="Moeda 3 16 13 2 4 2" xfId="2275" xr:uid="{14195B26-8885-4A74-AADC-C1D35C1113EF}"/>
    <cellStyle name="Moeda 3 16 13 2 5" xfId="449" xr:uid="{11ACBAD8-55BB-4B1F-A5FB-A4DFA846CB91}"/>
    <cellStyle name="Moeda 3 16 13 2 5 2" xfId="2227" xr:uid="{7DC4852C-DAE4-4094-A216-F36D2CF1EA8E}"/>
    <cellStyle name="Moeda 3 16 13 2 6" xfId="1016" xr:uid="{E943FA7A-C405-4DCF-A262-E54CDB4CB752}"/>
    <cellStyle name="Moeda 3 16 13 2 6 2" xfId="2785" xr:uid="{53B260D4-5780-4017-9094-852023A9747D}"/>
    <cellStyle name="Moeda 3 16 13 2 7" xfId="1508" xr:uid="{178D3175-CFB0-4D26-9E6C-2B1F41E5F9AD}"/>
    <cellStyle name="Moeda 3 16 13 2 7 2" xfId="3277" xr:uid="{280CEF06-3781-45E1-8527-9DCCB9475586}"/>
    <cellStyle name="Moeda 3 16 13 2 8" xfId="1997" xr:uid="{F9A94F14-1672-4810-9A8A-41752F5FF055}"/>
    <cellStyle name="Moeda 3 16 13 3" xfId="787" xr:uid="{AD3729B8-EE48-43B3-9DEF-CA10CDC49907}"/>
    <cellStyle name="Moeda 3 16 13 3 2" xfId="1279" xr:uid="{FEBF0EA8-F201-483E-89AB-C9DF080BEE27}"/>
    <cellStyle name="Moeda 3 16 13 3 2 2" xfId="3048" xr:uid="{677931C1-1A01-46C9-AA64-8CB4C417A5E3}"/>
    <cellStyle name="Moeda 3 16 13 3 3" xfId="1771" xr:uid="{052D5E25-33B0-4024-B1B5-D2C0B025B621}"/>
    <cellStyle name="Moeda 3 16 13 3 3 2" xfId="3540" xr:uid="{190021D3-D869-451B-A7AD-79FCEAD99BAA}"/>
    <cellStyle name="Moeda 3 16 13 3 4" xfId="2556" xr:uid="{AD74B594-1FE7-4710-94A1-90863D397F6A}"/>
    <cellStyle name="Moeda 3 16 13 4" xfId="176" xr:uid="{F533DEDF-C625-494B-B799-7ECBCA3A980A}"/>
    <cellStyle name="Moeda 3 16 13 4 2" xfId="857" xr:uid="{1226CC48-55AF-4202-831F-90F320AB18DB}"/>
    <cellStyle name="Moeda 3 16 13 4 2 2" xfId="1349" xr:uid="{570BADD6-A87B-4C8D-B0C7-8D42393F738D}"/>
    <cellStyle name="Moeda 3 16 13 4 2 2 2" xfId="3118" xr:uid="{4E48CBE8-94F7-41BE-B7A2-A27B53532EFA}"/>
    <cellStyle name="Moeda 3 16 13 4 2 3" xfId="1841" xr:uid="{B055CC22-17C3-4F41-8D32-1642E1492B8E}"/>
    <cellStyle name="Moeda 3 16 13 4 2 3 2" xfId="3610" xr:uid="{F5C5452B-D792-4E6A-BE7C-B731F841DE97}"/>
    <cellStyle name="Moeda 3 16 13 4 2 4" xfId="2626" xr:uid="{9F786B62-CC46-4EBD-83FF-84D8BD15A6C2}"/>
    <cellStyle name="Moeda 3 16 13 4 3" xfId="697" xr:uid="{CFF590F1-0551-4F93-A169-304CA6F685EF}"/>
    <cellStyle name="Moeda 3 16 13 4 3 2" xfId="1189" xr:uid="{5F05093F-9B4B-4E5C-81FB-2726971DBED0}"/>
    <cellStyle name="Moeda 3 16 13 4 3 2 2" xfId="2958" xr:uid="{03E9C9A3-C695-4BF0-B33B-259CBFA34FFC}"/>
    <cellStyle name="Moeda 3 16 13 4 3 3" xfId="1681" xr:uid="{042F864D-1142-4806-A970-79874086046A}"/>
    <cellStyle name="Moeda 3 16 13 4 3 3 2" xfId="3450" xr:uid="{731E94C4-4B73-41AA-A4D6-ECDC9C4E999C}"/>
    <cellStyle name="Moeda 3 16 13 4 3 4" xfId="2466" xr:uid="{CBA4C685-6C9F-4D70-8428-964B8CA03730}"/>
    <cellStyle name="Moeda 3 16 13 4 4" xfId="471" xr:uid="{317C6E52-FAE0-4618-B96B-B122655944A3}"/>
    <cellStyle name="Moeda 3 16 13 4 4 2" xfId="2240" xr:uid="{EA407C36-AC90-4A9D-BF33-62D6E3D46B25}"/>
    <cellStyle name="Moeda 3 16 13 4 5" xfId="454" xr:uid="{1EE74FC6-6B52-4962-9352-CE4C64F2E987}"/>
    <cellStyle name="Moeda 3 16 13 4 5 2" xfId="2232" xr:uid="{963B54C5-4F6D-4C08-82F3-18CB3171D969}"/>
    <cellStyle name="Moeda 3 16 13 4 6" xfId="987" xr:uid="{C9AB4FF7-66D0-458F-AA52-B36A42557C52}"/>
    <cellStyle name="Moeda 3 16 13 4 6 2" xfId="2756" xr:uid="{9BA97743-382B-411B-8C3E-CD7E41AE05D5}"/>
    <cellStyle name="Moeda 3 16 13 4 7" xfId="1479" xr:uid="{B52D42BD-9E9B-4FCA-8CFB-C72A7B24A53D}"/>
    <cellStyle name="Moeda 3 16 13 4 7 2" xfId="3248" xr:uid="{E70C6FE2-B2B2-4BEA-88E4-CE70D2BEADD5}"/>
    <cellStyle name="Moeda 3 16 13 4 8" xfId="2002" xr:uid="{8FFC9A41-D82F-47BE-99FC-16012CA17E97}"/>
    <cellStyle name="Moeda 3 16 13 5" xfId="633" xr:uid="{72D329DC-2DC8-4CC5-93A7-D038E639F2F2}"/>
    <cellStyle name="Moeda 3 16 13 5 2" xfId="1125" xr:uid="{B126C493-B44D-4F52-80A7-53B831F1A21D}"/>
    <cellStyle name="Moeda 3 16 13 5 2 2" xfId="2894" xr:uid="{78ABF842-C515-4180-8ADF-014E2F679B80}"/>
    <cellStyle name="Moeda 3 16 13 5 3" xfId="1617" xr:uid="{5FD0EE52-5975-4258-8544-1ABFC062AEE8}"/>
    <cellStyle name="Moeda 3 16 13 5 3 2" xfId="3386" xr:uid="{FDA6FE73-2603-4E60-A5C1-04B9ADD3B169}"/>
    <cellStyle name="Moeda 3 16 13 5 4" xfId="2402" xr:uid="{B917DD7C-9246-4770-A181-A51474455652}"/>
    <cellStyle name="Moeda 3 16 13 6" xfId="316" xr:uid="{543CAF2A-F3C4-48DB-B74B-3B960B84DA0A}"/>
    <cellStyle name="Moeda 3 16 13 6 2" xfId="2094" xr:uid="{ECA96101-0B42-4BEA-A481-6C2109369AFD}"/>
    <cellStyle name="Moeda 3 16 13 7" xfId="389" xr:uid="{A2AB9833-3AD0-49DF-B768-2C39D3A9A174}"/>
    <cellStyle name="Moeda 3 16 13 7 2" xfId="2167" xr:uid="{C967C270-20C9-4A2B-8B99-EE738DEE61B8}"/>
    <cellStyle name="Moeda 3 16 13 8" xfId="950" xr:uid="{6015D3FF-DAB6-440F-AFC2-3B58FD4ABEBC}"/>
    <cellStyle name="Moeda 3 16 13 8 2" xfId="2719" xr:uid="{7DD13C4B-59A4-41D2-B059-8156DCAE1A8D}"/>
    <cellStyle name="Moeda 3 16 13 9" xfId="1442" xr:uid="{03B5B36D-634D-40B8-A5DB-21997CB4D807}"/>
    <cellStyle name="Moeda 3 16 13 9 2" xfId="3211" xr:uid="{550CAE75-4493-48F6-8EF5-AE3A32B6A510}"/>
    <cellStyle name="Moeda 3 16 2" xfId="568" xr:uid="{5A1DCE26-4261-45F6-8440-46B2A1388629}"/>
    <cellStyle name="Moeda 3 16 2 2" xfId="716" xr:uid="{5D2460B3-6576-47A4-A49B-FA059396A3FE}"/>
    <cellStyle name="Moeda 3 16 2 2 2" xfId="1208" xr:uid="{71B7CA9C-481B-4838-9273-B3F9FE21D11E}"/>
    <cellStyle name="Moeda 3 16 2 2 2 2" xfId="2977" xr:uid="{324840E6-1CB3-4820-AC84-D8E26E0BA620}"/>
    <cellStyle name="Moeda 3 16 2 2 3" xfId="1700" xr:uid="{DF56573C-069D-4411-AFCC-798BE806D303}"/>
    <cellStyle name="Moeda 3 16 2 2 3 2" xfId="3469" xr:uid="{EF98084F-E864-4DA5-879A-139D3132C26B}"/>
    <cellStyle name="Moeda 3 16 2 2 4" xfId="2485" xr:uid="{C5F2A753-C4D9-4837-931D-4F6D41441AD4}"/>
    <cellStyle name="Moeda 3 16 2 3" xfId="34" xr:uid="{6B31259A-4CD9-4893-8572-E80AD06E0A8C}"/>
    <cellStyle name="Moeda 3 16 2 3 2" xfId="722" xr:uid="{F52C2DBC-766B-467F-A864-8989D3211CE6}"/>
    <cellStyle name="Moeda 3 16 2 3 2 2" xfId="1214" xr:uid="{8549E9EE-DB16-4EC0-B0D9-98348AD9E4C6}"/>
    <cellStyle name="Moeda 3 16 2 3 2 2 2" xfId="2983" xr:uid="{AA8554B6-4B85-4EEC-BD57-D1EC4C7441C9}"/>
    <cellStyle name="Moeda 3 16 2 3 2 3" xfId="1706" xr:uid="{41BEF433-1350-4386-8FC5-6B5AA7A94AC1}"/>
    <cellStyle name="Moeda 3 16 2 3 2 3 2" xfId="3475" xr:uid="{01629DEA-5830-45E0-9A9A-DD6FCB96B3A0}"/>
    <cellStyle name="Moeda 3 16 2 3 2 4" xfId="2491" xr:uid="{DB71AD86-30F9-40A2-8656-C91EB7FD9D80}"/>
    <cellStyle name="Moeda 3 16 2 3 3" xfId="561" xr:uid="{8C0D1609-8173-4A09-9C0E-5F8D4918D21C}"/>
    <cellStyle name="Moeda 3 16 2 3 3 2" xfId="1058" xr:uid="{284A46E0-30D3-440C-848A-AFA3C14163FE}"/>
    <cellStyle name="Moeda 3 16 2 3 3 2 2" xfId="2827" xr:uid="{5192B053-7A4E-4C25-821C-313464EFE3CE}"/>
    <cellStyle name="Moeda 3 16 2 3 3 3" xfId="1550" xr:uid="{4CFCAE34-28F4-4391-8B26-D7AE07E53E42}"/>
    <cellStyle name="Moeda 3 16 2 3 3 3 2" xfId="3319" xr:uid="{AFD8C048-33D5-4E90-A7E3-A9011A9B1EF4}"/>
    <cellStyle name="Moeda 3 16 2 3 3 4" xfId="2330" xr:uid="{218BCBCA-4C10-403D-A83C-EE58AD0205A0}"/>
    <cellStyle name="Moeda 3 16 2 3 4" xfId="58" xr:uid="{7D10E862-109C-464B-9423-110FEB1B7CA8}"/>
    <cellStyle name="Moeda 3 16 2 3 4 2" xfId="746" xr:uid="{3E9555A4-64A8-4FB4-A5EC-A3E38ED66AAB}"/>
    <cellStyle name="Moeda 3 16 2 3 4 2 2" xfId="1238" xr:uid="{9D102884-CE89-4D04-9312-EF4A78F3D15B}"/>
    <cellStyle name="Moeda 3 16 2 3 4 2 2 2" xfId="3007" xr:uid="{5018FDB8-351A-451C-B1F9-33A130D7C640}"/>
    <cellStyle name="Moeda 3 16 2 3 4 2 3" xfId="1730" xr:uid="{62DF9DB8-FE4C-48FF-B68F-286125B1F046}"/>
    <cellStyle name="Moeda 3 16 2 3 4 2 3 2" xfId="3499" xr:uid="{57E44DE8-1902-424A-8942-01155344F6EB}"/>
    <cellStyle name="Moeda 3 16 2 3 4 2 4" xfId="2515" xr:uid="{FA22AEC3-DEDB-41BF-BB9F-701D705DCC4A}"/>
    <cellStyle name="Moeda 3 16 2 3 4 3" xfId="345" xr:uid="{58252EFB-6C1D-47FF-A541-AFF129A798B1}"/>
    <cellStyle name="Moeda 3 16 2 3 4 3 2" xfId="976" xr:uid="{0B0F343B-77DA-4B02-B68A-05531014AFBA}"/>
    <cellStyle name="Moeda 3 16 2 3 4 3 2 2" xfId="2745" xr:uid="{73D0C1DB-21AF-424F-847A-7702D4793A0B}"/>
    <cellStyle name="Moeda 3 16 2 3 4 3 3" xfId="1468" xr:uid="{4A9D8AD8-FC48-4B74-B852-8D889B69A558}"/>
    <cellStyle name="Moeda 3 16 2 3 4 3 3 2" xfId="3237" xr:uid="{3360AAC1-525B-4A0C-A8BC-C2EE51B81FC5}"/>
    <cellStyle name="Moeda 3 16 2 3 4 3 4" xfId="2123" xr:uid="{E3C36F34-F733-4100-BFBB-B921FE508208}"/>
    <cellStyle name="Moeda 3 16 2 3 4 4" xfId="90" xr:uid="{22432642-F1FD-4069-B23E-02C48F9C729D}"/>
    <cellStyle name="Moeda 3 16 2 3 4 4 10" xfId="1924" xr:uid="{4427DD5A-102E-43ED-B0CC-A25757E86846}"/>
    <cellStyle name="Moeda 3 16 2 3 4 4 2" xfId="136" xr:uid="{FD954788-7D3E-41A0-8B83-E3D978B5EA00}"/>
    <cellStyle name="Moeda 3 16 2 3 4 4 2 2" xfId="818" xr:uid="{734784A5-F97D-41D9-A088-F646246F8669}"/>
    <cellStyle name="Moeda 3 16 2 3 4 4 2 2 2" xfId="1310" xr:uid="{9A657121-B474-4708-B8EF-E05277286C43}"/>
    <cellStyle name="Moeda 3 16 2 3 4 4 2 2 2 2" xfId="3079" xr:uid="{A32BFFEE-7827-42FA-8376-3B4B3A2A505C}"/>
    <cellStyle name="Moeda 3 16 2 3 4 4 2 2 3" xfId="1802" xr:uid="{B991B5DA-2A7B-4D46-A831-101E7C01544D}"/>
    <cellStyle name="Moeda 3 16 2 3 4 4 2 2 3 2" xfId="3571" xr:uid="{DB1CF45E-95C6-49C5-BE1C-E0A209C1DDA3}"/>
    <cellStyle name="Moeda 3 16 2 3 4 4 2 2 4" xfId="2587" xr:uid="{78BE7856-525B-41D1-AFDB-F06D07929C90}"/>
    <cellStyle name="Moeda 3 16 2 3 4 4 2 3" xfId="335" xr:uid="{FE58EC88-D37A-4699-8295-A738E21BD542}"/>
    <cellStyle name="Moeda 3 16 2 3 4 4 2 3 2" xfId="848" xr:uid="{063953B2-71EF-4571-BF9E-4985F9BEC323}"/>
    <cellStyle name="Moeda 3 16 2 3 4 4 2 3 2 2" xfId="1340" xr:uid="{2C64D8C0-955E-4683-AB1B-43C12DFC59B9}"/>
    <cellStyle name="Moeda 3 16 2 3 4 4 2 3 2 2 2" xfId="3109" xr:uid="{FBBE648B-CA8D-49AF-9EAE-175AED82DB9A}"/>
    <cellStyle name="Moeda 3 16 2 3 4 4 2 3 2 3" xfId="1832" xr:uid="{8A0A6B4C-F1E0-49BE-B301-F8956901F6A1}"/>
    <cellStyle name="Moeda 3 16 2 3 4 4 2 3 2 3 2" xfId="3601" xr:uid="{8434399B-B58D-4BF4-ACB1-747B5D41BA4A}"/>
    <cellStyle name="Moeda 3 16 2 3 4 4 2 3 2 4" xfId="2617" xr:uid="{D16F4854-9D78-4208-A943-C65B517231A0}"/>
    <cellStyle name="Moeda 3 16 2 3 4 4 2 3 3" xfId="966" xr:uid="{51E754B1-A940-4379-B92B-3E72FF0B23C5}"/>
    <cellStyle name="Moeda 3 16 2 3 4 4 2 3 3 2" xfId="2735" xr:uid="{B078D731-6209-4FF5-A9C1-3FA301BE7FC6}"/>
    <cellStyle name="Moeda 3 16 2 3 4 4 2 3 4" xfId="1458" xr:uid="{2E51B7A4-70C6-4551-8506-BD327A42DC5A}"/>
    <cellStyle name="Moeda 3 16 2 3 4 4 2 3 4 2" xfId="3227" xr:uid="{E850C7A8-A453-41F5-8547-0734B757F5F9}"/>
    <cellStyle name="Moeda 3 16 2 3 4 4 2 3 5" xfId="2113" xr:uid="{B3FBB544-D66E-497C-ACDD-7B92BD77C4F3}"/>
    <cellStyle name="Moeda 3 16 2 3 4 4 2 4" xfId="661" xr:uid="{6256C9E7-3D4E-4638-AABF-7B1AEFDC0799}"/>
    <cellStyle name="Moeda 3 16 2 3 4 4 2 4 2" xfId="1153" xr:uid="{1299A543-90EB-4695-96F8-0DC26856BC55}"/>
    <cellStyle name="Moeda 3 16 2 3 4 4 2 4 2 2" xfId="2922" xr:uid="{6B2F6EB6-D1D3-4305-B61B-98C65461DACB}"/>
    <cellStyle name="Moeda 3 16 2 3 4 4 2 4 3" xfId="1645" xr:uid="{C7E7786B-A920-4FF8-87A1-7DA1E76644B2}"/>
    <cellStyle name="Moeda 3 16 2 3 4 4 2 4 3 2" xfId="3414" xr:uid="{F6FBA011-D031-4FBA-88D3-CF7EABB1BF0C}"/>
    <cellStyle name="Moeda 3 16 2 3 4 4 2 4 4" xfId="2430" xr:uid="{17634798-E581-40E3-8547-771427EFF8F4}"/>
    <cellStyle name="Moeda 3 16 2 3 4 4 2 5" xfId="515" xr:uid="{B34A63CE-9D7B-4B29-82AC-69069731C339}"/>
    <cellStyle name="Moeda 3 16 2 3 4 4 2 5 2" xfId="2284" xr:uid="{AB10F4FE-5967-447C-BA2F-3E766937E2EA}"/>
    <cellStyle name="Moeda 3 16 2 3 4 4 2 6" xfId="419" xr:uid="{D6F9C9BA-5E79-4DE9-8228-3BE177AE5186}"/>
    <cellStyle name="Moeda 3 16 2 3 4 4 2 6 2" xfId="2197" xr:uid="{81A3C25F-2BFC-4C23-A84B-1C06753FFB1E}"/>
    <cellStyle name="Moeda 3 16 2 3 4 4 2 7" xfId="1023" xr:uid="{4A46FA47-FE76-42DB-8786-373075F5FC98}"/>
    <cellStyle name="Moeda 3 16 2 3 4 4 2 7 2" xfId="2792" xr:uid="{DE5A8587-EAFF-4462-8836-3F8F18B73C3E}"/>
    <cellStyle name="Moeda 3 16 2 3 4 4 2 8" xfId="1515" xr:uid="{5A431EB1-3D2A-4D05-A57D-62D4712FF40B}"/>
    <cellStyle name="Moeda 3 16 2 3 4 4 2 8 2" xfId="3284" xr:uid="{AA2F2A69-3652-4564-9B9D-264D0B65030A}"/>
    <cellStyle name="Moeda 3 16 2 3 4 4 2 9" xfId="1966" xr:uid="{A9CE9906-39EC-4CD9-AEE9-2935D3AA700D}"/>
    <cellStyle name="Moeda 3 16 2 3 4 4 3" xfId="772" xr:uid="{4105EFED-956F-4419-851F-591AE5C49496}"/>
    <cellStyle name="Moeda 3 16 2 3 4 4 3 2" xfId="1264" xr:uid="{F9E45645-B025-4F8B-9CFB-4E4BF75F2170}"/>
    <cellStyle name="Moeda 3 16 2 3 4 4 3 2 2" xfId="3033" xr:uid="{A30DDE83-754B-4325-B365-A3E0A351FAFF}"/>
    <cellStyle name="Moeda 3 16 2 3 4 4 3 3" xfId="1756" xr:uid="{D6D3AADE-1C47-4B5C-B9AB-41E2F9E598EB}"/>
    <cellStyle name="Moeda 3 16 2 3 4 4 3 3 2" xfId="3525" xr:uid="{097E2ECC-335D-4351-8C70-79224771DD3B}"/>
    <cellStyle name="Moeda 3 16 2 3 4 4 3 4" xfId="2541" xr:uid="{DD6E6C2B-43E5-4D33-80B4-3F58AAFF1DC1}"/>
    <cellStyle name="Moeda 3 16 2 3 4 4 4" xfId="168" xr:uid="{AB7A8CAB-4B7B-4309-9607-BACBEE387C15}"/>
    <cellStyle name="Moeda 3 16 2 3 4 4 4 2" xfId="853" xr:uid="{F9E7F57A-D8AF-4481-976E-943A7BA1350B}"/>
    <cellStyle name="Moeda 3 16 2 3 4 4 4 2 2" xfId="1345" xr:uid="{2080D97B-AF1D-4D81-8FD2-9266A9C94EE0}"/>
    <cellStyle name="Moeda 3 16 2 3 4 4 4 2 2 2" xfId="3114" xr:uid="{C76BE9AA-1D40-45CB-993B-B81C8FE9FCBE}"/>
    <cellStyle name="Moeda 3 16 2 3 4 4 4 2 3" xfId="1837" xr:uid="{A7812DDA-27CD-45A5-8260-3BF7693EEC37}"/>
    <cellStyle name="Moeda 3 16 2 3 4 4 4 2 3 2" xfId="3606" xr:uid="{4DAC9976-3159-4827-8A68-0E3A5F0E814E}"/>
    <cellStyle name="Moeda 3 16 2 3 4 4 4 2 4" xfId="2622" xr:uid="{3203802A-A194-4418-83C1-E24E49EB4CB6}"/>
    <cellStyle name="Moeda 3 16 2 3 4 4 4 3" xfId="693" xr:uid="{227B0D55-493C-47ED-BC0D-1045B9333EAA}"/>
    <cellStyle name="Moeda 3 16 2 3 4 4 4 3 2" xfId="1185" xr:uid="{42E2C284-36F4-4C45-86A6-7918F1AF40DA}"/>
    <cellStyle name="Moeda 3 16 2 3 4 4 4 3 2 2" xfId="2954" xr:uid="{41F8CB78-C96B-45C0-9092-6FBD84A3A76B}"/>
    <cellStyle name="Moeda 3 16 2 3 4 4 4 3 3" xfId="1677" xr:uid="{99C5DEFD-100A-4647-8A2F-17765C6DD3F2}"/>
    <cellStyle name="Moeda 3 16 2 3 4 4 4 3 3 2" xfId="3446" xr:uid="{D4281541-5A5B-4E24-BD0B-1FFB54E29730}"/>
    <cellStyle name="Moeda 3 16 2 3 4 4 4 3 4" xfId="2462" xr:uid="{F11D3A57-5128-4DC5-B676-F7498B59E9B5}"/>
    <cellStyle name="Moeda 3 16 2 3 4 4 4 4" xfId="326" xr:uid="{88B884F4-6FB0-46E2-A8A3-B10E6243EE8F}"/>
    <cellStyle name="Moeda 3 16 2 3 4 4 4 4 2" xfId="2104" xr:uid="{61644638-3DD2-400F-AED6-AFDCEE3349A2}"/>
    <cellStyle name="Moeda 3 16 2 3 4 4 4 5" xfId="450" xr:uid="{8EC2C649-71E2-4763-A7B2-0BB3E7386953}"/>
    <cellStyle name="Moeda 3 16 2 3 4 4 4 5 2" xfId="2228" xr:uid="{27DFABE1-6CB3-4B84-8CA2-1079587F14BD}"/>
    <cellStyle name="Moeda 3 16 2 3 4 4 4 6" xfId="958" xr:uid="{6E3B8427-03AD-4D6A-948A-8347E6A711D0}"/>
    <cellStyle name="Moeda 3 16 2 3 4 4 4 6 2" xfId="2727" xr:uid="{42827152-5AE8-48AC-BAD1-2635F06FDE6F}"/>
    <cellStyle name="Moeda 3 16 2 3 4 4 4 7" xfId="1450" xr:uid="{DDE970F0-D837-4723-B6F9-C12B8CD56C73}"/>
    <cellStyle name="Moeda 3 16 2 3 4 4 4 7 2" xfId="3219" xr:uid="{445B718D-5DC0-41F0-B005-3DAD2E93A0C8}"/>
    <cellStyle name="Moeda 3 16 2 3 4 4 4 8" xfId="1998" xr:uid="{6C9D66EA-5E4E-4458-BF75-093AC0A3CA94}"/>
    <cellStyle name="Moeda 3 16 2 3 4 4 5" xfId="619" xr:uid="{B5AD3D35-8819-4BB6-B820-665F881076D8}"/>
    <cellStyle name="Moeda 3 16 2 3 4 4 5 2" xfId="1111" xr:uid="{750D5FE5-AC23-4134-85DA-1B4828364C45}"/>
    <cellStyle name="Moeda 3 16 2 3 4 4 5 2 2" xfId="2880" xr:uid="{FBFEC66D-53AC-4B6A-9F7E-8876FD36F7BB}"/>
    <cellStyle name="Moeda 3 16 2 3 4 4 5 3" xfId="1603" xr:uid="{80F21C0D-268D-4067-B319-150CFCA220A0}"/>
    <cellStyle name="Moeda 3 16 2 3 4 4 5 3 2" xfId="3372" xr:uid="{8CD7BB55-683C-43CF-9531-E958DCB22FC2}"/>
    <cellStyle name="Moeda 3 16 2 3 4 4 5 4" xfId="2388" xr:uid="{07BB87E1-2B5F-4A1B-B72A-81D98341543B}"/>
    <cellStyle name="Moeda 3 16 2 3 4 4 6" xfId="502" xr:uid="{FD4AB3C5-7B1C-4258-BDB0-3631C6206E0D}"/>
    <cellStyle name="Moeda 3 16 2 3 4 4 6 2" xfId="2271" xr:uid="{D3A063E8-40B8-45CD-B87F-58269B874596}"/>
    <cellStyle name="Moeda 3 16 2 3 4 4 7" xfId="374" xr:uid="{F27DC97D-A1D6-4AD1-8D55-DB2D6BEC7AB6}"/>
    <cellStyle name="Moeda 3 16 2 3 4 4 7 2" xfId="2152" xr:uid="{3397A94F-EB8E-4850-B1DA-233AF919CBBB}"/>
    <cellStyle name="Moeda 3 16 2 3 4 4 8" xfId="1012" xr:uid="{1C005DC4-38A4-4D9B-903C-0F07D8F611D8}"/>
    <cellStyle name="Moeda 3 16 2 3 4 4 8 2" xfId="2781" xr:uid="{6B6A0E3F-5A76-4011-AE6F-2BAC8C6F6740}"/>
    <cellStyle name="Moeda 3 16 2 3 4 4 9" xfId="1504" xr:uid="{53D1674B-DB39-47F7-9E29-F0E8D3A89298}"/>
    <cellStyle name="Moeda 3 16 2 3 4 4 9 2" xfId="3273" xr:uid="{18909007-F6D9-4B68-8241-CCDF561E4035}"/>
    <cellStyle name="Moeda 3 16 2 3 4 5" xfId="489" xr:uid="{DB30B9C2-DB55-41FB-9BD9-948F5A5B0F21}"/>
    <cellStyle name="Moeda 3 16 2 3 4 5 2" xfId="2258" xr:uid="{3A810396-0D73-4333-A312-5BF13A78550E}"/>
    <cellStyle name="Moeda 3 16 2 3 4 6" xfId="256" xr:uid="{56F1C7CC-70E9-4988-B9F1-487CC10B693A}"/>
    <cellStyle name="Moeda 3 16 2 3 4 6 2" xfId="2040" xr:uid="{D8A79244-36A3-4504-9A72-AB1414FE1055}"/>
    <cellStyle name="Moeda 3 16 2 3 4 7" xfId="904" xr:uid="{694E7331-D510-4AD6-8972-8A9C6FD8526F}"/>
    <cellStyle name="Moeda 3 16 2 3 4 7 2" xfId="2673" xr:uid="{22BEEF9C-AACC-469E-99FC-C6FB8B65F10C}"/>
    <cellStyle name="Moeda 3 16 2 3 4 8" xfId="1396" xr:uid="{310964B7-4058-4017-A476-E00540F1C7DE}"/>
    <cellStyle name="Moeda 3 16 2 3 4 8 2" xfId="3165" xr:uid="{B0CB5B72-D8B0-4530-9B16-820EA08F9E63}"/>
    <cellStyle name="Moeda 3 16 2 3 4 9" xfId="1899" xr:uid="{99D7A49E-34D0-4E56-851A-10B4FB6DE488}"/>
    <cellStyle name="Moeda 3 16 2 3 5" xfId="559" xr:uid="{AC35F65A-0C6D-4E41-A709-B588B96D5885}"/>
    <cellStyle name="Moeda 3 16 2 3 5 2" xfId="2328" xr:uid="{6B56D722-0813-4732-9685-CCF87974EE31}"/>
    <cellStyle name="Moeda 3 16 2 3 6" xfId="233" xr:uid="{AF713127-EFA3-4137-9CE6-E319964D48EA}"/>
    <cellStyle name="Moeda 3 16 2 3 6 2" xfId="2017" xr:uid="{2609D37F-D8FD-462F-B583-401DDFA1CEEB}"/>
    <cellStyle name="Moeda 3 16 2 3 7" xfId="881" xr:uid="{4327EC1D-A57E-4ECC-96E5-A0F1E745AD1F}"/>
    <cellStyle name="Moeda 3 16 2 3 7 2" xfId="2650" xr:uid="{DE15BE52-2168-46CD-9911-F05A87EE5FC8}"/>
    <cellStyle name="Moeda 3 16 2 3 8" xfId="1373" xr:uid="{F82EDE05-E918-410C-B2BE-547C649A554E}"/>
    <cellStyle name="Moeda 3 16 2 3 8 2" xfId="3142" xr:uid="{92C75BA4-0FA8-4ED2-9836-B50F95B650EB}"/>
    <cellStyle name="Moeda 3 16 2 3 9" xfId="1876" xr:uid="{D396411B-FC7C-403E-BF1D-D1F609F9A767}"/>
    <cellStyle name="Moeda 3 16 2 4" xfId="1065" xr:uid="{43C5C5CC-FEA4-44A1-9E40-171AF93700CC}"/>
    <cellStyle name="Moeda 3 16 2 4 2" xfId="2834" xr:uid="{2F4694C9-BC6A-4D47-9695-EAF480149686}"/>
    <cellStyle name="Moeda 3 16 2 5" xfId="1557" xr:uid="{75DA7775-8AD0-4BD7-B059-8FAD686BCBF1}"/>
    <cellStyle name="Moeda 3 16 2 5 2" xfId="3326" xr:uid="{BDA55654-1D4E-46BE-9362-F5168E857BEB}"/>
    <cellStyle name="Moeda 3 16 2 6" xfId="2337" xr:uid="{FFFE1C16-69A6-4DA8-AA5D-DC3E69F7B754}"/>
    <cellStyle name="Moeda 3 16 3" xfId="66" xr:uid="{041FB8E1-C170-4B94-B047-7A620268207E}"/>
    <cellStyle name="Moeda 3 16 3 15" xfId="163" xr:uid="{9B827755-E38D-403A-9CE0-94439E70AAAC}"/>
    <cellStyle name="Moeda 3 16 3 15 2" xfId="849" xr:uid="{85B0BFE8-5943-4C82-8B0F-312FB99364A4}"/>
    <cellStyle name="Moeda 3 16 3 15 2 2" xfId="1341" xr:uid="{5F7EF66F-8CFB-4553-9175-3297DC911C87}"/>
    <cellStyle name="Moeda 3 16 3 15 2 2 2" xfId="3110" xr:uid="{73F6D590-6F57-478E-BAA7-430BCAEE834B}"/>
    <cellStyle name="Moeda 3 16 3 15 2 3" xfId="1833" xr:uid="{1A1E5440-D6EB-42D0-BDB9-5715F0F2CB25}"/>
    <cellStyle name="Moeda 3 16 3 15 2 3 2" xfId="3602" xr:uid="{48ECBC07-C545-4F5D-88AB-A2443376D2DA}"/>
    <cellStyle name="Moeda 3 16 3 15 2 4" xfId="2618" xr:uid="{B55C322E-DD7E-4F1C-8E13-914CB6A2D4DA}"/>
    <cellStyle name="Moeda 3 16 3 15 3" xfId="688" xr:uid="{B46A4A09-A6D1-4A77-A6DC-502182C216C7}"/>
    <cellStyle name="Moeda 3 16 3 15 3 2" xfId="1180" xr:uid="{47A438C0-958D-473F-9D39-E85066F6BF72}"/>
    <cellStyle name="Moeda 3 16 3 15 3 2 2" xfId="2949" xr:uid="{6DBF251C-90D1-4146-8335-4F5025324238}"/>
    <cellStyle name="Moeda 3 16 3 15 3 3" xfId="1672" xr:uid="{15E7E555-8C30-476F-8445-91FA0F8CB397}"/>
    <cellStyle name="Moeda 3 16 3 15 3 3 2" xfId="3441" xr:uid="{8FBE6E66-2320-43C9-AAAF-BEA614F16D98}"/>
    <cellStyle name="Moeda 3 16 3 15 3 4" xfId="2457" xr:uid="{5FB29F8F-DEC9-4F3C-9F6F-16E4075828E0}"/>
    <cellStyle name="Moeda 3 16 3 15 4" xfId="599" xr:uid="{90791431-4E13-410C-B5A3-615D219D5CF7}"/>
    <cellStyle name="Moeda 3 16 3 15 4 2" xfId="2368" xr:uid="{82B2406B-A517-48CB-A367-15D72F715778}"/>
    <cellStyle name="Moeda 3 16 3 15 5" xfId="446" xr:uid="{64085145-A71B-419F-BB8F-87592CC6A6ED}"/>
    <cellStyle name="Moeda 3 16 3 15 5 2" xfId="2224" xr:uid="{DC6BDD4C-A58F-4C20-8452-01582C3C18C3}"/>
    <cellStyle name="Moeda 3 16 3 15 6" xfId="1091" xr:uid="{332F21EC-3A6C-49A6-8824-B7F50D243DA7}"/>
    <cellStyle name="Moeda 3 16 3 15 6 2" xfId="2860" xr:uid="{26EC121B-F2C1-4FBF-98DB-9636BED9E59F}"/>
    <cellStyle name="Moeda 3 16 3 15 7" xfId="1583" xr:uid="{9E605412-0A9B-4920-AC16-40AA8B29B22E}"/>
    <cellStyle name="Moeda 3 16 3 15 7 2" xfId="3352" xr:uid="{8DD86A39-66F2-41CE-A2C4-B8AE2983220C}"/>
    <cellStyle name="Moeda 3 16 3 15 8" xfId="1993" xr:uid="{A326D1DC-D3F4-4462-8996-7E5F26441DD1}"/>
    <cellStyle name="Moeda 3 16 3 2" xfId="752" xr:uid="{AFB8A483-9EE7-41CC-AA94-AB77ED6DBE6F}"/>
    <cellStyle name="Moeda 3 16 3 2 2" xfId="1244" xr:uid="{7BFA8F38-19AC-4B64-B360-937384673172}"/>
    <cellStyle name="Moeda 3 16 3 2 2 2" xfId="3013" xr:uid="{31135924-D8B4-4023-AF55-D4D09A662305}"/>
    <cellStyle name="Moeda 3 16 3 2 3" xfId="1736" xr:uid="{327EDB29-98C3-46CD-B914-BC78C7D76F14}"/>
    <cellStyle name="Moeda 3 16 3 2 3 2" xfId="3505" xr:uid="{A8A852E6-15DD-4F50-9913-B4E791B13059}"/>
    <cellStyle name="Moeda 3 16 3 2 4" xfId="2521" xr:uid="{7761DC89-D2DE-4745-88A4-87EB4698B4B0}"/>
    <cellStyle name="Moeda 3 16 3 3" xfId="283" xr:uid="{408636C1-7759-4451-ADB8-DF9BB7B0A440}"/>
    <cellStyle name="Moeda 3 16 3 3 2" xfId="929" xr:uid="{821520AE-429D-44E1-ABAC-B151F1A0A2AB}"/>
    <cellStyle name="Moeda 3 16 3 3 2 2" xfId="2698" xr:uid="{0D9F0FEC-EC74-4BCB-8F75-5BCA455733F2}"/>
    <cellStyle name="Moeda 3 16 3 3 3" xfId="1421" xr:uid="{42AA19CF-7B3B-40D5-81BA-6519A073BA6D}"/>
    <cellStyle name="Moeda 3 16 3 3 3 2" xfId="3190" xr:uid="{91B73D55-B06E-41E3-959C-E68506DC3069}"/>
    <cellStyle name="Moeda 3 16 3 3 4" xfId="2067" xr:uid="{0F90A03B-056F-40A7-B3F8-1F00207C7B1F}"/>
    <cellStyle name="Moeda 3 16 3 4" xfId="308" xr:uid="{CE835D39-0B26-4A48-889E-3D0EB6D78254}"/>
    <cellStyle name="Moeda 3 16 3 4 2" xfId="2086" xr:uid="{FC832F8F-C5F3-4699-BA79-FA95C16389BF}"/>
    <cellStyle name="Moeda 3 16 3 5" xfId="356" xr:uid="{85E0FBC4-C667-4DD6-A983-166D11265092}"/>
    <cellStyle name="Moeda 3 16 3 5 2" xfId="2134" xr:uid="{C199EFC6-48EE-4024-AEC6-3B5FEBBF99D8}"/>
    <cellStyle name="Moeda 3 16 3 6" xfId="944" xr:uid="{79B4FA8E-E561-4AE7-A570-603975AF699C}"/>
    <cellStyle name="Moeda 3 16 3 6 2" xfId="2713" xr:uid="{39B1985A-CD33-4D75-BF3A-055125638E31}"/>
    <cellStyle name="Moeda 3 16 3 7" xfId="1436" xr:uid="{ABB7E0B3-4BFF-405A-8BD0-12C26D280D85}"/>
    <cellStyle name="Moeda 3 16 3 7 2" xfId="3205" xr:uid="{68ACF853-58C0-46A5-8372-AF42F4790191}"/>
    <cellStyle name="Moeda 3 16 3 8" xfId="1905" xr:uid="{26EDD935-5FEA-4693-BE4A-7565C77479E2}"/>
    <cellStyle name="Moeda 3 16 3 9" xfId="166" xr:uid="{8ECA397B-58A8-478C-ABEB-519BBD2BB25F}"/>
    <cellStyle name="Moeda 3 16 3 9 2" xfId="171" xr:uid="{945EF5E8-6F93-4E84-9F46-464BCC0723B0}"/>
    <cellStyle name="Moeda 3 16 3 9 2 2" xfId="856" xr:uid="{E9DF67C6-0D77-43C9-B7E2-7497D3D610D4}"/>
    <cellStyle name="Moeda 3 16 3 9 2 2 2" xfId="1348" xr:uid="{489BCECE-47C5-4A64-A9C8-0CAA54E607E3}"/>
    <cellStyle name="Moeda 3 16 3 9 2 2 2 2" xfId="3117" xr:uid="{32299111-736E-48D7-9F9E-9926C5E41C81}"/>
    <cellStyle name="Moeda 3 16 3 9 2 2 3" xfId="1840" xr:uid="{690F3616-3000-404F-880D-045E6913A900}"/>
    <cellStyle name="Moeda 3 16 3 9 2 2 3 2" xfId="3609" xr:uid="{2DFDC123-388E-4C7B-A833-61E55C5E1244}"/>
    <cellStyle name="Moeda 3 16 3 9 2 2 4" xfId="2625" xr:uid="{D2CA152E-419E-4237-AFCF-1C3CA4364060}"/>
    <cellStyle name="Moeda 3 16 3 9 2 3" xfId="696" xr:uid="{F0072FCE-D2C8-4776-8920-653C16D4D035}"/>
    <cellStyle name="Moeda 3 16 3 9 2 3 2" xfId="1188" xr:uid="{B097079A-30EC-45AE-998E-F60E92211A0D}"/>
    <cellStyle name="Moeda 3 16 3 9 2 3 2 2" xfId="2957" xr:uid="{35ED9D7F-B59A-4841-81F6-1F14BD981474}"/>
    <cellStyle name="Moeda 3 16 3 9 2 3 3" xfId="1680" xr:uid="{00BE5AF1-8D5E-4537-BD7E-975B49D4D67B}"/>
    <cellStyle name="Moeda 3 16 3 9 2 3 3 2" xfId="3449" xr:uid="{F6765EE3-8D7E-4A2B-B419-BE8EC819CF6B}"/>
    <cellStyle name="Moeda 3 16 3 9 2 3 4" xfId="2465" xr:uid="{CA4E1FA9-1B6E-483D-9B2C-CE49A45145A8}"/>
    <cellStyle name="Moeda 3 16 3 9 2 4" xfId="474" xr:uid="{C66DCF43-CDE2-4CA3-9EAE-83D472DFABD8}"/>
    <cellStyle name="Moeda 3 16 3 9 2 4 2" xfId="2243" xr:uid="{70CC2EBC-9780-4089-BD0E-9948EED2BD08}"/>
    <cellStyle name="Moeda 3 16 3 9 2 5" xfId="453" xr:uid="{DE46BCD8-E338-46E2-90C4-262229DD34AD}"/>
    <cellStyle name="Moeda 3 16 3 9 2 5 2" xfId="2231" xr:uid="{D6E969FD-3C50-4541-83E0-879010C3E496}"/>
    <cellStyle name="Moeda 3 16 3 9 2 6" xfId="990" xr:uid="{37E4A480-40F5-47CF-B42D-0FACEB115300}"/>
    <cellStyle name="Moeda 3 16 3 9 2 6 2" xfId="2759" xr:uid="{42D02C81-D3F5-4BDA-B7E1-CCF325C0D2A0}"/>
    <cellStyle name="Moeda 3 16 3 9 2 7" xfId="1482" xr:uid="{06547ED1-76BA-4AE7-A0BF-75734E4BA967}"/>
    <cellStyle name="Moeda 3 16 3 9 2 7 2" xfId="3251" xr:uid="{5BE03F81-8CC6-4870-A688-49BAE5FA8CC7}"/>
    <cellStyle name="Moeda 3 16 3 9 2 8" xfId="2001" xr:uid="{1C8A61CA-0F01-4903-96DB-55EE4A5AAF0F}"/>
    <cellStyle name="Moeda 3 16 3 9 3" xfId="827" xr:uid="{34ACE8E1-639B-4BE6-BE3C-2EF61B7ACFE8}"/>
    <cellStyle name="Moeda 3 16 3 9 3 2" xfId="1319" xr:uid="{44F1FB69-3EBF-494A-8DE4-07DE162D73C8}"/>
    <cellStyle name="Moeda 3 16 3 9 3 2 2" xfId="3088" xr:uid="{110141AA-FD8A-4D0D-AD5A-5D2EF9CD148E}"/>
    <cellStyle name="Moeda 3 16 3 9 3 3" xfId="1811" xr:uid="{4A9148CB-2313-498D-A227-CA53CA769F74}"/>
    <cellStyle name="Moeda 3 16 3 9 3 3 2" xfId="3580" xr:uid="{047D0CBF-352B-4722-A17D-07CDDBBB3BF2}"/>
    <cellStyle name="Moeda 3 16 3 9 3 4" xfId="2596" xr:uid="{0DF192B8-D1E8-4242-8604-65EF55A4FD41}"/>
    <cellStyle name="Moeda 3 16 3 9 4" xfId="691" xr:uid="{3A5B8D9B-E46D-47C2-84F7-4C6047761213}"/>
    <cellStyle name="Moeda 3 16 3 9 4 2" xfId="1183" xr:uid="{6C8B9695-D5B0-43CC-8D51-89A1340403B1}"/>
    <cellStyle name="Moeda 3 16 3 9 4 2 2" xfId="2952" xr:uid="{32885071-6762-441D-AE24-632264FFC243}"/>
    <cellStyle name="Moeda 3 16 3 9 4 3" xfId="1675" xr:uid="{DEEE1776-0140-4862-AE82-D0F32AEAADD0}"/>
    <cellStyle name="Moeda 3 16 3 9 4 3 2" xfId="3444" xr:uid="{7AABFE95-9E53-42C5-B3A6-C9939DD1B535}"/>
    <cellStyle name="Moeda 3 16 3 9 4 4" xfId="2460" xr:uid="{96F8A2D8-8EC9-4E88-B7BC-D9547D3C378C}"/>
    <cellStyle name="Moeda 3 16 3 9 5" xfId="294" xr:uid="{D12D5A2D-1377-46DA-8F68-AEB61584C7DC}"/>
    <cellStyle name="Moeda 3 16 3 9 5 2" xfId="2073" xr:uid="{01B0B113-5D91-4E80-9EEE-0754148EEFF5}"/>
    <cellStyle name="Moeda 3 16 3 9 6" xfId="428" xr:uid="{67E4A253-27ED-4960-8B7A-70414485E105}"/>
    <cellStyle name="Moeda 3 16 3 9 6 2" xfId="2206" xr:uid="{3BC99A90-02A7-479F-9EAD-D414C748B4DE}"/>
    <cellStyle name="Moeda 3 16 3 9 7" xfId="935" xr:uid="{7F9FE93C-48AD-4B31-AF10-DC1DACDFA484}"/>
    <cellStyle name="Moeda 3 16 3 9 7 2" xfId="2704" xr:uid="{BE0109DF-0B65-40E0-A0A3-E851F8B1BBD5}"/>
    <cellStyle name="Moeda 3 16 3 9 8" xfId="1427" xr:uid="{3216675E-2FF7-4AAE-8154-DA9F5F59BB37}"/>
    <cellStyle name="Moeda 3 16 3 9 8 2" xfId="3196" xr:uid="{75A07005-4908-4059-87C7-2A64BED85B32}"/>
    <cellStyle name="Moeda 3 16 3 9 9" xfId="1996" xr:uid="{0F30C8FF-D352-4761-899B-2CFBD12923AE}"/>
    <cellStyle name="Moeda 3 16 4" xfId="707" xr:uid="{9DAA2592-C936-4D6D-A783-D0612C4F272D}"/>
    <cellStyle name="Moeda 3 16 4 2" xfId="1199" xr:uid="{43A5F1B5-0072-401E-BA76-979D37E335DD}"/>
    <cellStyle name="Moeda 3 16 4 2 2" xfId="2968" xr:uid="{4654354E-EFC4-4547-AA59-6513C0C0DECB}"/>
    <cellStyle name="Moeda 3 16 4 3" xfId="1691" xr:uid="{1CD8C2FE-5A45-4658-9F48-4529825A8095}"/>
    <cellStyle name="Moeda 3 16 4 3 2" xfId="3460" xr:uid="{E5BCE4D6-AE14-4C12-A960-684D61FBCB93}"/>
    <cellStyle name="Moeda 3 16 4 4" xfId="2476" xr:uid="{81A3614E-4650-4FBE-A560-2F638541C977}"/>
    <cellStyle name="Moeda 3 16 5" xfId="978" xr:uid="{2F609F16-8054-48EA-9795-7CCF98F05186}"/>
    <cellStyle name="Moeda 3 16 5 2" xfId="2747" xr:uid="{38B5C4D8-EB35-4A79-9203-1498C3029D45}"/>
    <cellStyle name="Moeda 3 16 6" xfId="1470" xr:uid="{99E60E9A-285C-474A-A9CF-CF6C718BE8D8}"/>
    <cellStyle name="Moeda 3 16 6 2" xfId="3239" xr:uid="{EF84A006-AA03-4C9D-8A6E-A734EBEF8FBE}"/>
    <cellStyle name="Moeda 3 16 7" xfId="2125" xr:uid="{6C13FB9C-41AA-4805-99B0-6BEC3CFD01AC}"/>
    <cellStyle name="Moeda 3 19" xfId="20" xr:uid="{DF62A664-190D-415E-B162-E08B38E750D7}"/>
    <cellStyle name="Moeda 3 19 2" xfId="532" xr:uid="{4B58D4E3-8BB6-49AC-B03E-59AE32C4A582}"/>
    <cellStyle name="Moeda 3 19 2 2" xfId="27" xr:uid="{338A6755-ABA3-41C2-A7A6-9A04A2AAF750}"/>
    <cellStyle name="Moeda 3 19 2 2 2" xfId="719" xr:uid="{6EC0F4ED-7579-412F-A9E0-B6A2842235BC}"/>
    <cellStyle name="Moeda 3 19 2 2 2 2" xfId="1211" xr:uid="{361A6FB7-54DA-4156-B8CE-0700531DA28B}"/>
    <cellStyle name="Moeda 3 19 2 2 2 2 2" xfId="2980" xr:uid="{E0157044-80EC-4F72-8137-59A0162F2593}"/>
    <cellStyle name="Moeda 3 19 2 2 2 3" xfId="1703" xr:uid="{0352036D-F0D2-42CA-ABB5-D3FF380B2AFB}"/>
    <cellStyle name="Moeda 3 19 2 2 2 3 2" xfId="3472" xr:uid="{AAF31783-9A39-4FBD-BBC8-DEE9551EDE2C}"/>
    <cellStyle name="Moeda 3 19 2 2 2 4" xfId="2488" xr:uid="{24486474-E7E2-4131-83BC-922A39A6A53B}"/>
    <cellStyle name="Moeda 3 19 2 2 3" xfId="43" xr:uid="{3212D5C8-D96C-4B6B-9156-36938E1DCAAF}"/>
    <cellStyle name="Moeda 3 19 2 2 3 2" xfId="731" xr:uid="{CE9D5CCB-4BB5-4FBD-866D-0C1C69994407}"/>
    <cellStyle name="Moeda 3 19 2 2 3 2 2" xfId="1223" xr:uid="{B65721C7-3DF4-42D8-A052-0BAE7D7BC253}"/>
    <cellStyle name="Moeda 3 19 2 2 3 2 2 2" xfId="2992" xr:uid="{1B85D382-B279-41BC-B496-C50C58E1FF47}"/>
    <cellStyle name="Moeda 3 19 2 2 3 2 3" xfId="1715" xr:uid="{4154D16E-233C-4628-9236-377A07E6EE9B}"/>
    <cellStyle name="Moeda 3 19 2 2 3 2 3 2" xfId="3484" xr:uid="{9F28F4D5-CF25-4EA6-BD7E-292E3F58437B}"/>
    <cellStyle name="Moeda 3 19 2 2 3 2 4" xfId="2500" xr:uid="{95C9572C-E5C4-4F23-B2D3-A8999A1CDA3D}"/>
    <cellStyle name="Moeda 3 19 2 2 3 3" xfId="273" xr:uid="{127FED9A-FE6E-4D6B-9B76-F898D16C7330}"/>
    <cellStyle name="Moeda 3 19 2 2 3 3 2" xfId="920" xr:uid="{3054BE86-CEBE-4BEB-A259-C64546E25A06}"/>
    <cellStyle name="Moeda 3 19 2 2 3 3 2 2" xfId="2689" xr:uid="{77B2EEDA-03D3-44BA-B85D-58A9A8BE5C51}"/>
    <cellStyle name="Moeda 3 19 2 2 3 3 3" xfId="1412" xr:uid="{FE9846AD-2BBD-4CD8-9221-725A4021A7A3}"/>
    <cellStyle name="Moeda 3 19 2 2 3 3 3 2" xfId="3181" xr:uid="{833C6B73-3762-4E05-9912-A6C84D3ADE50}"/>
    <cellStyle name="Moeda 3 19 2 2 3 3 4" xfId="2057" xr:uid="{2A29B424-24AD-4FD5-B024-6A7B9565EEFF}"/>
    <cellStyle name="Moeda 3 19 2 2 3 4" xfId="306" xr:uid="{8F1E05D4-CF1C-4316-80DD-D5765625AA0B}"/>
    <cellStyle name="Moeda 3 19 2 2 3 4 2" xfId="2084" xr:uid="{D808759E-5836-4625-95B2-E2DA68A9CC1E}"/>
    <cellStyle name="Moeda 3 19 2 2 3 5" xfId="241" xr:uid="{B10B6750-8862-4922-9C6B-9B7B7F94ED02}"/>
    <cellStyle name="Moeda 3 19 2 2 3 5 2" xfId="2025" xr:uid="{EB06147F-868D-4D61-A673-AAE6C232F809}"/>
    <cellStyle name="Moeda 3 19 2 2 3 6" xfId="889" xr:uid="{F1B82113-62CC-4A0C-8766-B24AAEC254BC}"/>
    <cellStyle name="Moeda 3 19 2 2 3 6 2" xfId="2658" xr:uid="{00D8155B-07D3-49D9-BD2B-3ECD401E97C3}"/>
    <cellStyle name="Moeda 3 19 2 2 3 7" xfId="1381" xr:uid="{13C5B951-A799-4C2A-A52B-8702D9B0E671}"/>
    <cellStyle name="Moeda 3 19 2 2 3 7 2" xfId="3150" xr:uid="{28F6BF31-6536-47AB-BA87-90E8ACD85EE2}"/>
    <cellStyle name="Moeda 3 19 2 2 3 8" xfId="83" xr:uid="{B68FE2F5-7D2F-436F-B6A3-E325C4EDAB9F}"/>
    <cellStyle name="Moeda 3 19 2 2 3 8 10" xfId="1918" xr:uid="{FEFAE7B6-6637-436E-BB0E-5E97A2F7C87D}"/>
    <cellStyle name="Moeda 3 19 2 2 3 8 2" xfId="112" xr:uid="{538AA0A6-EFDE-4BFE-8997-F2C202FD50E4}"/>
    <cellStyle name="Moeda 3 19 2 2 3 8 2 2" xfId="790" xr:uid="{F294E94D-E433-4FB8-BE12-1CFD43A6F3F1}"/>
    <cellStyle name="Moeda 3 19 2 2 3 8 2 2 2" xfId="1282" xr:uid="{C4BBF19D-9726-464F-B1C0-13191D181DA4}"/>
    <cellStyle name="Moeda 3 19 2 2 3 8 2 2 2 2" xfId="3051" xr:uid="{880DD9FF-AAB1-472A-A577-9A54540CBB2E}"/>
    <cellStyle name="Moeda 3 19 2 2 3 8 2 2 3" xfId="1774" xr:uid="{64A68AAA-92BF-46B6-8596-B52948585A6C}"/>
    <cellStyle name="Moeda 3 19 2 2 3 8 2 2 3 2" xfId="3543" xr:uid="{5D5AFCFD-6C99-4AB2-B805-5A8EA4BA67BD}"/>
    <cellStyle name="Moeda 3 19 2 2 3 8 2 2 4" xfId="2559" xr:uid="{5B88EC8B-4D1C-4675-9F79-6A9929B83071}"/>
    <cellStyle name="Moeda 3 19 2 2 3 8 2 3" xfId="639" xr:uid="{2D14ACFF-33BE-451A-80F7-D0DE84387FFD}"/>
    <cellStyle name="Moeda 3 19 2 2 3 8 2 3 2" xfId="1131" xr:uid="{8DD16B12-6AC5-408A-B0C7-F6ED1CA30F5D}"/>
    <cellStyle name="Moeda 3 19 2 2 3 8 2 3 2 2" xfId="2900" xr:uid="{230F8906-0213-451E-9E67-DDE4CB49A659}"/>
    <cellStyle name="Moeda 3 19 2 2 3 8 2 3 3" xfId="1623" xr:uid="{831D0B17-F89C-4803-8F65-431AD343F8D8}"/>
    <cellStyle name="Moeda 3 19 2 2 3 8 2 3 3 2" xfId="3392" xr:uid="{21487B22-04B5-4530-9073-5DB61D26441C}"/>
    <cellStyle name="Moeda 3 19 2 2 3 8 2 3 4" xfId="2408" xr:uid="{9D168B08-D668-4C41-BB93-273EFE204F04}"/>
    <cellStyle name="Moeda 3 19 2 2 3 8 2 4" xfId="528" xr:uid="{BF0842EC-8746-4CEF-BDBC-C197C7544FB5}"/>
    <cellStyle name="Moeda 3 19 2 2 3 8 2 4 2" xfId="2297" xr:uid="{181746C9-199D-415A-AD8F-8AE89E601605}"/>
    <cellStyle name="Moeda 3 19 2 2 3 8 2 5" xfId="392" xr:uid="{FB4017F5-B34B-4C3E-9382-81D46E7292B7}"/>
    <cellStyle name="Moeda 3 19 2 2 3 8 2 5 2" xfId="2170" xr:uid="{5CB734EE-58FB-4F71-AC0D-9BA09AD526AD}"/>
    <cellStyle name="Moeda 3 19 2 2 3 8 2 6" xfId="1032" xr:uid="{E1D03788-7C9B-4F05-90D1-8449DA892614}"/>
    <cellStyle name="Moeda 3 19 2 2 3 8 2 6 2" xfId="2801" xr:uid="{32E51D4E-5383-40E6-9EC9-DA007666D840}"/>
    <cellStyle name="Moeda 3 19 2 2 3 8 2 7" xfId="1524" xr:uid="{B0F377AB-F61C-450A-B954-B32097C83590}"/>
    <cellStyle name="Moeda 3 19 2 2 3 8 2 7 2" xfId="3293" xr:uid="{7C904AB9-54A0-41F2-B0C4-BAD0E16CA23F}"/>
    <cellStyle name="Moeda 3 19 2 2 3 8 2 8" xfId="1944" xr:uid="{67F4B62C-BDAD-4AFB-BFAB-59F0CAB83445}"/>
    <cellStyle name="Moeda 3 19 2 2 3 8 3" xfId="124" xr:uid="{2C6BCD99-D09F-47C0-A100-CCF14BB04FB5}"/>
    <cellStyle name="Moeda 3 19 2 2 3 8 3 2" xfId="807" xr:uid="{2E2822B9-83EA-4466-A0E5-A639CD3BCBE8}"/>
    <cellStyle name="Moeda 3 19 2 2 3 8 3 2 2" xfId="1299" xr:uid="{0E36AFB4-A79D-4EC9-B69F-4E47F5C0D287}"/>
    <cellStyle name="Moeda 3 19 2 2 3 8 3 2 2 2" xfId="3068" xr:uid="{5A078CC8-6713-48BA-899D-64F20D3C5A1F}"/>
    <cellStyle name="Moeda 3 19 2 2 3 8 3 2 3" xfId="1791" xr:uid="{B9CCA410-8076-4920-A352-73F1215DB72D}"/>
    <cellStyle name="Moeda 3 19 2 2 3 8 3 2 3 2" xfId="3560" xr:uid="{0C5C2176-E837-4428-B63A-5AE84118A48F}"/>
    <cellStyle name="Moeda 3 19 2 2 3 8 3 2 4" xfId="2576" xr:uid="{1EACF950-11C5-4187-AD43-1BA8636DC9AF}"/>
    <cellStyle name="Moeda 3 19 2 2 3 8 3 3" xfId="649" xr:uid="{FBEB967E-6538-4637-B3B4-82D55202880B}"/>
    <cellStyle name="Moeda 3 19 2 2 3 8 3 3 2" xfId="1141" xr:uid="{2A4C50DA-2202-4175-B2D6-1813C1182B2A}"/>
    <cellStyle name="Moeda 3 19 2 2 3 8 3 3 2 2" xfId="2910" xr:uid="{B9A3F0CD-F489-45E4-AC8D-BB4F9F2931E9}"/>
    <cellStyle name="Moeda 3 19 2 2 3 8 3 3 3" xfId="1633" xr:uid="{265D22F6-E469-4EEB-8D1D-964418C9A49D}"/>
    <cellStyle name="Moeda 3 19 2 2 3 8 3 3 3 2" xfId="3402" xr:uid="{90C7463D-BA59-4E7F-A06D-F55AAC2F5797}"/>
    <cellStyle name="Moeda 3 19 2 2 3 8 3 3 4" xfId="2418" xr:uid="{4DA5EDBD-0364-4F3C-8E0B-F7843C72F2EE}"/>
    <cellStyle name="Moeda 3 19 2 2 3 8 3 4" xfId="150" xr:uid="{A57805B8-8E5F-4079-81F7-28405DC44CAD}"/>
    <cellStyle name="Moeda 3 19 2 2 3 8 3 4 2" xfId="833" xr:uid="{3DD75619-D595-4023-A655-DEFA401BD6C7}"/>
    <cellStyle name="Moeda 3 19 2 2 3 8 3 4 2 2" xfId="1325" xr:uid="{8E401F18-0002-422C-9D41-A0BA75621997}"/>
    <cellStyle name="Moeda 3 19 2 2 3 8 3 4 2 2 2" xfId="3094" xr:uid="{842DB2B4-A4B9-4351-AA68-4792C763EBBC}"/>
    <cellStyle name="Moeda 3 19 2 2 3 8 3 4 2 3" xfId="1817" xr:uid="{8221AC5B-3EF4-4DAA-BB8E-F7641BCB900D}"/>
    <cellStyle name="Moeda 3 19 2 2 3 8 3 4 2 3 2" xfId="3586" xr:uid="{F09235B3-AFC7-49EF-A687-DB9FFE85B0AD}"/>
    <cellStyle name="Moeda 3 19 2 2 3 8 3 4 2 4" xfId="2602" xr:uid="{07AED010-BEE2-40B4-84B1-1091068D3847}"/>
    <cellStyle name="Moeda 3 19 2 2 3 8 3 4 3" xfId="675" xr:uid="{DADFA324-ECCB-44E8-A681-0C4A3ACC5B44}"/>
    <cellStyle name="Moeda 3 19 2 2 3 8 3 4 3 2" xfId="1167" xr:uid="{A63A5028-1DD1-4AD9-BFC7-334F750242D8}"/>
    <cellStyle name="Moeda 3 19 2 2 3 8 3 4 3 2 2" xfId="2936" xr:uid="{AC1CA5D1-CB7D-4550-BCBE-1D8A3E318AF7}"/>
    <cellStyle name="Moeda 3 19 2 2 3 8 3 4 3 3" xfId="1659" xr:uid="{2FFCC740-0B37-48BF-8EB0-D93B2F1B787E}"/>
    <cellStyle name="Moeda 3 19 2 2 3 8 3 4 3 3 2" xfId="3428" xr:uid="{B6010315-4496-4229-B3FF-2FED084A3C55}"/>
    <cellStyle name="Moeda 3 19 2 2 3 8 3 4 3 4" xfId="2444" xr:uid="{99A025C2-6574-4F4F-B0E9-429D9CFBAE66}"/>
    <cellStyle name="Moeda 3 19 2 2 3 8 3 4 4" xfId="597" xr:uid="{3CDD0C8B-74C4-4042-8252-AFDB7D07A8EA}"/>
    <cellStyle name="Moeda 3 19 2 2 3 8 3 4 4 2" xfId="2366" xr:uid="{A1D8595C-237D-4EE3-BB72-3265E39A989C}"/>
    <cellStyle name="Moeda 3 19 2 2 3 8 3 4 5" xfId="434" xr:uid="{61A596D9-117E-4F3F-9480-8BA195EBC8C9}"/>
    <cellStyle name="Moeda 3 19 2 2 3 8 3 4 5 2" xfId="2212" xr:uid="{8EB35373-7756-4D61-AD94-6DA9CE97A905}"/>
    <cellStyle name="Moeda 3 19 2 2 3 8 3 4 6" xfId="1089" xr:uid="{1A8071ED-491D-4D08-BCC4-BA0B8C610F7E}"/>
    <cellStyle name="Moeda 3 19 2 2 3 8 3 4 6 2" xfId="2858" xr:uid="{1F0C9035-F9F4-4921-82F8-FE2A0D74EAFC}"/>
    <cellStyle name="Moeda 3 19 2 2 3 8 3 4 7" xfId="1581" xr:uid="{4CD8748E-F009-4DA7-BBC3-CBD9ED0BFD74}"/>
    <cellStyle name="Moeda 3 19 2 2 3 8 3 4 7 2" xfId="3350" xr:uid="{A8DADEC6-BB11-4D0A-8BF9-A5ACA137C879}"/>
    <cellStyle name="Moeda 3 19 2 2 3 8 3 4 8" xfId="1980" xr:uid="{A3A150EE-6BB1-4D35-93A3-ED4C78765BBE}"/>
    <cellStyle name="Moeda 3 19 2 2 3 8 3 5" xfId="281" xr:uid="{F543CB3A-7F8C-4944-90E6-30D2BB0DFD50}"/>
    <cellStyle name="Moeda 3 19 2 2 3 8 3 5 2" xfId="2065" xr:uid="{AF4A0CD7-E392-4452-8A59-EAE27A5B99AE}"/>
    <cellStyle name="Moeda 3 19 2 2 3 8 3 6" xfId="409" xr:uid="{C5B99394-C871-423D-845A-58951C22D838}"/>
    <cellStyle name="Moeda 3 19 2 2 3 8 3 6 2" xfId="2187" xr:uid="{5713BE13-26B5-4B0A-9A88-5381BB797D6C}"/>
    <cellStyle name="Moeda 3 19 2 2 3 8 3 7" xfId="927" xr:uid="{DDADEDD8-A8F7-4AA3-B586-13E7592702D7}"/>
    <cellStyle name="Moeda 3 19 2 2 3 8 3 7 2" xfId="2696" xr:uid="{008D85BC-EEE7-42A3-AEC7-CB7A5F89FBC1}"/>
    <cellStyle name="Moeda 3 19 2 2 3 8 3 8" xfId="1419" xr:uid="{60C26C60-0002-4818-A020-B5B6045B8EC5}"/>
    <cellStyle name="Moeda 3 19 2 2 3 8 3 8 2" xfId="3188" xr:uid="{FCF1D636-8490-4288-84F9-CD586C283911}"/>
    <cellStyle name="Moeda 3 19 2 2 3 8 3 9" xfId="1954" xr:uid="{F58D8938-4046-4C3A-8878-7270321AB993}"/>
    <cellStyle name="Moeda 3 19 2 2 3 8 4" xfId="767" xr:uid="{2CECF14B-F79E-4DB5-AA53-F8E1EE28C6AF}"/>
    <cellStyle name="Moeda 3 19 2 2 3 8 4 2" xfId="1259" xr:uid="{77BA5EFD-F356-4621-97EE-D0C68F717A4E}"/>
    <cellStyle name="Moeda 3 19 2 2 3 8 4 2 2" xfId="3028" xr:uid="{8907D0D3-728C-45E8-B35A-46DE1C60CC16}"/>
    <cellStyle name="Moeda 3 19 2 2 3 8 4 3" xfId="1751" xr:uid="{09C356A4-10DC-45CF-9EF3-E3232863091E}"/>
    <cellStyle name="Moeda 3 19 2 2 3 8 4 3 2" xfId="3520" xr:uid="{8C4AFEC8-5EE6-4AF8-967D-C9E54999BF4D}"/>
    <cellStyle name="Moeda 3 19 2 2 3 8 4 4" xfId="2536" xr:uid="{37A6A4AB-B285-4F6F-803E-8304147F5733}"/>
    <cellStyle name="Moeda 3 19 2 2 3 8 5" xfId="613" xr:uid="{6FDA5D15-76DE-4C8D-81E7-7143E9D5E486}"/>
    <cellStyle name="Moeda 3 19 2 2 3 8 5 2" xfId="1105" xr:uid="{E7DDD9B0-6988-4111-845D-0167A790B4C7}"/>
    <cellStyle name="Moeda 3 19 2 2 3 8 5 2 2" xfId="2874" xr:uid="{E98636CB-68ED-4082-B858-2BBA60AB3A61}"/>
    <cellStyle name="Moeda 3 19 2 2 3 8 5 3" xfId="1597" xr:uid="{4353D607-91D8-43DF-AEA9-2031C1671E04}"/>
    <cellStyle name="Moeda 3 19 2 2 3 8 5 3 2" xfId="3366" xr:uid="{8AA4B266-71B4-497B-ABFF-0788E22EED02}"/>
    <cellStyle name="Moeda 3 19 2 2 3 8 5 4" xfId="2382" xr:uid="{A89A7BAF-91DD-423D-9D92-04A39D43DE33}"/>
    <cellStyle name="Moeda 3 19 2 2 3 8 6" xfId="500" xr:uid="{835AD5F5-D747-42FE-858F-90DD7EC21744}"/>
    <cellStyle name="Moeda 3 19 2 2 3 8 6 2" xfId="2269" xr:uid="{530B59E1-8C5E-48B6-A33C-AFEF984F66AB}"/>
    <cellStyle name="Moeda 3 19 2 2 3 8 7" xfId="369" xr:uid="{AB9A4C36-1D7C-4A8A-B9DF-62C76AC89CA0}"/>
    <cellStyle name="Moeda 3 19 2 2 3 8 7 2" xfId="2147" xr:uid="{985FC273-E7D5-4E78-B94F-ED6F4CA0509C}"/>
    <cellStyle name="Moeda 3 19 2 2 3 8 8" xfId="1011" xr:uid="{6B8BEAC0-D15E-4DDC-BA51-A207A8FB7CC9}"/>
    <cellStyle name="Moeda 3 19 2 2 3 8 8 2" xfId="2780" xr:uid="{F853B2A6-4B6E-4538-8D5B-C421E0F37021}"/>
    <cellStyle name="Moeda 3 19 2 2 3 8 9" xfId="1503" xr:uid="{5D78F33F-E023-42C7-BF77-70F15D1CCFD3}"/>
    <cellStyle name="Moeda 3 19 2 2 3 8 9 2" xfId="3272" xr:uid="{41B566B0-5454-4514-B097-53A90DA2C3F3}"/>
    <cellStyle name="Moeda 3 19 2 2 3 9" xfId="1884" xr:uid="{F9481CDD-C797-4717-B426-FDF0CCCE4344}"/>
    <cellStyle name="Moeda 3 19 2 2 4" xfId="325" xr:uid="{3A1678B8-BA54-432D-A19E-84557A6D59B7}"/>
    <cellStyle name="Moeda 3 19 2 2 4 2" xfId="957" xr:uid="{F5F7CD33-7BC6-468F-987A-541F4E6EFBBA}"/>
    <cellStyle name="Moeda 3 19 2 2 4 2 2" xfId="2726" xr:uid="{45001FDD-F9AB-443C-9167-83B8EFFFF7B0}"/>
    <cellStyle name="Moeda 3 19 2 2 4 3" xfId="1449" xr:uid="{C4E5B3C8-3D31-42C7-A8C8-644DB06EF7D1}"/>
    <cellStyle name="Moeda 3 19 2 2 4 3 2" xfId="3218" xr:uid="{EA33033C-A100-4D2D-82A4-FA9F44FAAF61}"/>
    <cellStyle name="Moeda 3 19 2 2 4 4" xfId="2103" xr:uid="{C603C178-39D0-4500-BC1C-BDBBC5940282}"/>
    <cellStyle name="Moeda 3 19 2 2 5" xfId="455" xr:uid="{6A627DC7-56CE-48F3-AE84-53F42733F026}"/>
    <cellStyle name="Moeda 3 19 2 2 5 2" xfId="2233" xr:uid="{A0529135-77C7-4577-8DA8-2C9D67591E75}"/>
    <cellStyle name="Moeda 3 19 2 2 6" xfId="230" xr:uid="{53327167-5F5C-4381-9F69-B113C20D1727}"/>
    <cellStyle name="Moeda 3 19 2 2 6 2" xfId="2014" xr:uid="{4FF07405-A3CA-4CC6-8730-F12A504BD9F3}"/>
    <cellStyle name="Moeda 3 19 2 2 7" xfId="878" xr:uid="{AF0C9A39-067F-4C27-A610-C9BEC455ADE5}"/>
    <cellStyle name="Moeda 3 19 2 2 7 2" xfId="2647" xr:uid="{749C805C-F906-44AC-AC3F-2D949A5D1A54}"/>
    <cellStyle name="Moeda 3 19 2 2 8" xfId="1370" xr:uid="{C2857BBE-9A09-4F10-81CE-8E9D3A184719}"/>
    <cellStyle name="Moeda 3 19 2 2 8 2" xfId="3139" xr:uid="{D005347D-C7F5-4386-9018-5C2DA217C4FF}"/>
    <cellStyle name="Moeda 3 19 2 2 9" xfId="1873" xr:uid="{01AE947E-991A-48AF-BE86-62CB167E6191}"/>
    <cellStyle name="Moeda 3 19 2 3" xfId="713" xr:uid="{521AC974-0F01-4E68-B4C7-BFDC76D47158}"/>
    <cellStyle name="Moeda 3 19 2 3 2" xfId="1205" xr:uid="{8D39A6F8-D87A-4B39-82B0-79B8CCC21653}"/>
    <cellStyle name="Moeda 3 19 2 3 2 2" xfId="2974" xr:uid="{52E99365-EAD5-44D4-A8BD-7FC012056A4A}"/>
    <cellStyle name="Moeda 3 19 2 3 3" xfId="1697" xr:uid="{E2F8D27C-F4D7-464B-BDEC-6B1F2511588D}"/>
    <cellStyle name="Moeda 3 19 2 3 3 2" xfId="3466" xr:uid="{A89AB3AD-944D-4D6C-B056-152741567334}"/>
    <cellStyle name="Moeda 3 19 2 3 4" xfId="2482" xr:uid="{445E3041-EBD4-4450-B42E-1DD9B94471A9}"/>
    <cellStyle name="Moeda 3 19 2 4" xfId="1036" xr:uid="{8B51E8A7-FF73-41ED-95BB-6433E16ACE9F}"/>
    <cellStyle name="Moeda 3 19 2 4 2" xfId="2805" xr:uid="{AB7B527C-05D6-4C5F-ABDD-1B2498AD7841}"/>
    <cellStyle name="Moeda 3 19 2 5" xfId="1528" xr:uid="{AB17B07B-F38F-45F9-9422-EBB5AC927C60}"/>
    <cellStyle name="Moeda 3 19 2 5 2" xfId="3297" xr:uid="{BA495D12-BEAB-44D7-A841-011FF1DD195E}"/>
    <cellStyle name="Moeda 3 19 2 6" xfId="2301" xr:uid="{6377C028-AD74-472B-96DC-DF8D33D29CDB}"/>
    <cellStyle name="Moeda 3 19 3" xfId="588" xr:uid="{0569CB0D-E405-4FF7-8C8F-20CDB9D66A74}"/>
    <cellStyle name="Moeda 3 19 3 2" xfId="2357" xr:uid="{2A320D10-173A-4A9C-AE09-50D73B8FD5DD}"/>
    <cellStyle name="Moeda 3 19 4" xfId="460" xr:uid="{2C908EC4-7CE6-48BA-A71C-59B96C262AB8}"/>
    <cellStyle name="Moeda 3 19 4 2" xfId="2236" xr:uid="{3E47BC17-0305-4A0C-A8AE-CE5AEFA7316B}"/>
    <cellStyle name="Moeda 3 19 5" xfId="1080" xr:uid="{345EA858-9E87-4341-8E86-8233723B2211}"/>
    <cellStyle name="Moeda 3 19 5 2" xfId="2849" xr:uid="{01CE1378-31F2-48F8-98BA-F2D38B3EF1A7}"/>
    <cellStyle name="Moeda 3 19 6" xfId="1572" xr:uid="{0DB9ABA9-4BD4-4FC5-B1B4-A6DBA9142601}"/>
    <cellStyle name="Moeda 3 19 6 2" xfId="3341" xr:uid="{52CDFA75-DAAE-4B52-8823-622256A784A1}"/>
    <cellStyle name="Moeda 3 19 7" xfId="1870" xr:uid="{D8EF9B23-5955-4570-BF39-C8992EE67AA1}"/>
    <cellStyle name="Moeda 3 2" xfId="10" xr:uid="{00000000-0005-0000-0000-000007000000}"/>
    <cellStyle name="Moeda 3 2 10" xfId="292" xr:uid="{B59547AF-7F7A-49D4-96DC-EB1CC9E3F904}"/>
    <cellStyle name="Moeda 3 2 10 2" xfId="600" xr:uid="{95584825-2AFB-4720-AB5F-7BFFAD31E8A6}"/>
    <cellStyle name="Moeda 3 2 10 2 2" xfId="590" xr:uid="{B5DD9D1F-793E-477F-9A1A-E8B237EF002B}"/>
    <cellStyle name="Moeda 3 2 10 2 2 13" xfId="129" xr:uid="{35148CA1-031C-477E-96D0-F06B09B4CABF}"/>
    <cellStyle name="Moeda 3 2 10 2 2 13 2" xfId="804" xr:uid="{CA10FA97-0FDC-4CFC-AB70-45A7F5459274}"/>
    <cellStyle name="Moeda 3 2 10 2 2 13 2 2" xfId="1296" xr:uid="{A09BD25E-F0E4-4668-9F5C-49322E36A146}"/>
    <cellStyle name="Moeda 3 2 10 2 2 13 2 2 2" xfId="3065" xr:uid="{09FE5B64-1F19-4ADB-B923-5F073940DB74}"/>
    <cellStyle name="Moeda 3 2 10 2 2 13 2 3" xfId="1788" xr:uid="{DB469FBF-D569-4A0C-A139-AAC5C615FD1B}"/>
    <cellStyle name="Moeda 3 2 10 2 2 13 2 3 2" xfId="3557" xr:uid="{62EAEE93-E19F-414D-96B2-CE54260E0496}"/>
    <cellStyle name="Moeda 3 2 10 2 2 13 2 4" xfId="2573" xr:uid="{347EE0DD-3D1F-4E2F-A604-1CA2BF87EC54}"/>
    <cellStyle name="Moeda 3 2 10 2 2 13 3" xfId="154" xr:uid="{894A31FF-E1A1-4FD2-A6FA-55B2E014D575}"/>
    <cellStyle name="Moeda 3 2 10 2 2 13 3 2" xfId="825" xr:uid="{30318343-201F-4F31-856F-521F8B6FFDD3}"/>
    <cellStyle name="Moeda 3 2 10 2 2 13 3 2 2" xfId="1317" xr:uid="{589D2021-3B45-4D5D-85C5-C354C75F99AA}"/>
    <cellStyle name="Moeda 3 2 10 2 2 13 3 2 2 2" xfId="3086" xr:uid="{3D1611D1-2572-4C5D-968A-746385A6287A}"/>
    <cellStyle name="Moeda 3 2 10 2 2 13 3 2 3" xfId="1809" xr:uid="{C553521E-9C88-4FB4-978E-05D70D54DD0F}"/>
    <cellStyle name="Moeda 3 2 10 2 2 13 3 2 3 2" xfId="3578" xr:uid="{8C6E46AA-7BE7-453C-B246-F1D50DFD7856}"/>
    <cellStyle name="Moeda 3 2 10 2 2 13 3 2 4" xfId="2594" xr:uid="{811B57CF-12B7-4208-880B-4450CFBBAB8A}"/>
    <cellStyle name="Moeda 3 2 10 2 2 13 3 3" xfId="679" xr:uid="{1B4BB221-3636-4C25-8D99-B2030A1B13A5}"/>
    <cellStyle name="Moeda 3 2 10 2 2 13 3 3 2" xfId="1171" xr:uid="{83107BCA-8672-4DC5-AD84-1F3F7E0C1766}"/>
    <cellStyle name="Moeda 3 2 10 2 2 13 3 3 2 2" xfId="2940" xr:uid="{F63C0446-4610-4353-9E61-00606AD684A8}"/>
    <cellStyle name="Moeda 3 2 10 2 2 13 3 3 3" xfId="1663" xr:uid="{CAFFBF65-7A0C-4CBC-BA15-9D317BA44553}"/>
    <cellStyle name="Moeda 3 2 10 2 2 13 3 3 3 2" xfId="3432" xr:uid="{FFB7C619-8B0F-4034-8F6C-D1B76B40D8AD}"/>
    <cellStyle name="Moeda 3 2 10 2 2 13 3 3 4" xfId="2448" xr:uid="{EAAD3481-142B-4F0A-887A-2EA3FC5B17D5}"/>
    <cellStyle name="Moeda 3 2 10 2 2 13 3 4" xfId="496" xr:uid="{4E5F1481-53D9-42DA-A994-A57F7469F94A}"/>
    <cellStyle name="Moeda 3 2 10 2 2 13 3 4 2" xfId="2265" xr:uid="{9A6DA508-1BDD-4973-AE30-1C9704709F61}"/>
    <cellStyle name="Moeda 3 2 10 2 2 13 3 5" xfId="426" xr:uid="{7F4DE017-73EF-4341-B9A5-54476A685200}"/>
    <cellStyle name="Moeda 3 2 10 2 2 13 3 5 2" xfId="2204" xr:uid="{B6AE8481-4AA1-41A6-8CFF-D7F8CC8F629D}"/>
    <cellStyle name="Moeda 3 2 10 2 2 13 3 6" xfId="1008" xr:uid="{5F795A34-706B-4C84-8AB0-3DD02C3396C1}"/>
    <cellStyle name="Moeda 3 2 10 2 2 13 3 6 2" xfId="2777" xr:uid="{63F1CBFF-8FC0-4A27-B86B-635A6D1050B5}"/>
    <cellStyle name="Moeda 3 2 10 2 2 13 3 7" xfId="1500" xr:uid="{3177ED19-B152-498E-8453-5A06F90F7F64}"/>
    <cellStyle name="Moeda 3 2 10 2 2 13 3 7 2" xfId="3269" xr:uid="{E1FB3275-04E2-44AE-A870-ABFE91BC72BC}"/>
    <cellStyle name="Moeda 3 2 10 2 2 13 3 8" xfId="1984" xr:uid="{E30EC8D4-8520-4D44-B5D9-62CF70AB390D}"/>
    <cellStyle name="Moeda 3 2 10 2 2 13 4" xfId="654" xr:uid="{0E31C7CB-39D0-4A06-9EF4-D3AC3878EFC3}"/>
    <cellStyle name="Moeda 3 2 10 2 2 13 4 2" xfId="1146" xr:uid="{C6CC5708-120D-4ED6-AF01-A82BAE3CE7DC}"/>
    <cellStyle name="Moeda 3 2 10 2 2 13 4 2 2" xfId="2915" xr:uid="{89E41E54-3699-4582-A77A-16349FB10190}"/>
    <cellStyle name="Moeda 3 2 10 2 2 13 4 3" xfId="1638" xr:uid="{7B4F0E69-7FD1-4531-9F65-FAEE24CD5D68}"/>
    <cellStyle name="Moeda 3 2 10 2 2 13 4 3 2" xfId="3407" xr:uid="{9A0FD8C3-7AF1-42AF-86D9-A3AE39163B13}"/>
    <cellStyle name="Moeda 3 2 10 2 2 13 4 4" xfId="2423" xr:uid="{7D17FDDA-0575-44CC-8C5B-78B6B03C2F0D}"/>
    <cellStyle name="Moeda 3 2 10 2 2 13 5" xfId="593" xr:uid="{CB690F8A-AB11-48B3-AFD7-B9834831A21F}"/>
    <cellStyle name="Moeda 3 2 10 2 2 13 5 2" xfId="2362" xr:uid="{8BA484A3-B069-4BD0-B04B-9A3AA51F24D5}"/>
    <cellStyle name="Moeda 3 2 10 2 2 13 6" xfId="406" xr:uid="{43D85F4C-F6C5-4536-99EC-2BAE64AEFFE0}"/>
    <cellStyle name="Moeda 3 2 10 2 2 13 6 2" xfId="2184" xr:uid="{A7A14B3A-DB8D-4F21-82CE-70A170378C12}"/>
    <cellStyle name="Moeda 3 2 10 2 2 13 7" xfId="1085" xr:uid="{F3F859A0-6346-4907-A275-9CE1E863E73D}"/>
    <cellStyle name="Moeda 3 2 10 2 2 13 7 2" xfId="2854" xr:uid="{2110E90D-5A0B-4C10-ADE0-5E4917F7F3AD}"/>
    <cellStyle name="Moeda 3 2 10 2 2 13 8" xfId="1577" xr:uid="{DC098D8E-358E-4F45-AF13-7E175A8D6CF4}"/>
    <cellStyle name="Moeda 3 2 10 2 2 13 8 2" xfId="3346" xr:uid="{E4410574-9F48-423C-9530-EFFE7FCD9B2F}"/>
    <cellStyle name="Moeda 3 2 10 2 2 13 9" xfId="1959" xr:uid="{5E3FF467-7411-45F1-A53A-BE13418E41EC}"/>
    <cellStyle name="Moeda 3 2 10 2 2 2" xfId="45" xr:uid="{777BEB12-43E0-4FAD-904A-392DF37E86E6}"/>
    <cellStyle name="Moeda 3 2 10 2 2 2 2" xfId="733" xr:uid="{AFFCB0E6-07A8-417F-BAD5-2A75F2DB52B2}"/>
    <cellStyle name="Moeda 3 2 10 2 2 2 2 2" xfId="1225" xr:uid="{EC1EB5F3-C975-471C-9891-5C6043EF726D}"/>
    <cellStyle name="Moeda 3 2 10 2 2 2 2 2 2" xfId="2994" xr:uid="{A4EB3DCF-56F8-4C4F-B038-1F81BF60E80F}"/>
    <cellStyle name="Moeda 3 2 10 2 2 2 2 3" xfId="1717" xr:uid="{CF07BA59-C037-4A73-889E-11FE577B113B}"/>
    <cellStyle name="Moeda 3 2 10 2 2 2 2 3 2" xfId="3486" xr:uid="{70FBDC7A-4BF6-4EC2-B720-26498823192A}"/>
    <cellStyle name="Moeda 3 2 10 2 2 2 2 4" xfId="2502" xr:uid="{E0ED7EC3-037E-4C82-8497-0C08AC29D73A}"/>
    <cellStyle name="Moeda 3 2 10 2 2 2 3" xfId="60" xr:uid="{E0F8D5BF-1C54-44B7-AA3D-379F26B0E37C}"/>
    <cellStyle name="Moeda 3 2 10 2 2 2 3 10" xfId="165" xr:uid="{F0A6060A-675D-4CE9-9FC2-85DB6AFB1AFF}"/>
    <cellStyle name="Moeda 3 2 10 2 2 2 3 10 2" xfId="851" xr:uid="{10AD929B-E0BC-4906-80F2-785B13B80343}"/>
    <cellStyle name="Moeda 3 2 10 2 2 2 3 10 2 2" xfId="338" xr:uid="{BF3DE630-9C96-4412-BD20-2B2471DB8AC7}"/>
    <cellStyle name="Moeda 3 2 10 2 2 2 3 10 2 2 2" xfId="969" xr:uid="{80890AD4-8304-4256-B985-3F1BB44F7AED}"/>
    <cellStyle name="Moeda 3 2 10 2 2 2 3 10 2 2 2 2" xfId="2738" xr:uid="{6EDFDEDF-B373-4BFC-8A33-24538C2AC8B2}"/>
    <cellStyle name="Moeda 3 2 10 2 2 2 3 10 2 2 3" xfId="1461" xr:uid="{4B20F29F-8DE2-486A-9690-CD08E8723323}"/>
    <cellStyle name="Moeda 3 2 10 2 2 2 3 10 2 2 3 2" xfId="3230" xr:uid="{88CB2F5A-1F94-47E0-B936-262A2990122A}"/>
    <cellStyle name="Moeda 3 2 10 2 2 2 3 10 2 2 4" xfId="2116" xr:uid="{29A6082C-6BE8-4AD2-8341-1C10711C6D78}"/>
    <cellStyle name="Moeda 3 2 10 2 2 2 3 10 2 3" xfId="1343" xr:uid="{91CBEA10-8B6E-42F5-BEAC-F779300C7631}"/>
    <cellStyle name="Moeda 3 2 10 2 2 2 3 10 2 3 2" xfId="3112" xr:uid="{5486786A-CF53-4F23-9943-4024FE320A01}"/>
    <cellStyle name="Moeda 3 2 10 2 2 2 3 10 2 4" xfId="1835" xr:uid="{09CEB0BF-44BC-4E3F-97CE-F4DB07A25CCE}"/>
    <cellStyle name="Moeda 3 2 10 2 2 2 3 10 2 4 2" xfId="3604" xr:uid="{3553B09B-8C90-4403-95DC-D901D00FF65B}"/>
    <cellStyle name="Moeda 3 2 10 2 2 2 3 10 2 5" xfId="2620" xr:uid="{666DA917-0479-4B01-BB4A-B5F58941FC5F}"/>
    <cellStyle name="Moeda 3 2 10 2 2 2 3 10 2 6" xfId="3645" xr:uid="{ED3AD191-C44D-4E71-922A-6367C9E634FC}"/>
    <cellStyle name="Moeda 3 2 10 2 2 2 3 10 3" xfId="690" xr:uid="{AB2772F1-1151-44AB-AE21-9855EB0DB3F4}"/>
    <cellStyle name="Moeda 3 2 10 2 2 2 3 10 3 2" xfId="1182" xr:uid="{68C623F5-2B56-4588-9B67-E08026062665}"/>
    <cellStyle name="Moeda 3 2 10 2 2 2 3 10 3 2 2" xfId="2951" xr:uid="{15671A06-7A5C-4CF5-B049-FCED3F6DF893}"/>
    <cellStyle name="Moeda 3 2 10 2 2 2 3 10 3 3" xfId="1674" xr:uid="{9B679AF0-56B8-4120-BCD3-D6143D50D865}"/>
    <cellStyle name="Moeda 3 2 10 2 2 2 3 10 3 3 2" xfId="3443" xr:uid="{71062987-E64F-40CD-BCBF-B305EA842B27}"/>
    <cellStyle name="Moeda 3 2 10 2 2 2 3 10 3 4" xfId="2459" xr:uid="{28E68FF4-83EC-4515-AC51-D7FD6B7C3F17}"/>
    <cellStyle name="Moeda 3 2 10 2 2 2 3 10 4" xfId="534" xr:uid="{1D14E832-E6F7-46CB-9765-0785B90B2241}"/>
    <cellStyle name="Moeda 3 2 10 2 2 2 3 10 4 2" xfId="2303" xr:uid="{44FD436C-0F72-4B1F-9C11-ED9BF9FBBFEA}"/>
    <cellStyle name="Moeda 3 2 10 2 2 2 3 10 5" xfId="448" xr:uid="{8163F763-8E7C-41F6-9EE8-DDEBE6580683}"/>
    <cellStyle name="Moeda 3 2 10 2 2 2 3 10 5 2" xfId="2226" xr:uid="{4277EA83-CDCB-49C2-BC9E-03082FF4442C}"/>
    <cellStyle name="Moeda 3 2 10 2 2 2 3 10 6" xfId="1038" xr:uid="{02A44C9C-7A09-443E-8D88-F6153E0A3415}"/>
    <cellStyle name="Moeda 3 2 10 2 2 2 3 10 6 2" xfId="2807" xr:uid="{85784E82-E018-44D1-AA95-3C628D81346F}"/>
    <cellStyle name="Moeda 3 2 10 2 2 2 3 10 7" xfId="1530" xr:uid="{CEE05617-AA3A-49EF-8BEF-9BEC8315FE32}"/>
    <cellStyle name="Moeda 3 2 10 2 2 2 3 10 7 2" xfId="3299" xr:uid="{D10C23C2-B4EB-40A6-AA02-96BB1B20B9C1}"/>
    <cellStyle name="Moeda 3 2 10 2 2 2 3 10 8" xfId="1995" xr:uid="{E1BFCEDD-792F-48E0-A7F9-384CCA86972B}"/>
    <cellStyle name="Moeda 3 2 10 2 2 2 3 2" xfId="748" xr:uid="{A52B3F56-016B-41A0-AF86-179C37E70ED7}"/>
    <cellStyle name="Moeda 3 2 10 2 2 2 3 2 2" xfId="1240" xr:uid="{8AB78B0F-7E17-40D1-B043-951986311689}"/>
    <cellStyle name="Moeda 3 2 10 2 2 2 3 2 2 2" xfId="3009" xr:uid="{8A517177-2DCB-4AD9-A0F9-F6B71A26ED1A}"/>
    <cellStyle name="Moeda 3 2 10 2 2 2 3 2 3" xfId="1732" xr:uid="{CC2447C7-2DEB-4F8C-8FFC-03B42C09116A}"/>
    <cellStyle name="Moeda 3 2 10 2 2 2 3 2 3 2" xfId="3501" xr:uid="{6A7D77FF-3DA8-4059-B06C-59754EC728CD}"/>
    <cellStyle name="Moeda 3 2 10 2 2 2 3 2 4" xfId="2517" xr:uid="{AFD61498-DA4D-4D4D-9FAA-997B91CAC7C9}"/>
    <cellStyle name="Moeda 3 2 10 2 2 2 3 3" xfId="323" xr:uid="{8C84A727-1237-4F2D-9032-F9446433434D}"/>
    <cellStyle name="Moeda 3 2 10 2 2 2 3 3 2" xfId="955" xr:uid="{DA851A12-955A-4A39-8E74-CE268F90E21C}"/>
    <cellStyle name="Moeda 3 2 10 2 2 2 3 3 2 2" xfId="2724" xr:uid="{23E9EB29-4424-4CB1-8905-A0A6A14D7CB3}"/>
    <cellStyle name="Moeda 3 2 10 2 2 2 3 3 3" xfId="1447" xr:uid="{05211113-2E2A-43FF-A465-DD1BDB20BA74}"/>
    <cellStyle name="Moeda 3 2 10 2 2 2 3 3 3 2" xfId="3216" xr:uid="{C83462FD-F2AE-43CD-8F9E-D48A370BACD9}"/>
    <cellStyle name="Moeda 3 2 10 2 2 2 3 3 4" xfId="2101" xr:uid="{B88C305C-85A7-4CB9-B56A-ACADDD9A64AD}"/>
    <cellStyle name="Moeda 3 2 10 2 2 2 3 4" xfId="89" xr:uid="{C228E500-7AD8-4648-8D7B-57ECE4BFA98B}"/>
    <cellStyle name="Moeda 3 2 10 2 2 2 3 4 10" xfId="1923" xr:uid="{39DBE072-CB19-4B9E-9532-67B48355FEC0}"/>
    <cellStyle name="Moeda 3 2 10 2 2 2 3 4 2" xfId="110" xr:uid="{8EBAFA90-CE44-4160-B8D4-41DA996B4198}"/>
    <cellStyle name="Moeda 3 2 10 2 2 2 3 4 2 2" xfId="792" xr:uid="{3AACEFE4-EF6B-43A5-86A7-A335DC843CA9}"/>
    <cellStyle name="Moeda 3 2 10 2 2 2 3 4 2 2 2" xfId="1284" xr:uid="{4CC027AC-4755-4429-94E5-86AA75E64636}"/>
    <cellStyle name="Moeda 3 2 10 2 2 2 3 4 2 2 2 2" xfId="3053" xr:uid="{A84CA5C5-757D-44AC-B261-D5E57C77C2DB}"/>
    <cellStyle name="Moeda 3 2 10 2 2 2 3 4 2 2 3" xfId="1776" xr:uid="{22E84D69-7A49-4112-95C5-3B1A43F02003}"/>
    <cellStyle name="Moeda 3 2 10 2 2 2 3 4 2 2 3 2" xfId="3545" xr:uid="{810A3E06-83D9-4549-98C0-383E5AF2AA8D}"/>
    <cellStyle name="Moeda 3 2 10 2 2 2 3 4 2 2 4" xfId="2561" xr:uid="{CDDEBDE7-E2DB-4A7C-84E5-1ED458CDE812}"/>
    <cellStyle name="Moeda 3 2 10 2 2 2 3 4 2 3" xfId="519" xr:uid="{880F6FEC-B881-4065-804D-491551084E24}"/>
    <cellStyle name="Moeda 3 2 10 2 2 2 3 4 2 3 2" xfId="812" xr:uid="{1E669008-CB04-4CA7-AC44-65E014722CF6}"/>
    <cellStyle name="Moeda 3 2 10 2 2 2 3 4 2 3 2 2" xfId="1304" xr:uid="{CDED0C17-3066-4141-ACC2-2069107FE1C5}"/>
    <cellStyle name="Moeda 3 2 10 2 2 2 3 4 2 3 2 2 2" xfId="3073" xr:uid="{4E223AAC-0CDF-4880-846B-5F435A4F2B0C}"/>
    <cellStyle name="Moeda 3 2 10 2 2 2 3 4 2 3 2 3" xfId="1796" xr:uid="{AAF95E3B-9E09-4275-8167-F29FB706F9AA}"/>
    <cellStyle name="Moeda 3 2 10 2 2 2 3 4 2 3 2 3 2" xfId="3565" xr:uid="{8F1FAEAE-3BA3-41CB-909E-2234947F2D22}"/>
    <cellStyle name="Moeda 3 2 10 2 2 2 3 4 2 3 2 4" xfId="2581" xr:uid="{D999CFE8-EF8B-49D1-88F1-293D11B512E9}"/>
    <cellStyle name="Moeda 3 2 10 2 2 2 3 4 2 3 3" xfId="1026" xr:uid="{0BC838CE-898F-4480-86B5-A3482A999A95}"/>
    <cellStyle name="Moeda 3 2 10 2 2 2 3 4 2 3 3 2" xfId="2795" xr:uid="{62204113-412F-471C-B721-4E035B1FB2B3}"/>
    <cellStyle name="Moeda 3 2 10 2 2 2 3 4 2 3 4" xfId="1518" xr:uid="{8ADE7D0F-A784-4F8D-B23F-05C7196785BA}"/>
    <cellStyle name="Moeda 3 2 10 2 2 2 3 4 2 3 4 2" xfId="3287" xr:uid="{9EF76F72-89AA-4025-BB0E-0E681F5577F3}"/>
    <cellStyle name="Moeda 3 2 10 2 2 2 3 4 2 3 5" xfId="2288" xr:uid="{F3BBC803-E735-42DA-B93B-C88D10D35835}"/>
    <cellStyle name="Moeda 3 2 10 2 2 2 3 4 2 4" xfId="637" xr:uid="{EED863D8-B8E1-49FD-A454-835F6E707917}"/>
    <cellStyle name="Moeda 3 2 10 2 2 2 3 4 2 4 2" xfId="1129" xr:uid="{844DFE74-8053-4C34-BD11-423619F4D2E4}"/>
    <cellStyle name="Moeda 3 2 10 2 2 2 3 4 2 4 2 2" xfId="2898" xr:uid="{B0B7C1F5-EF54-4DF3-B2D0-873770CB9FAB}"/>
    <cellStyle name="Moeda 3 2 10 2 2 2 3 4 2 4 3" xfId="1621" xr:uid="{E66E330C-446F-41F4-9E23-334A36053248}"/>
    <cellStyle name="Moeda 3 2 10 2 2 2 3 4 2 4 3 2" xfId="3390" xr:uid="{A0721B8B-BD0F-4913-9FDF-62DAE0529066}"/>
    <cellStyle name="Moeda 3 2 10 2 2 2 3 4 2 4 4" xfId="2406" xr:uid="{B9978DAB-5441-41E8-9187-BBBD9658E3E5}"/>
    <cellStyle name="Moeda 3 2 10 2 2 2 3 4 2 5" xfId="279" xr:uid="{7D45DC1B-8D35-47C4-9130-4AE76334A6CA}"/>
    <cellStyle name="Moeda 3 2 10 2 2 2 3 4 2 5 2" xfId="2063" xr:uid="{5B9575AB-37CA-4712-BB8D-744648B11888}"/>
    <cellStyle name="Moeda 3 2 10 2 2 2 3 4 2 6" xfId="394" xr:uid="{C3B5EC9D-038A-4132-94C0-F3E2D0E4D23E}"/>
    <cellStyle name="Moeda 3 2 10 2 2 2 3 4 2 6 2" xfId="2172" xr:uid="{2B95C8E5-EDA6-4505-986A-CAEBD56F1318}"/>
    <cellStyle name="Moeda 3 2 10 2 2 2 3 4 2 7" xfId="926" xr:uid="{0D199DBB-79AB-4E60-ACCF-38E7FEB3E4D5}"/>
    <cellStyle name="Moeda 3 2 10 2 2 2 3 4 2 7 2" xfId="2695" xr:uid="{DF34C88C-1B3B-4664-80E7-5897085C256B}"/>
    <cellStyle name="Moeda 3 2 10 2 2 2 3 4 2 8" xfId="1418" xr:uid="{17BF392C-99FD-443A-BDF5-7F098D383B42}"/>
    <cellStyle name="Moeda 3 2 10 2 2 2 3 4 2 8 2" xfId="3187" xr:uid="{21FF85EA-3481-40AE-8567-269152480DB8}"/>
    <cellStyle name="Moeda 3 2 10 2 2 2 3 4 2 9" xfId="1942" xr:uid="{1F2E9187-B88E-4D36-A55F-610C01D53E00}"/>
    <cellStyle name="Moeda 3 2 10 2 2 2 3 4 3" xfId="770" xr:uid="{1D82EEBB-6EF8-4FCC-B3F2-E46FBC114F8E}"/>
    <cellStyle name="Moeda 3 2 10 2 2 2 3 4 3 2" xfId="1262" xr:uid="{CAD18A12-32C5-48D0-B2AA-CA6AE8715266}"/>
    <cellStyle name="Moeda 3 2 10 2 2 2 3 4 3 2 2" xfId="3031" xr:uid="{FDDEA804-6762-459D-AD74-D095C67EDC26}"/>
    <cellStyle name="Moeda 3 2 10 2 2 2 3 4 3 3" xfId="1754" xr:uid="{243A62DD-B469-4E70-A0A6-C068A93A86D2}"/>
    <cellStyle name="Moeda 3 2 10 2 2 2 3 4 3 3 2" xfId="3523" xr:uid="{E1EF0538-472E-4238-9503-832DE70E264E}"/>
    <cellStyle name="Moeda 3 2 10 2 2 2 3 4 3 4" xfId="2539" xr:uid="{952061CB-FFF4-43E8-B4DA-4DF39C50E614}"/>
    <cellStyle name="Moeda 3 2 10 2 2 2 3 4 4" xfId="618" xr:uid="{FCC5332A-09B6-45FB-9E11-54A42DA1B335}"/>
    <cellStyle name="Moeda 3 2 10 2 2 2 3 4 4 2" xfId="1110" xr:uid="{136297FF-C67E-479F-B5F6-FB25965F46DD}"/>
    <cellStyle name="Moeda 3 2 10 2 2 2 3 4 4 2 2" xfId="2879" xr:uid="{D716C5E4-D2CD-43EF-B079-F356F95D3E31}"/>
    <cellStyle name="Moeda 3 2 10 2 2 2 3 4 4 3" xfId="1602" xr:uid="{2B179846-0AB5-45AE-89A6-4CBD29A0DAAA}"/>
    <cellStyle name="Moeda 3 2 10 2 2 2 3 4 4 3 2" xfId="3371" xr:uid="{4B309984-53EA-4FA4-807A-7699B5C37756}"/>
    <cellStyle name="Moeda 3 2 10 2 2 2 3 4 4 4" xfId="2387" xr:uid="{448AEA41-3B70-4C16-AA35-AA7641EFFFF5}"/>
    <cellStyle name="Moeda 3 2 10 2 2 2 3 4 5" xfId="563" xr:uid="{19C1F6B7-05A2-4DCB-884B-7BB4AA7488A5}"/>
    <cellStyle name="Moeda 3 2 10 2 2 2 3 4 5 2" xfId="2332" xr:uid="{2473FEE3-B07E-4270-859A-E26482910ED4}"/>
    <cellStyle name="Moeda 3 2 10 2 2 2 3 4 6" xfId="372" xr:uid="{6F36E93D-CB87-4102-924E-541928B54AAA}"/>
    <cellStyle name="Moeda 3 2 10 2 2 2 3 4 6 2" xfId="2150" xr:uid="{EB32F26E-8EFB-4F9B-896B-1FEC0E2C9A2F}"/>
    <cellStyle name="Moeda 3 2 10 2 2 2 3 4 7" xfId="1060" xr:uid="{392979D3-627A-4A79-A171-E7C81A5DEAD7}"/>
    <cellStyle name="Moeda 3 2 10 2 2 2 3 4 7 2" xfId="2829" xr:uid="{79D81E18-C663-4615-92AE-BC35117D7286}"/>
    <cellStyle name="Moeda 3 2 10 2 2 2 3 4 8" xfId="1552" xr:uid="{4E8EA0C9-3CDF-40A5-A527-365129E74C52}"/>
    <cellStyle name="Moeda 3 2 10 2 2 2 3 4 8 2" xfId="3321" xr:uid="{88706801-E32D-43E9-A928-894460514990}"/>
    <cellStyle name="Moeda 3 2 10 2 2 2 3 4 9" xfId="1863" xr:uid="{A8603095-8083-4755-BA68-7A075D0154D6}"/>
    <cellStyle name="Moeda 3 2 10 2 2 2 3 4 9 2" xfId="3628" xr:uid="{68A753F8-5F1F-49E8-BF29-9F5214438EE7}"/>
    <cellStyle name="Moeda 3 2 10 2 2 2 3 5" xfId="589" xr:uid="{EA08B54E-2258-456B-A01C-7056811957A5}"/>
    <cellStyle name="Moeda 3 2 10 2 2 2 3 5 2" xfId="2358" xr:uid="{4F14F3CC-CD6F-44BF-9DEF-031B0AD7B508}"/>
    <cellStyle name="Moeda 3 2 10 2 2 2 3 6" xfId="352" xr:uid="{2E4BDA4D-781F-4013-9F58-556656AB4982}"/>
    <cellStyle name="Moeda 3 2 10 2 2 2 3 6 2" xfId="2130" xr:uid="{A436D235-754D-4C2C-970C-F82BDD0FA0B1}"/>
    <cellStyle name="Moeda 3 2 10 2 2 2 3 7" xfId="1081" xr:uid="{5050BFBE-25AB-4FE5-9925-4C73A4EC6F5E}"/>
    <cellStyle name="Moeda 3 2 10 2 2 2 3 7 2" xfId="2850" xr:uid="{03C53E61-B04A-40C3-AC9C-ABBD51E3D70D}"/>
    <cellStyle name="Moeda 3 2 10 2 2 2 3 8" xfId="1573" xr:uid="{7B750B4A-EC3C-4083-B8F0-DCAFD0CF55B1}"/>
    <cellStyle name="Moeda 3 2 10 2 2 2 3 8 2" xfId="3342" xr:uid="{B97F4F02-A858-459E-8049-0958BAF4F0F6}"/>
    <cellStyle name="Moeda 3 2 10 2 2 2 3 9" xfId="1901" xr:uid="{5D136664-D2DE-4732-830C-E3CD9351C49A}"/>
    <cellStyle name="Moeda 3 2 10 2 2 2 4" xfId="354" xr:uid="{66329434-527F-4557-BC46-BC32AA9BDA29}"/>
    <cellStyle name="Moeda 3 2 10 2 2 2 4 2" xfId="983" xr:uid="{B9EF3E52-5E7A-46B0-98B6-32B4092D938A}"/>
    <cellStyle name="Moeda 3 2 10 2 2 2 4 2 2" xfId="2752" xr:uid="{4F4CAADF-7665-4018-A5C4-B11078BAAA1A}"/>
    <cellStyle name="Moeda 3 2 10 2 2 2 4 3" xfId="1475" xr:uid="{9A4FE2C6-686E-4DD1-A652-C075DB458A88}"/>
    <cellStyle name="Moeda 3 2 10 2 2 2 4 3 2" xfId="3244" xr:uid="{AD86E9A8-C9EC-4C5B-9AEC-5D5D7AE078AA}"/>
    <cellStyle name="Moeda 3 2 10 2 2 2 4 4" xfId="2132" xr:uid="{F9DC1ECE-0EB0-431D-B301-0FF556531EBD}"/>
    <cellStyle name="Moeda 3 2 10 2 2 2 5" xfId="549" xr:uid="{990A6D0C-F074-4DE6-A307-F9E6B8C7593B}"/>
    <cellStyle name="Moeda 3 2 10 2 2 2 5 2" xfId="2318" xr:uid="{24873530-7168-4D52-BCBA-908B8B8207CD}"/>
    <cellStyle name="Moeda 3 2 10 2 2 2 6" xfId="243" xr:uid="{7A3DC6C4-158A-4C8F-9802-CFEACD8719CE}"/>
    <cellStyle name="Moeda 3 2 10 2 2 2 6 2" xfId="2027" xr:uid="{D7B26078-7584-49E5-BDE5-37F78BBAAEC6}"/>
    <cellStyle name="Moeda 3 2 10 2 2 2 7" xfId="891" xr:uid="{D9FAF2F7-E708-4CA0-BCCA-E2C68D98227D}"/>
    <cellStyle name="Moeda 3 2 10 2 2 2 7 2" xfId="2660" xr:uid="{22C37839-5A7B-4564-9004-3E67D8FEC453}"/>
    <cellStyle name="Moeda 3 2 10 2 2 2 8" xfId="1383" xr:uid="{872C07ED-CB04-403F-8641-DB025C033C6A}"/>
    <cellStyle name="Moeda 3 2 10 2 2 2 8 2" xfId="3152" xr:uid="{558E5BA1-D2AD-4F6E-83F8-1084189E3043}"/>
    <cellStyle name="Moeda 3 2 10 2 2 2 9" xfId="1886" xr:uid="{D2424D82-576E-4413-B5F8-D4CC9AD622B3}"/>
    <cellStyle name="Moeda 3 2 10 2 2 3" xfId="721" xr:uid="{07E2E90B-B15A-43B8-91CB-C9C233F61ABA}"/>
    <cellStyle name="Moeda 3 2 10 2 2 3 2" xfId="49" xr:uid="{7FDD34A6-4B95-4786-AC15-15613CB6EEAA}"/>
    <cellStyle name="Moeda 3 2 10 2 2 3 2 2" xfId="737" xr:uid="{7DF284AD-D34A-43E4-B069-70127308727A}"/>
    <cellStyle name="Moeda 3 2 10 2 2 3 2 2 2" xfId="1229" xr:uid="{DFA52F5F-2307-4F5E-9B81-CD40220FF9C1}"/>
    <cellStyle name="Moeda 3 2 10 2 2 3 2 2 2 2" xfId="2998" xr:uid="{B9DFD36D-17BD-4CFB-97E8-0447562A9574}"/>
    <cellStyle name="Moeda 3 2 10 2 2 3 2 2 3" xfId="1721" xr:uid="{A89E9BCF-FFFB-4374-BE53-AFE5ABCD286A}"/>
    <cellStyle name="Moeda 3 2 10 2 2 3 2 2 3 2" xfId="3490" xr:uid="{B46D5F8A-0D72-48F1-BF10-48EEF8A17029}"/>
    <cellStyle name="Moeda 3 2 10 2 2 3 2 2 4" xfId="2506" xr:uid="{0FDF3D4C-BB47-4373-8580-DEC659269058}"/>
    <cellStyle name="Moeda 3 2 10 2 2 3 2 3" xfId="510" xr:uid="{528B517F-807E-4772-9D18-3238307CB541}"/>
    <cellStyle name="Moeda 3 2 10 2 2 3 2 3 2" xfId="1020" xr:uid="{4F0C1F51-39F2-4AF5-85FC-0E44B81C843E}"/>
    <cellStyle name="Moeda 3 2 10 2 2 3 2 3 2 2" xfId="2789" xr:uid="{07EA8402-16F3-408B-B46C-BAB61D842CEC}"/>
    <cellStyle name="Moeda 3 2 10 2 2 3 2 3 3" xfId="1512" xr:uid="{FCF13671-C17C-4C63-A153-6A4700667702}"/>
    <cellStyle name="Moeda 3 2 10 2 2 3 2 3 3 2" xfId="3281" xr:uid="{02D84106-FC60-4EBC-9D81-17815916DC6E}"/>
    <cellStyle name="Moeda 3 2 10 2 2 3 2 3 4" xfId="2279" xr:uid="{C7D0B7CD-488F-4247-8E35-93AF5305F84F}"/>
    <cellStyle name="Moeda 3 2 10 2 2 3 2 4" xfId="301" xr:uid="{F32ADE7A-0794-4033-A510-14562E6640AC}"/>
    <cellStyle name="Moeda 3 2 10 2 2 3 2 4 2" xfId="2080" xr:uid="{755B7C94-7F8B-44C1-8E01-4C4DD4570DCD}"/>
    <cellStyle name="Moeda 3 2 10 2 2 3 2 5" xfId="247" xr:uid="{57666A5C-3757-43C3-8915-67E2F70046B8}"/>
    <cellStyle name="Moeda 3 2 10 2 2 3 2 5 2" xfId="2031" xr:uid="{2D81FA3C-AD3E-4A23-A9CF-1E675A4A334F}"/>
    <cellStyle name="Moeda 3 2 10 2 2 3 2 6" xfId="99" xr:uid="{FFAA6D8A-D789-45C9-ACA6-0F5AF2EFE394}"/>
    <cellStyle name="Moeda 3 2 10 2 2 3 2 6 2" xfId="779" xr:uid="{D6FA7E75-F16A-437C-8D98-DE7DB27FFE23}"/>
    <cellStyle name="Moeda 3 2 10 2 2 3 2 6 2 2" xfId="1271" xr:uid="{2BD6E5A8-AB27-4FE4-8654-42B7B2C8A8A4}"/>
    <cellStyle name="Moeda 3 2 10 2 2 3 2 6 2 2 2" xfId="3040" xr:uid="{6914235F-341F-4F47-89DA-A81A45C35511}"/>
    <cellStyle name="Moeda 3 2 10 2 2 3 2 6 2 3" xfId="1763" xr:uid="{27A0C4F3-F53B-4BF4-879D-E71218B72E64}"/>
    <cellStyle name="Moeda 3 2 10 2 2 3 2 6 2 3 2" xfId="3532" xr:uid="{8082645B-1589-453E-BF60-A1AFEEF371C1}"/>
    <cellStyle name="Moeda 3 2 10 2 2 3 2 6 2 4" xfId="2548" xr:uid="{FBEC2826-081A-4782-8746-0B03C6A1BEC8}"/>
    <cellStyle name="Moeda 3 2 10 2 2 3 2 6 3" xfId="626" xr:uid="{19DB42AA-61EB-4A8B-8E71-6EF6E9BB1A57}"/>
    <cellStyle name="Moeda 3 2 10 2 2 3 2 6 3 2" xfId="1118" xr:uid="{3EB217C3-DB66-4DF2-9C84-83A868811B38}"/>
    <cellStyle name="Moeda 3 2 10 2 2 3 2 6 3 2 2" xfId="2887" xr:uid="{9A67D50C-CCDA-4DAB-B012-EDD8ED410584}"/>
    <cellStyle name="Moeda 3 2 10 2 2 3 2 6 3 3" xfId="1610" xr:uid="{209A33AF-F208-4C4D-91C4-2147B02F80EE}"/>
    <cellStyle name="Moeda 3 2 10 2 2 3 2 6 3 3 2" xfId="3379" xr:uid="{CA31E3F7-1DA7-461C-865D-5315C0E56980}"/>
    <cellStyle name="Moeda 3 2 10 2 2 3 2 6 3 4" xfId="2395" xr:uid="{36417FAA-AB13-4B0C-8F8A-5C14EEE1016F}"/>
    <cellStyle name="Moeda 3 2 10 2 2 3 2 6 4" xfId="298" xr:uid="{D02E9E45-7474-4EF9-9E79-1C50A4DC46F2}"/>
    <cellStyle name="Moeda 3 2 10 2 2 3 2 6 4 2" xfId="2077" xr:uid="{89D11933-7726-4C80-BD64-AE0046CA28C1}"/>
    <cellStyle name="Moeda 3 2 10 2 2 3 2 6 5" xfId="381" xr:uid="{4303B921-686F-41A7-AF5F-8F7D382A679B}"/>
    <cellStyle name="Moeda 3 2 10 2 2 3 2 6 5 2" xfId="2159" xr:uid="{32F21042-B13A-4AD5-B254-F63D8E9BA156}"/>
    <cellStyle name="Moeda 3 2 10 2 2 3 2 6 6" xfId="147" xr:uid="{AF77A829-2F8D-435F-971D-B00C47D5D478}"/>
    <cellStyle name="Moeda 3 2 10 2 2 3 2 6 6 2" xfId="544" xr:uid="{30223D72-0B73-4AA8-9452-3CBF727A39F4}"/>
    <cellStyle name="Moeda 3 2 10 2 2 3 2 6 6 2 2" xfId="845" xr:uid="{86AC9A69-E6A3-4E62-A5D6-4056E7194AD5}"/>
    <cellStyle name="Moeda 3 2 10 2 2 3 2 6 6 2 2 2" xfId="1337" xr:uid="{F680EBED-ABAD-4EA8-9ED6-43193072A14F}"/>
    <cellStyle name="Moeda 3 2 10 2 2 3 2 6 6 2 2 2 2" xfId="3106" xr:uid="{23E960EC-7013-4441-9BE5-32076582541D}"/>
    <cellStyle name="Moeda 3 2 10 2 2 3 2 6 6 2 2 3" xfId="1829" xr:uid="{0953E8C3-9963-48B2-9E74-085D89B5BF23}"/>
    <cellStyle name="Moeda 3 2 10 2 2 3 2 6 6 2 2 3 2" xfId="3598" xr:uid="{CDCCD871-9464-4CAC-9F82-1A47119001C5}"/>
    <cellStyle name="Moeda 3 2 10 2 2 3 2 6 6 2 2 4" xfId="2614" xr:uid="{A8695B12-3E87-413E-90C8-7BA8A619AE73}"/>
    <cellStyle name="Moeda 3 2 10 2 2 3 2 6 6 2 3" xfId="1046" xr:uid="{B143CB35-F45D-4420-9922-48FB17F31EA3}"/>
    <cellStyle name="Moeda 3 2 10 2 2 3 2 6 6 2 3 2" xfId="2815" xr:uid="{DB2D3647-D515-479D-9292-BF741977E83E}"/>
    <cellStyle name="Moeda 3 2 10 2 2 3 2 6 6 2 4" xfId="1538" xr:uid="{A4FEE3B0-6251-42D9-BC8C-FFF4489586F3}"/>
    <cellStyle name="Moeda 3 2 10 2 2 3 2 6 6 2 4 2" xfId="3307" xr:uid="{7C43698B-A3ED-4CDC-959D-7AB7F2D5FA6E}"/>
    <cellStyle name="Moeda 3 2 10 2 2 3 2 6 6 2 5" xfId="2313" xr:uid="{F38F0B9A-1118-4EEA-A22E-F5B4CBE365E3}"/>
    <cellStyle name="Moeda 3 2 10 2 2 3 2 6 6 3" xfId="828" xr:uid="{3D46EF7F-313F-4A70-BE9F-71F0CC6D1AD6}"/>
    <cellStyle name="Moeda 3 2 10 2 2 3 2 6 6 3 2" xfId="1320" xr:uid="{C206756E-EE6D-4D82-9E81-DC559445B23F}"/>
    <cellStyle name="Moeda 3 2 10 2 2 3 2 6 6 3 2 2" xfId="3089" xr:uid="{3F0F2FA1-E5E7-4053-BCF9-3865442503E6}"/>
    <cellStyle name="Moeda 3 2 10 2 2 3 2 6 6 3 3" xfId="1812" xr:uid="{88A28492-DD2D-447A-8765-BFA126403D00}"/>
    <cellStyle name="Moeda 3 2 10 2 2 3 2 6 6 3 3 2" xfId="3581" xr:uid="{E880A2DD-43FA-430B-9C10-5612D4A1BBEA}"/>
    <cellStyle name="Moeda 3 2 10 2 2 3 2 6 6 3 4" xfId="2597" xr:uid="{0331FCF7-B2AF-4761-9D10-BE287FC72CC8}"/>
    <cellStyle name="Moeda 3 2 10 2 2 3 2 6 6 4" xfId="672" xr:uid="{1D433E1C-CADE-41ED-85FC-5BFDA4DBA06B}"/>
    <cellStyle name="Moeda 3 2 10 2 2 3 2 6 6 4 2" xfId="1164" xr:uid="{84BD8DE3-721A-4E3A-94E6-FE34CE2321DA}"/>
    <cellStyle name="Moeda 3 2 10 2 2 3 2 6 6 4 2 2" xfId="2933" xr:uid="{4EB6EBB6-305B-4C03-BC4F-903893B480B1}"/>
    <cellStyle name="Moeda 3 2 10 2 2 3 2 6 6 4 3" xfId="1656" xr:uid="{D9B2A3A4-5E57-4739-862A-9216BC82FBB4}"/>
    <cellStyle name="Moeda 3 2 10 2 2 3 2 6 6 4 3 2" xfId="3425" xr:uid="{355B3B95-522C-4549-B1CF-43730B212159}"/>
    <cellStyle name="Moeda 3 2 10 2 2 3 2 6 6 4 4" xfId="2441" xr:uid="{DAAB08C1-CED0-4012-A40C-494C44FBB6CB}"/>
    <cellStyle name="Moeda 3 2 10 2 2 3 2 6 6 5" xfId="572" xr:uid="{6DBCB682-E26D-4BED-A071-C4AF564F4C9E}"/>
    <cellStyle name="Moeda 3 2 10 2 2 3 2 6 6 5 2" xfId="2341" xr:uid="{CF9788CB-E81E-4056-A324-F08C4DCABC22}"/>
    <cellStyle name="Moeda 3 2 10 2 2 3 2 6 6 6" xfId="429" xr:uid="{96C8C36C-442D-4E1C-BB8C-7312D05386DD}"/>
    <cellStyle name="Moeda 3 2 10 2 2 3 2 6 6 6 2" xfId="2207" xr:uid="{6C684A46-11F1-4D55-A4F6-A013F4A7F97E}"/>
    <cellStyle name="Moeda 3 2 10 2 2 3 2 6 6 7" xfId="1068" xr:uid="{772ADC63-464C-40EC-A1A4-D7E3C072815E}"/>
    <cellStyle name="Moeda 3 2 10 2 2 3 2 6 6 7 2" xfId="2837" xr:uid="{93D295AD-F0E7-4E67-AD7F-9CAC575C0A83}"/>
    <cellStyle name="Moeda 3 2 10 2 2 3 2 6 6 8" xfId="1560" xr:uid="{E4C01678-03A6-452A-A9C5-E84F2641E261}"/>
    <cellStyle name="Moeda 3 2 10 2 2 3 2 6 6 8 2" xfId="3329" xr:uid="{733DC673-6839-4CE9-8B01-6BA11A20F9E1}"/>
    <cellStyle name="Moeda 3 2 10 2 2 3 2 6 6 9" xfId="1977" xr:uid="{6B3BCC82-310E-4F9C-8721-4A79C94B7CB6}"/>
    <cellStyle name="Moeda 3 2 10 2 2 3 2 6 7" xfId="938" xr:uid="{AB150D93-B979-4EC6-B0D1-FCF3A50DE5F1}"/>
    <cellStyle name="Moeda 3 2 10 2 2 3 2 6 7 2" xfId="2707" xr:uid="{AE639D91-EE04-4ABF-BE16-139004C95EB5}"/>
    <cellStyle name="Moeda 3 2 10 2 2 3 2 6 8" xfId="1430" xr:uid="{1AF6386F-269E-4166-B0BB-3C93B79BCB2A}"/>
    <cellStyle name="Moeda 3 2 10 2 2 3 2 6 8 2" xfId="3199" xr:uid="{06C4188E-812B-47CF-AA52-4B48127831B2}"/>
    <cellStyle name="Moeda 3 2 10 2 2 3 2 6 9" xfId="1931" xr:uid="{5D4D4F51-8B99-413C-9AA0-9E43153952E5}"/>
    <cellStyle name="Moeda 3 2 10 2 2 3 2 7" xfId="895" xr:uid="{332429B2-58A3-45A2-8227-7E7D6DBFAF80}"/>
    <cellStyle name="Moeda 3 2 10 2 2 3 2 7 2" xfId="2664" xr:uid="{294BC50B-CC3B-4DED-BE90-394972EA461F}"/>
    <cellStyle name="Moeda 3 2 10 2 2 3 2 8" xfId="1387" xr:uid="{0E54DA32-775A-47D7-A535-9FB8FE15F48F}"/>
    <cellStyle name="Moeda 3 2 10 2 2 3 2 8 2" xfId="3156" xr:uid="{697EAAEC-0DAA-413E-B319-EA0204AC396A}"/>
    <cellStyle name="Moeda 3 2 10 2 2 3 2 9" xfId="1890" xr:uid="{706473DF-3462-4191-8195-393D9B6F72B1}"/>
    <cellStyle name="Moeda 3 2 10 2 2 3 3" xfId="1213" xr:uid="{76F2B914-C6B2-4AC1-9B92-E3F98700BFE5}"/>
    <cellStyle name="Moeda 3 2 10 2 2 3 3 2" xfId="2982" xr:uid="{C74D0284-85AF-43A5-A877-DFF5263537AB}"/>
    <cellStyle name="Moeda 3 2 10 2 2 3 4" xfId="1705" xr:uid="{6E3EAC99-FF2E-4DEF-920F-2B606278ACB8}"/>
    <cellStyle name="Moeda 3 2 10 2 2 3 4 2" xfId="3474" xr:uid="{304ED666-9560-4F29-9697-2DEF70FA20B1}"/>
    <cellStyle name="Moeda 3 2 10 2 2 3 5" xfId="2490" xr:uid="{879DA9D4-0D54-4895-901F-912A275F665A}"/>
    <cellStyle name="Moeda 3 2 10 2 2 4" xfId="1082" xr:uid="{0250E26A-F7C4-4262-95A4-C82E244F1951}"/>
    <cellStyle name="Moeda 3 2 10 2 2 4 2" xfId="2851" xr:uid="{632CFFB2-9642-495E-A401-472DB14D2217}"/>
    <cellStyle name="Moeda 3 2 10 2 2 5" xfId="536" xr:uid="{99A1409E-FAC0-4485-8911-D788BC7A0CB1}"/>
    <cellStyle name="Moeda 3 2 10 2 2 5 2" xfId="761" xr:uid="{A461075F-CD71-49C7-B871-F37D906F5CC3}"/>
    <cellStyle name="Moeda 3 2 10 2 2 5 2 2" xfId="1253" xr:uid="{2AB8C5A2-BBD3-4CB8-921D-F880DBF2312E}"/>
    <cellStyle name="Moeda 3 2 10 2 2 5 2 2 2" xfId="3022" xr:uid="{EE6933D9-9684-41CE-ABD3-99F441E0C5C1}"/>
    <cellStyle name="Moeda 3 2 10 2 2 5 2 3" xfId="1745" xr:uid="{8BEB6843-23AB-4122-A74D-1357210DE35B}"/>
    <cellStyle name="Moeda 3 2 10 2 2 5 2 3 2" xfId="3514" xr:uid="{2865E260-533A-4D44-A2E6-66F5A8ED0EB8}"/>
    <cellStyle name="Moeda 3 2 10 2 2 5 2 4" xfId="2530" xr:uid="{188D8FEA-77A1-49E3-AFD1-88FD7A44F9BE}"/>
    <cellStyle name="Moeda 3 2 10 2 2 5 3" xfId="98" xr:uid="{33BB030D-185A-4ED5-8A88-E35C51BFC904}"/>
    <cellStyle name="Moeda 3 2 10 2 2 5 3 2" xfId="783" xr:uid="{C5F86D4B-FAE8-48B0-B472-E882A76BDB34}"/>
    <cellStyle name="Moeda 3 2 10 2 2 5 3 2 2" xfId="1275" xr:uid="{FB869842-DAAB-4A17-9E55-24ED24332A03}"/>
    <cellStyle name="Moeda 3 2 10 2 2 5 3 2 2 2" xfId="3044" xr:uid="{790067F7-E5B4-4235-80CE-961BF1C20BE5}"/>
    <cellStyle name="Moeda 3 2 10 2 2 5 3 2 3" xfId="1767" xr:uid="{73E68790-0387-408C-8D77-B39C24A8DC8E}"/>
    <cellStyle name="Moeda 3 2 10 2 2 5 3 2 3 2" xfId="3536" xr:uid="{42FDC24C-6D3B-41B3-A89B-E82E571CDAB1}"/>
    <cellStyle name="Moeda 3 2 10 2 2 5 3 2 4" xfId="2552" xr:uid="{D3B6EE6D-252B-492E-B460-FF5322667E73}"/>
    <cellStyle name="Moeda 3 2 10 2 2 5 3 3" xfId="625" xr:uid="{539F5BDA-524A-4FCC-833F-17B82AB397C5}"/>
    <cellStyle name="Moeda 3 2 10 2 2 5 3 3 2" xfId="1117" xr:uid="{C264E102-2608-4FFC-96FB-3D8570BEF23E}"/>
    <cellStyle name="Moeda 3 2 10 2 2 5 3 3 2 2" xfId="2886" xr:uid="{964F3D6A-C041-4F0D-891D-DC975AAF2CF5}"/>
    <cellStyle name="Moeda 3 2 10 2 2 5 3 3 3" xfId="1609" xr:uid="{88854B40-BDDF-4F75-8EB2-558E4F2FBD5D}"/>
    <cellStyle name="Moeda 3 2 10 2 2 5 3 3 3 2" xfId="3378" xr:uid="{3D7B6425-D6EE-422E-9FA5-E761A8B58DF1}"/>
    <cellStyle name="Moeda 3 2 10 2 2 5 3 3 4" xfId="2394" xr:uid="{E5986655-957E-419A-8A7D-88CE2B60B7CC}"/>
    <cellStyle name="Moeda 3 2 10 2 2 5 3 4" xfId="483" xr:uid="{64913A28-0877-4117-AC21-F97B637235EB}"/>
    <cellStyle name="Moeda 3 2 10 2 2 5 3 4 2" xfId="2252" xr:uid="{B61C70E6-E156-4B80-867D-8EFCC564218C}"/>
    <cellStyle name="Moeda 3 2 10 2 2 5 3 5" xfId="385" xr:uid="{88F53275-25D9-4893-8601-DF4F88F71C91}"/>
    <cellStyle name="Moeda 3 2 10 2 2 5 3 5 2" xfId="2163" xr:uid="{D544F4B1-B805-42F6-9625-54965717D799}"/>
    <cellStyle name="Moeda 3 2 10 2 2 5 3 6" xfId="156" xr:uid="{9D2FEAC2-C72F-4705-BF9C-338CEF2FD3C0}"/>
    <cellStyle name="Moeda 3 2 10 2 2 5 3 6 2" xfId="297" xr:uid="{E6DDBFCF-0EB3-43D7-B768-3EE04A9AE159}"/>
    <cellStyle name="Moeda 3 2 10 2 2 5 3 6 2 2" xfId="868" xr:uid="{4A10DF4C-733C-4C8A-ACA1-A5E8614FE239}"/>
    <cellStyle name="Moeda 3 2 10 2 2 5 3 6 2 2 2" xfId="1360" xr:uid="{15101570-4428-47F7-B14A-AC22FE7D9BF6}"/>
    <cellStyle name="Moeda 3 2 10 2 2 5 3 6 2 2 2 2" xfId="3129" xr:uid="{DEA02E43-55BD-43C9-8FA9-6B1B037A6329}"/>
    <cellStyle name="Moeda 3 2 10 2 2 5 3 6 2 2 3" xfId="1852" xr:uid="{A19D5DA2-77F7-4BE6-A294-82416A40BA44}"/>
    <cellStyle name="Moeda 3 2 10 2 2 5 3 6 2 2 3 2" xfId="3621" xr:uid="{07B8D53B-C1CD-4F9E-9DEA-1E0AACB4C6AB}"/>
    <cellStyle name="Moeda 3 2 10 2 2 5 3 6 2 2 4" xfId="2637" xr:uid="{7A575CBA-5768-4C0D-A7F9-C0B8F090467A}"/>
    <cellStyle name="Moeda 3 2 10 2 2 5 3 6 2 3" xfId="937" xr:uid="{6209E57D-22D6-4A50-BCA6-75E7B5AB9D13}"/>
    <cellStyle name="Moeda 3 2 10 2 2 5 3 6 2 3 2" xfId="2706" xr:uid="{A479667A-A2D6-42D1-B2A9-0CE15A53545E}"/>
    <cellStyle name="Moeda 3 2 10 2 2 5 3 6 2 4" xfId="1429" xr:uid="{DD663E76-99F9-4C01-983A-003F551FC033}"/>
    <cellStyle name="Moeda 3 2 10 2 2 5 3 6 2 4 2" xfId="3198" xr:uid="{E0C066D9-9E9D-485D-A9CE-DD7B9F24AE6B}"/>
    <cellStyle name="Moeda 3 2 10 2 2 5 3 6 2 5" xfId="2076" xr:uid="{865220C5-EA6C-4DF2-9F09-3BA7EA083A9F}"/>
    <cellStyle name="Moeda 3 2 10 2 2 5 3 6 3" xfId="836" xr:uid="{1D302362-7CB2-4C4E-AE4C-A7FF30BE5E28}"/>
    <cellStyle name="Moeda 3 2 10 2 2 5 3 6 3 2" xfId="1328" xr:uid="{500B6323-AC4B-47DB-A34D-4DA1CC736694}"/>
    <cellStyle name="Moeda 3 2 10 2 2 5 3 6 3 2 2" xfId="3097" xr:uid="{D295C1AB-1B82-453B-A5C1-C77F17E9B87C}"/>
    <cellStyle name="Moeda 3 2 10 2 2 5 3 6 3 3" xfId="1820" xr:uid="{423CFD36-671F-441D-83C9-39AD3359F51A}"/>
    <cellStyle name="Moeda 3 2 10 2 2 5 3 6 3 3 2" xfId="3589" xr:uid="{ACEA7B6B-916B-443C-A961-D1171C44E1F8}"/>
    <cellStyle name="Moeda 3 2 10 2 2 5 3 6 3 4" xfId="2605" xr:uid="{681919C6-9821-45AD-8F58-F2A6FAAD5D66}"/>
    <cellStyle name="Moeda 3 2 10 2 2 5 3 6 4" xfId="681" xr:uid="{EE31FA24-67C2-4E14-882C-33C8E1677E12}"/>
    <cellStyle name="Moeda 3 2 10 2 2 5 3 6 4 2" xfId="1173" xr:uid="{EB5C8577-A101-4D34-8962-3D141444D571}"/>
    <cellStyle name="Moeda 3 2 10 2 2 5 3 6 4 2 2" xfId="2942" xr:uid="{07DB8065-66EC-4A98-B21D-673628E6B957}"/>
    <cellStyle name="Moeda 3 2 10 2 2 5 3 6 4 3" xfId="1665" xr:uid="{47793EF3-7092-42C6-A216-512192AEB055}"/>
    <cellStyle name="Moeda 3 2 10 2 2 5 3 6 4 3 2" xfId="3434" xr:uid="{58F98F45-5839-4C36-B3A1-AD748F6A7424}"/>
    <cellStyle name="Moeda 3 2 10 2 2 5 3 6 4 4" xfId="2450" xr:uid="{D97BB18E-5EE4-4815-866F-2B229F6CAE02}"/>
    <cellStyle name="Moeda 3 2 10 2 2 5 3 6 5" xfId="504" xr:uid="{34363CAC-ED2C-459D-8CBC-61B131A61AD9}"/>
    <cellStyle name="Moeda 3 2 10 2 2 5 3 6 5 2" xfId="2273" xr:uid="{596DF77C-5C71-462E-BA90-2CF6A41E32E5}"/>
    <cellStyle name="Moeda 3 2 10 2 2 5 3 6 6" xfId="437" xr:uid="{EDD00DEB-CB72-49C4-B9F1-4552FA454072}"/>
    <cellStyle name="Moeda 3 2 10 2 2 5 3 6 6 2" xfId="2215" xr:uid="{E4E46AD4-19B4-4B07-AA9D-017E76B5EA37}"/>
    <cellStyle name="Moeda 3 2 10 2 2 5 3 6 7" xfId="1014" xr:uid="{E1DD469D-7DD8-48FF-B279-5D17A81C50CD}"/>
    <cellStyle name="Moeda 3 2 10 2 2 5 3 6 7 2" xfId="2783" xr:uid="{DF44FB20-77AB-4546-9122-FF8D56D3167C}"/>
    <cellStyle name="Moeda 3 2 10 2 2 5 3 6 8" xfId="1506" xr:uid="{B0E74B91-690D-4B0D-A7A2-642AAEAEB9C4}"/>
    <cellStyle name="Moeda 3 2 10 2 2 5 3 6 8 2" xfId="3275" xr:uid="{4FFB01DB-451B-4F91-8029-537C9142C2B0}"/>
    <cellStyle name="Moeda 3 2 10 2 2 5 3 6 9" xfId="1986" xr:uid="{B7003F36-1282-4484-9374-5DC6B0CD82B4}"/>
    <cellStyle name="Moeda 3 2 10 2 2 5 3 7" xfId="998" xr:uid="{B4584366-A5AA-4905-B1EC-CCB1133618C4}"/>
    <cellStyle name="Moeda 3 2 10 2 2 5 3 7 2" xfId="2767" xr:uid="{1BEE8C32-CB03-49A0-9296-4FB29F3D8171}"/>
    <cellStyle name="Moeda 3 2 10 2 2 5 3 8" xfId="1490" xr:uid="{BCFBDE21-907C-46A7-9D58-E88E2977C607}"/>
    <cellStyle name="Moeda 3 2 10 2 2 5 3 8 2" xfId="3259" xr:uid="{6F3C72EB-86B1-48E3-8DB5-0DB7E9E17122}"/>
    <cellStyle name="Moeda 3 2 10 2 2 5 3 9" xfId="1930" xr:uid="{E5101B18-7086-4E17-BCF5-5A5126BEFCC1}"/>
    <cellStyle name="Moeda 3 2 10 2 2 5 4" xfId="1040" xr:uid="{6EBFA65A-6453-45A3-9771-6D35CD2D03BA}"/>
    <cellStyle name="Moeda 3 2 10 2 2 5 4 2" xfId="2809" xr:uid="{5F893329-A879-4707-80AF-25599A0EA8FA}"/>
    <cellStyle name="Moeda 3 2 10 2 2 5 5" xfId="1532" xr:uid="{3E1B43BE-D95C-41A9-94A0-C3841FFCC557}"/>
    <cellStyle name="Moeda 3 2 10 2 2 5 5 2" xfId="3301" xr:uid="{ABDEC30E-7CD3-4FCF-A09E-391A0DAA0599}"/>
    <cellStyle name="Moeda 3 2 10 2 2 5 6" xfId="2305" xr:uid="{3BF4FB0B-4CCF-46CE-BB92-C6ED09A36BAA}"/>
    <cellStyle name="Moeda 3 2 10 2 2 6" xfId="1574" xr:uid="{2E515C95-38F7-47B2-963E-A7EA97936212}"/>
    <cellStyle name="Moeda 3 2 10 2 2 6 2" xfId="3343" xr:uid="{B3BB87F4-6584-4DFC-BA81-3C96ED0E0487}"/>
    <cellStyle name="Moeda 3 2 10 2 2 7" xfId="2359" xr:uid="{616F58D2-BD82-4902-A01E-03E3BC1A0257}"/>
    <cellStyle name="Moeda 3 2 10 2 3" xfId="36" xr:uid="{1BBD3A60-C46C-47CA-967F-936B996F8EC2}"/>
    <cellStyle name="Moeda 3 2 10 2 3 10" xfId="1878" xr:uid="{C2473CC2-3B1B-4F10-A497-54B9B42E7FF7}"/>
    <cellStyle name="Moeda 3 2 10 2 3 15" xfId="152" xr:uid="{E33ACFBC-2229-452E-82B9-9D2DF8439700}"/>
    <cellStyle name="Moeda 3 2 10 2 3 15 2" xfId="832" xr:uid="{5F567A3A-46C9-4E8B-9DA3-33828CD80CFA}"/>
    <cellStyle name="Moeda 3 2 10 2 3 15 2 2" xfId="1324" xr:uid="{96F553B4-5E2D-4158-A53D-576BB4048F4A}"/>
    <cellStyle name="Moeda 3 2 10 2 3 15 2 2 2" xfId="3093" xr:uid="{E9F99B53-1B2B-4EBB-A9C3-A10ABE3820AE}"/>
    <cellStyle name="Moeda 3 2 10 2 3 15 2 3" xfId="1816" xr:uid="{1C87DD1C-F864-48F2-987F-B537CD4EE8B7}"/>
    <cellStyle name="Moeda 3 2 10 2 3 15 2 3 2" xfId="3585" xr:uid="{F921F95D-E191-4ED7-94F5-7F171BBD6C89}"/>
    <cellStyle name="Moeda 3 2 10 2 3 15 2 4" xfId="2601" xr:uid="{3BAB0650-DDF0-496F-887F-72BD2E3EAD06}"/>
    <cellStyle name="Moeda 3 2 10 2 3 15 3" xfId="677" xr:uid="{070F32B3-5A01-44BD-B14D-45D56BA8D89D}"/>
    <cellStyle name="Moeda 3 2 10 2 3 15 3 2" xfId="1169" xr:uid="{04F0F075-DBAC-4218-BC78-8B5E80B8E923}"/>
    <cellStyle name="Moeda 3 2 10 2 3 15 3 2 2" xfId="2938" xr:uid="{7020BC05-9D3A-4EF3-A5EC-CFF91EAFBC23}"/>
    <cellStyle name="Moeda 3 2 10 2 3 15 3 3" xfId="1661" xr:uid="{530B8FDB-70E8-4105-BF05-A466A72B328F}"/>
    <cellStyle name="Moeda 3 2 10 2 3 15 3 3 2" xfId="3430" xr:uid="{B1AF25C4-AB0F-4203-A3CA-FE91B9F718DC}"/>
    <cellStyle name="Moeda 3 2 10 2 3 15 3 4" xfId="2446" xr:uid="{FCD06376-C3A8-45C8-997E-6FD4E6BD52DD}"/>
    <cellStyle name="Moeda 3 2 10 2 3 15 4" xfId="333" xr:uid="{3E870684-E014-43DF-9A28-01B987DE004D}"/>
    <cellStyle name="Moeda 3 2 10 2 3 15 4 2" xfId="2111" xr:uid="{1498B3AD-A902-4801-ABB6-1565E3F93435}"/>
    <cellStyle name="Moeda 3 2 10 2 3 15 5" xfId="433" xr:uid="{98125A5E-7DFC-45F3-AB53-68AFD2DC54FA}"/>
    <cellStyle name="Moeda 3 2 10 2 3 15 5 2" xfId="2211" xr:uid="{A7E92434-250D-43F0-92A6-6204F8262D76}"/>
    <cellStyle name="Moeda 3 2 10 2 3 15 6" xfId="964" xr:uid="{567E43B4-C959-4943-B96B-B211331747FD}"/>
    <cellStyle name="Moeda 3 2 10 2 3 15 6 2" xfId="2733" xr:uid="{A8C30B71-6F41-4173-9C8A-8FF14D20C2CB}"/>
    <cellStyle name="Moeda 3 2 10 2 3 15 7" xfId="1456" xr:uid="{1C7A1B8A-8684-4C30-A88F-147B668E36D9}"/>
    <cellStyle name="Moeda 3 2 10 2 3 15 7 2" xfId="3225" xr:uid="{8444E96D-8166-4DE6-9321-8EBD465D53DF}"/>
    <cellStyle name="Moeda 3 2 10 2 3 15 8" xfId="1982" xr:uid="{1CF73689-E97F-4F8C-9817-6AB0013F0778}"/>
    <cellStyle name="Moeda 3 2 10 2 3 2" xfId="724" xr:uid="{53F865C0-C200-43B5-8F7F-CFCC232A4653}"/>
    <cellStyle name="Moeda 3 2 10 2 3 2 2" xfId="1216" xr:uid="{832CD140-60A3-4ED6-847A-AED4FB9B789A}"/>
    <cellStyle name="Moeda 3 2 10 2 3 2 2 2" xfId="2985" xr:uid="{D75499B0-C056-4ECB-B5B4-8AD11E72B486}"/>
    <cellStyle name="Moeda 3 2 10 2 3 2 3" xfId="1708" xr:uid="{5C157CD6-921C-445B-8816-EE54FD38E7BC}"/>
    <cellStyle name="Moeda 3 2 10 2 3 2 3 2" xfId="3477" xr:uid="{B9A400A2-9A34-4A9E-A148-E52FC5A9FEE0}"/>
    <cellStyle name="Moeda 3 2 10 2 3 2 4" xfId="2493" xr:uid="{7EE37FFB-C2C8-4A8D-9244-A3718D98351E}"/>
    <cellStyle name="Moeda 3 2 10 2 3 3" xfId="499" xr:uid="{F40FDB99-6F1B-484D-BA96-6F1578139A59}"/>
    <cellStyle name="Moeda 3 2 10 2 3 3 2" xfId="1010" xr:uid="{6B32C2C5-013A-4D5A-948D-A8D1EF4CEBB4}"/>
    <cellStyle name="Moeda 3 2 10 2 3 3 2 2" xfId="2779" xr:uid="{B3607A31-ECF4-4D19-AC36-67BE9303D1E2}"/>
    <cellStyle name="Moeda 3 2 10 2 3 3 3" xfId="1502" xr:uid="{3C978215-F3D0-4234-83EF-262A9DBB07A6}"/>
    <cellStyle name="Moeda 3 2 10 2 3 3 3 2" xfId="3271" xr:uid="{4CA4C576-9ADB-46D5-B1FD-E6BB8DF2EFF9}"/>
    <cellStyle name="Moeda 3 2 10 2 3 3 4" xfId="2268" xr:uid="{696D7BDC-C972-49B5-9B40-36F163B7D5D1}"/>
    <cellStyle name="Moeda 3 2 10 2 3 4" xfId="57" xr:uid="{11BBFB03-111F-40A8-997A-D2CD450E468D}"/>
    <cellStyle name="Moeda 3 2 10 2 3 4 2" xfId="745" xr:uid="{17188968-2454-406D-A630-38ED29DE1D84}"/>
    <cellStyle name="Moeda 3 2 10 2 3 4 2 2" xfId="1237" xr:uid="{A22DD56F-7BA5-441A-9DC0-7283703E419D}"/>
    <cellStyle name="Moeda 3 2 10 2 3 4 2 2 2" xfId="3006" xr:uid="{1EE81B46-EFFD-46C0-A980-8C55B3B3737E}"/>
    <cellStyle name="Moeda 3 2 10 2 3 4 2 3" xfId="1729" xr:uid="{96E36154-1262-4473-AE27-ACD367CC1E0F}"/>
    <cellStyle name="Moeda 3 2 10 2 3 4 2 3 2" xfId="3498" xr:uid="{5FF5019A-AFB2-481C-96E0-11C11AA46C23}"/>
    <cellStyle name="Moeda 3 2 10 2 3 4 2 4" xfId="2514" xr:uid="{65D46BA7-8B2C-4EE1-8655-D1F6391A8FEC}"/>
    <cellStyle name="Moeda 3 2 10 2 3 4 3" xfId="350" xr:uid="{6A3B5B42-6FEE-45DE-8C94-BABCD09E2ACE}"/>
    <cellStyle name="Moeda 3 2 10 2 3 4 3 2" xfId="981" xr:uid="{28628E6F-EE84-45FA-B6E8-458BDC17204A}"/>
    <cellStyle name="Moeda 3 2 10 2 3 4 3 2 2" xfId="2750" xr:uid="{C75FFA20-C313-44DF-941D-B48CDD7B5624}"/>
    <cellStyle name="Moeda 3 2 10 2 3 4 3 3" xfId="1473" xr:uid="{1936F069-17F0-42AB-B6EC-8CD4C1464D7C}"/>
    <cellStyle name="Moeda 3 2 10 2 3 4 3 3 2" xfId="3242" xr:uid="{E4CF0096-C145-468C-881D-F2195D761236}"/>
    <cellStyle name="Moeda 3 2 10 2 3 4 3 4" xfId="2128" xr:uid="{31CEA5CF-7756-4C8F-A289-56A597042704}"/>
    <cellStyle name="Moeda 3 2 10 2 3 4 4" xfId="520" xr:uid="{6EC10F22-9A78-493C-8294-CBD7707339FE}"/>
    <cellStyle name="Moeda 3 2 10 2 3 4 4 2" xfId="2289" xr:uid="{7044DA69-8EA6-4D90-B233-C87BB1E85925}"/>
    <cellStyle name="Moeda 3 2 10 2 3 4 5" xfId="255" xr:uid="{5F5011B0-2C87-480A-B5DF-121D41114B9E}"/>
    <cellStyle name="Moeda 3 2 10 2 3 4 5 2" xfId="2039" xr:uid="{F7A1D2BD-9C3D-4F3B-909E-0BDC977CA11C}"/>
    <cellStyle name="Moeda 3 2 10 2 3 4 6" xfId="93" xr:uid="{ED19E1B6-24D0-4818-A34D-B83A34A27081}"/>
    <cellStyle name="Moeda 3 2 10 2 3 4 6 10" xfId="1926" xr:uid="{97D67829-C49B-4BAA-9B90-D30F310378B8}"/>
    <cellStyle name="Moeda 3 2 10 2 3 4 6 2" xfId="121" xr:uid="{8ACB9715-C3F7-4317-8801-50BF10D6E29D}"/>
    <cellStyle name="Moeda 3 2 10 2 3 4 6 2 2" xfId="157" xr:uid="{01E968F7-F738-4CAE-9256-8B4615F97BFC}"/>
    <cellStyle name="Moeda 3 2 10 2 3 4 6 2 2 2" xfId="844" xr:uid="{BACD55FA-C4D1-48C5-81BD-52401F99E55A}"/>
    <cellStyle name="Moeda 3 2 10 2 3 4 6 2 2 2 2" xfId="1336" xr:uid="{8BDE2F8B-1C51-4427-9281-442142283B82}"/>
    <cellStyle name="Moeda 3 2 10 2 3 4 6 2 2 2 2 2" xfId="3105" xr:uid="{0CC75FB6-E1A7-48DC-9FCA-00A53FA27C7B}"/>
    <cellStyle name="Moeda 3 2 10 2 3 4 6 2 2 2 3" xfId="1828" xr:uid="{689E72E8-B6ED-4275-AE72-C273A89B919B}"/>
    <cellStyle name="Moeda 3 2 10 2 3 4 6 2 2 2 3 2" xfId="3597" xr:uid="{21FC93E6-BC48-4038-B195-98F156418097}"/>
    <cellStyle name="Moeda 3 2 10 2 3 4 6 2 2 2 4" xfId="2613" xr:uid="{0C88C234-AA0A-47B2-A5CD-47BD33D5C6D1}"/>
    <cellStyle name="Moeda 3 2 10 2 3 4 6 2 2 3" xfId="682" xr:uid="{B317B1A5-3CD3-4EBF-B599-53EBADC3E722}"/>
    <cellStyle name="Moeda 3 2 10 2 3 4 6 2 2 3 2" xfId="1174" xr:uid="{0289F5DE-DA8B-4AF9-8DA7-045E6F99FDEA}"/>
    <cellStyle name="Moeda 3 2 10 2 3 4 6 2 2 3 2 2" xfId="2943" xr:uid="{8D7833E8-B60C-4DB9-82DA-B38FFC235825}"/>
    <cellStyle name="Moeda 3 2 10 2 3 4 6 2 2 3 3" xfId="1666" xr:uid="{F03A8874-4406-4199-B830-40F0CE1CAB86}"/>
    <cellStyle name="Moeda 3 2 10 2 3 4 6 2 2 3 3 2" xfId="3435" xr:uid="{90AD50F7-B2B7-4950-A5C1-C602412BB09F}"/>
    <cellStyle name="Moeda 3 2 10 2 3 4 6 2 2 3 4" xfId="2451" xr:uid="{648EED9E-F3C2-4F2B-9AFB-AD78598BE579}"/>
    <cellStyle name="Moeda 3 2 10 2 3 4 6 2 2 4" xfId="577" xr:uid="{CD617088-3B94-4D52-ACA0-FD1C434DE22A}"/>
    <cellStyle name="Moeda 3 2 10 2 3 4 6 2 2 4 2" xfId="2346" xr:uid="{C3DEBB8F-D323-4217-8804-B3F820D882BA}"/>
    <cellStyle name="Moeda 3 2 10 2 3 4 6 2 2 5" xfId="445" xr:uid="{DF46C8FF-140E-4D4D-A5D2-C203CB75A16B}"/>
    <cellStyle name="Moeda 3 2 10 2 3 4 6 2 2 5 2" xfId="2223" xr:uid="{248373DC-8C73-47AF-B215-05AE2241CD79}"/>
    <cellStyle name="Moeda 3 2 10 2 3 4 6 2 2 6" xfId="1073" xr:uid="{2725D5F0-E524-49AB-8448-1B6472469A88}"/>
    <cellStyle name="Moeda 3 2 10 2 3 4 6 2 2 6 2" xfId="2842" xr:uid="{C028A049-9EC3-4E3C-9774-86D1804BB0BE}"/>
    <cellStyle name="Moeda 3 2 10 2 3 4 6 2 2 7" xfId="1565" xr:uid="{97D2A24F-331C-4F3F-B034-2F7AE0EB16A4}"/>
    <cellStyle name="Moeda 3 2 10 2 3 4 6 2 2 7 2" xfId="3334" xr:uid="{38717E12-A560-495C-9D9F-E2F4775B38BB}"/>
    <cellStyle name="Moeda 3 2 10 2 3 4 6 2 2 8" xfId="1987" xr:uid="{CAA33B56-FF44-4BE7-B280-2DB9852E9ACB}"/>
    <cellStyle name="Moeda 3 2 10 2 3 4 6 2 3" xfId="800" xr:uid="{D29CEE40-41B0-44A5-9CCB-1A8C41D13168}"/>
    <cellStyle name="Moeda 3 2 10 2 3 4 6 2 3 2" xfId="1292" xr:uid="{32A0703D-839B-41DA-AA7D-09D0815F58CF}"/>
    <cellStyle name="Moeda 3 2 10 2 3 4 6 2 3 2 2" xfId="3061" xr:uid="{9F240D74-4A0C-46AB-8B6D-87237F1E8D59}"/>
    <cellStyle name="Moeda 3 2 10 2 3 4 6 2 3 3" xfId="1784" xr:uid="{46342917-43BC-43FA-A2A1-7176B803F9CF}"/>
    <cellStyle name="Moeda 3 2 10 2 3 4 6 2 3 3 2" xfId="3553" xr:uid="{63B774EC-21C5-4346-ADA1-706A0E7B8722}"/>
    <cellStyle name="Moeda 3 2 10 2 3 4 6 2 3 4" xfId="2569" xr:uid="{166AF0F2-5837-46CC-A287-06F8F3E26BE6}"/>
    <cellStyle name="Moeda 3 2 10 2 3 4 6 2 4" xfId="647" xr:uid="{1D761273-F647-4163-A052-7C8D12C3F4B9}"/>
    <cellStyle name="Moeda 3 2 10 2 3 4 6 2 4 2" xfId="1139" xr:uid="{8C62C407-0BFA-47A4-B781-F349CE6D58E1}"/>
    <cellStyle name="Moeda 3 2 10 2 3 4 6 2 4 2 2" xfId="2908" xr:uid="{382C89FD-17D3-4E06-B572-5314A3477340}"/>
    <cellStyle name="Moeda 3 2 10 2 3 4 6 2 4 3" xfId="1631" xr:uid="{3A30FA27-2D8C-4D53-A0D3-B02F692F4BEA}"/>
    <cellStyle name="Moeda 3 2 10 2 3 4 6 2 4 3 2" xfId="3400" xr:uid="{F54A7C53-5176-40A0-A360-1FBE06CE9063}"/>
    <cellStyle name="Moeda 3 2 10 2 3 4 6 2 4 4" xfId="2416" xr:uid="{D77BB832-4A67-49E4-BCB0-516E76284081}"/>
    <cellStyle name="Moeda 3 2 10 2 3 4 6 2 5" xfId="553" xr:uid="{76030FE1-FC76-4BFE-A13A-FB57684D3FC0}"/>
    <cellStyle name="Moeda 3 2 10 2 3 4 6 2 5 2" xfId="2322" xr:uid="{AA332285-BFB0-455D-B8AF-B4C0E4EB7749}"/>
    <cellStyle name="Moeda 3 2 10 2 3 4 6 2 6" xfId="402" xr:uid="{E2FF7F95-CDB6-4BF4-99D2-2AE3CA8182A2}"/>
    <cellStyle name="Moeda 3 2 10 2 3 4 6 2 6 2" xfId="2180" xr:uid="{E1E92A2C-284A-47B8-BD12-A8CFA0C76AB9}"/>
    <cellStyle name="Moeda 3 2 10 2 3 4 6 2 7" xfId="1052" xr:uid="{A940AD2C-3998-4063-988F-87DB3FFAF344}"/>
    <cellStyle name="Moeda 3 2 10 2 3 4 6 2 7 2" xfId="2821" xr:uid="{0C278A3C-5C34-42D3-B29E-A5FD4700586F}"/>
    <cellStyle name="Moeda 3 2 10 2 3 4 6 2 8" xfId="1544" xr:uid="{E2A0F76E-EEB2-44AD-9FB3-959BCD10AC56}"/>
    <cellStyle name="Moeda 3 2 10 2 3 4 6 2 8 2" xfId="3313" xr:uid="{D6B9AFF6-8E7C-455F-BB04-0F43ACE7BA02}"/>
    <cellStyle name="Moeda 3 2 10 2 3 4 6 2 9" xfId="1952" xr:uid="{8AF7A0B5-B81B-4E2E-952A-81EF1E21EE97}"/>
    <cellStyle name="Moeda 3 2 10 2 3 4 6 3" xfId="117" xr:uid="{502D8688-0805-474D-959E-62BB2AD6ED04}"/>
    <cellStyle name="Moeda 3 2 10 2 3 4 6 3 2" xfId="151" xr:uid="{2244E3B5-1890-4CA6-B5C0-D50736FBFC74}"/>
    <cellStyle name="Moeda 3 2 10 2 3 4 6 3 2 2" xfId="831" xr:uid="{004C52B5-8975-4502-8C07-928F4FC8688C}"/>
    <cellStyle name="Moeda 3 2 10 2 3 4 6 3 2 2 2" xfId="336" xr:uid="{2C49A4A6-BEFF-4D2E-980C-883FCCF4FF9C}"/>
    <cellStyle name="Moeda 3 2 10 2 3 4 6 3 2 2 2 2" xfId="967" xr:uid="{23DE84EF-D58D-44F4-853F-A2AA6EAB96F4}"/>
    <cellStyle name="Moeda 3 2 10 2 3 4 6 3 2 2 2 2 2" xfId="2736" xr:uid="{EC76ED33-A0DF-4D9C-893B-06268FDAABFC}"/>
    <cellStyle name="Moeda 3 2 10 2 3 4 6 3 2 2 2 3" xfId="1459" xr:uid="{3FD60C07-AABE-41F8-B306-5189CBDC6B06}"/>
    <cellStyle name="Moeda 3 2 10 2 3 4 6 3 2 2 2 3 2" xfId="3228" xr:uid="{E8E52CBC-8EBD-4B7E-A0B4-5D2942CC6F3C}"/>
    <cellStyle name="Moeda 3 2 10 2 3 4 6 3 2 2 2 4" xfId="2114" xr:uid="{5E8542F9-0975-4614-B633-246B1B6AF6BC}"/>
    <cellStyle name="Moeda 3 2 10 2 3 4 6 3 2 2 2 5" xfId="3643" xr:uid="{20EEB0D0-186C-4C5E-8BF8-EE3DC01D51EE}"/>
    <cellStyle name="Moeda 3 2 10 2 3 4 6 3 2 2 3" xfId="1323" xr:uid="{36205B6D-9923-4922-99A3-395096377C87}"/>
    <cellStyle name="Moeda 3 2 10 2 3 4 6 3 2 2 3 2" xfId="3092" xr:uid="{54A2F24F-14EB-4E8A-9BAF-22D5294E9716}"/>
    <cellStyle name="Moeda 3 2 10 2 3 4 6 3 2 2 4" xfId="1815" xr:uid="{631F63E9-BC0E-464D-952B-B578E937D3CB}"/>
    <cellStyle name="Moeda 3 2 10 2 3 4 6 3 2 2 4 2" xfId="3584" xr:uid="{A7BBFA1D-A7AD-43DF-B416-036EBDF73EFF}"/>
    <cellStyle name="Moeda 3 2 10 2 3 4 6 3 2 2 5" xfId="2600" xr:uid="{B6C5A0F4-ECEA-48AF-8BA7-FFF0E597E460}"/>
    <cellStyle name="Moeda 3 2 10 2 3 4 6 3 2 3" xfId="676" xr:uid="{3F6C065B-08C8-4D86-A404-F89A67F56A2D}"/>
    <cellStyle name="Moeda 3 2 10 2 3 4 6 3 2 3 2" xfId="1168" xr:uid="{7E65E792-F363-45F3-9531-311DB2350B02}"/>
    <cellStyle name="Moeda 3 2 10 2 3 4 6 3 2 3 2 2" xfId="2937" xr:uid="{21D746BD-C29C-410E-9664-CE2F86BC8D93}"/>
    <cellStyle name="Moeda 3 2 10 2 3 4 6 3 2 3 3" xfId="1660" xr:uid="{8B4E8EC2-43B0-4431-B5DD-B11CF7707BED}"/>
    <cellStyle name="Moeda 3 2 10 2 3 4 6 3 2 3 3 2" xfId="3429" xr:uid="{446AC0F5-94BF-4B73-BDC2-DC280FE228A8}"/>
    <cellStyle name="Moeda 3 2 10 2 3 4 6 3 2 3 4" xfId="2445" xr:uid="{D67B111D-FA3D-41B7-8EF1-C7EC81610386}"/>
    <cellStyle name="Moeda 3 2 10 2 3 4 6 3 2 4" xfId="478" xr:uid="{1026DFC3-D985-43E4-952F-2509BE09795A}"/>
    <cellStyle name="Moeda 3 2 10 2 3 4 6 3 2 4 2" xfId="2247" xr:uid="{99539757-66B5-476B-8AFF-2E6A0477AB08}"/>
    <cellStyle name="Moeda 3 2 10 2 3 4 6 3 2 5" xfId="432" xr:uid="{F5D5D828-D10F-43C4-BD34-907F9F571E35}"/>
    <cellStyle name="Moeda 3 2 10 2 3 4 6 3 2 5 2" xfId="2210" xr:uid="{FC59183E-4B95-450C-A264-B9D598720F9E}"/>
    <cellStyle name="Moeda 3 2 10 2 3 4 6 3 2 6" xfId="994" xr:uid="{B274223D-57FD-4457-B621-8D255E6C0AFA}"/>
    <cellStyle name="Moeda 3 2 10 2 3 4 6 3 2 6 2" xfId="2763" xr:uid="{96445063-46A6-47B9-9C80-7B3768B9EEF9}"/>
    <cellStyle name="Moeda 3 2 10 2 3 4 6 3 2 7" xfId="1486" xr:uid="{6BAE1819-2A78-44C2-B7B8-0493E01796CF}"/>
    <cellStyle name="Moeda 3 2 10 2 3 4 6 3 2 7 2" xfId="3255" xr:uid="{F1664940-E43D-4295-AFD7-440E87945DDA}"/>
    <cellStyle name="Moeda 3 2 10 2 3 4 6 3 2 8" xfId="1981" xr:uid="{A2096E6E-5778-4F68-BAA7-09D18D60A18C}"/>
    <cellStyle name="Moeda 3 2 10 2 3 4 6 3 3" xfId="797" xr:uid="{337044EE-1090-4D30-99A0-9D29A86F000A}"/>
    <cellStyle name="Moeda 3 2 10 2 3 4 6 3 3 2" xfId="1289" xr:uid="{892E03B3-D364-4FBF-A85F-A64DDA9A04C7}"/>
    <cellStyle name="Moeda 3 2 10 2 3 4 6 3 3 2 2" xfId="3058" xr:uid="{0EC62EEA-9796-42ED-8AAF-F4F584F17952}"/>
    <cellStyle name="Moeda 3 2 10 2 3 4 6 3 3 3" xfId="1781" xr:uid="{F91F030E-0E1A-4F46-A995-860241A7838A}"/>
    <cellStyle name="Moeda 3 2 10 2 3 4 6 3 3 3 2" xfId="3550" xr:uid="{018914C0-94D3-4E89-8E6F-D8A1A40CC38C}"/>
    <cellStyle name="Moeda 3 2 10 2 3 4 6 3 3 4" xfId="2566" xr:uid="{0881655E-D908-4F14-992D-E7B0E0409E99}"/>
    <cellStyle name="Moeda 3 2 10 2 3 4 6 3 4" xfId="644" xr:uid="{1392F00F-01CF-4091-81D8-24B9E3DFFE09}"/>
    <cellStyle name="Moeda 3 2 10 2 3 4 6 3 4 2" xfId="1136" xr:uid="{3FCCC411-499E-4323-8849-1BE9FED16B7E}"/>
    <cellStyle name="Moeda 3 2 10 2 3 4 6 3 4 2 2" xfId="2905" xr:uid="{9E0D1309-4A28-4A85-BFA7-1F0B08A80334}"/>
    <cellStyle name="Moeda 3 2 10 2 3 4 6 3 4 3" xfId="1628" xr:uid="{4C3B7D65-0028-4F74-AD36-D4B7D51A0507}"/>
    <cellStyle name="Moeda 3 2 10 2 3 4 6 3 4 3 2" xfId="3397" xr:uid="{92E65A42-251A-4AED-8344-A7C27E34BF4C}"/>
    <cellStyle name="Moeda 3 2 10 2 3 4 6 3 4 4" xfId="2413" xr:uid="{200BF25F-8B61-40B2-A184-9364843FCEDE}"/>
    <cellStyle name="Moeda 3 2 10 2 3 4 6 3 5" xfId="493" xr:uid="{3B426F4A-AAAA-4E94-9AB8-50250C45E7C1}"/>
    <cellStyle name="Moeda 3 2 10 2 3 4 6 3 5 2" xfId="2262" xr:uid="{F758BCE2-F5A0-45D3-98E1-8C1B887C9DA5}"/>
    <cellStyle name="Moeda 3 2 10 2 3 4 6 3 6" xfId="399" xr:uid="{38715B94-7A68-43B6-86DB-00BE7DC6D821}"/>
    <cellStyle name="Moeda 3 2 10 2 3 4 6 3 6 2" xfId="2177" xr:uid="{D1A041A8-4E72-4F52-9DF6-38637030849F}"/>
    <cellStyle name="Moeda 3 2 10 2 3 4 6 3 7" xfId="1005" xr:uid="{A6253B9B-928B-4C63-A1BA-BF4B141AF3CC}"/>
    <cellStyle name="Moeda 3 2 10 2 3 4 6 3 7 2" xfId="2774" xr:uid="{633A5797-0510-4077-B349-D3C34451B58C}"/>
    <cellStyle name="Moeda 3 2 10 2 3 4 6 3 8" xfId="1497" xr:uid="{A8F2CDF3-CDB2-4B7B-8DFC-46AE23D4D977}"/>
    <cellStyle name="Moeda 3 2 10 2 3 4 6 3 8 2" xfId="3266" xr:uid="{B516DFD1-0732-41C3-94A1-A6F51AE12141}"/>
    <cellStyle name="Moeda 3 2 10 2 3 4 6 3 9" xfId="1949" xr:uid="{A682AF28-1319-4212-AE1A-556B9CE45CA9}"/>
    <cellStyle name="Moeda 3 2 10 2 3 4 6 4" xfId="774" xr:uid="{4C5BC7B3-93EC-40E3-BACC-7A9F28983F8E}"/>
    <cellStyle name="Moeda 3 2 10 2 3 4 6 4 2" xfId="1266" xr:uid="{B6D61E82-D8B1-48A0-85CD-2F3776F6FEDB}"/>
    <cellStyle name="Moeda 3 2 10 2 3 4 6 4 2 2" xfId="3035" xr:uid="{526C8E87-3FAC-423B-8E94-16CDA74A8FE4}"/>
    <cellStyle name="Moeda 3 2 10 2 3 4 6 4 3" xfId="1758" xr:uid="{7E8AB6DE-B1F9-4D98-8228-DA788956C675}"/>
    <cellStyle name="Moeda 3 2 10 2 3 4 6 4 3 2" xfId="3527" xr:uid="{E67DE355-AD7F-49A4-BA97-7906C16C8E8A}"/>
    <cellStyle name="Moeda 3 2 10 2 3 4 6 4 4" xfId="2543" xr:uid="{3B24A7AB-C67C-4801-B381-5078A2977DFF}"/>
    <cellStyle name="Moeda 3 2 10 2 3 4 6 5" xfId="621" xr:uid="{D0E1289B-0555-45B6-8856-7B1B09835BAC}"/>
    <cellStyle name="Moeda 3 2 10 2 3 4 6 5 2" xfId="1113" xr:uid="{F585DB4D-1B8E-4EBB-9909-42AA5194918A}"/>
    <cellStyle name="Moeda 3 2 10 2 3 4 6 5 2 2" xfId="2882" xr:uid="{B5BD48DA-02BE-4E83-B9A9-73BFFB4DA71C}"/>
    <cellStyle name="Moeda 3 2 10 2 3 4 6 5 3" xfId="1605" xr:uid="{09F7B312-0DA9-47DB-AC08-00E358E6C957}"/>
    <cellStyle name="Moeda 3 2 10 2 3 4 6 5 3 2" xfId="3374" xr:uid="{62149536-C1F9-4213-9CC8-DFAEA90D97F6}"/>
    <cellStyle name="Moeda 3 2 10 2 3 4 6 5 4" xfId="2390" xr:uid="{34FCB491-5D13-4F60-ABAB-1E8DF8BC5612}"/>
    <cellStyle name="Moeda 3 2 10 2 3 4 6 6" xfId="307" xr:uid="{40C1EA24-08F9-49FD-9518-1357DB6589EF}"/>
    <cellStyle name="Moeda 3 2 10 2 3 4 6 6 2" xfId="2085" xr:uid="{81D611E6-A586-4706-8385-443F1145412D}"/>
    <cellStyle name="Moeda 3 2 10 2 3 4 6 7" xfId="376" xr:uid="{0F6788A8-CE79-450A-82E7-C7ED1F88A63B}"/>
    <cellStyle name="Moeda 3 2 10 2 3 4 6 7 2" xfId="2154" xr:uid="{3339E44D-83E4-4BA3-83D6-A81C0D76195E}"/>
    <cellStyle name="Moeda 3 2 10 2 3 4 6 8" xfId="943" xr:uid="{4C76567F-30A6-45FE-B5B3-330B4DDF1111}"/>
    <cellStyle name="Moeda 3 2 10 2 3 4 6 8 2" xfId="2712" xr:uid="{25FEEF7D-F273-448E-B767-FA40157AA374}"/>
    <cellStyle name="Moeda 3 2 10 2 3 4 6 9" xfId="1435" xr:uid="{AEC3D78C-0769-4F34-87E6-837885355D41}"/>
    <cellStyle name="Moeda 3 2 10 2 3 4 6 9 2" xfId="3204" xr:uid="{F0337F7A-57E2-44F0-970C-8A9B55A42921}"/>
    <cellStyle name="Moeda 3 2 10 2 3 4 7" xfId="903" xr:uid="{2798D540-22C1-4918-B145-07091EFE67D6}"/>
    <cellStyle name="Moeda 3 2 10 2 3 4 7 2" xfId="2672" xr:uid="{DAFFA1F0-E05E-4798-B5CD-09A830D52238}"/>
    <cellStyle name="Moeda 3 2 10 2 3 4 8" xfId="1395" xr:uid="{AC7D2DEC-D6C9-41A7-947B-47E4E994A1DA}"/>
    <cellStyle name="Moeda 3 2 10 2 3 4 8 2" xfId="3164" xr:uid="{EE4EB73F-DD61-4A91-829D-B02DB7EE9517}"/>
    <cellStyle name="Moeda 3 2 10 2 3 4 9" xfId="1898" xr:uid="{CF9C2880-79C5-431F-B43C-C85B9CB0738B}"/>
    <cellStyle name="Moeda 3 2 10 2 3 5" xfId="280" xr:uid="{41B694E2-9CC1-4B0C-BC47-14BCAF0C2B3A}"/>
    <cellStyle name="Moeda 3 2 10 2 3 5 2" xfId="2064" xr:uid="{59728042-DD39-423F-8528-7426ACCA0E53}"/>
    <cellStyle name="Moeda 3 2 10 2 3 6" xfId="235" xr:uid="{A7CDC125-5ADE-4EF4-934E-2C371A136E67}"/>
    <cellStyle name="Moeda 3 2 10 2 3 6 2" xfId="2019" xr:uid="{D381B13E-8DFD-4F06-A3F1-1D554FE8DC05}"/>
    <cellStyle name="Moeda 3 2 10 2 3 7" xfId="883" xr:uid="{D2D686B4-6CF4-4743-86ED-D2681A6FAC3E}"/>
    <cellStyle name="Moeda 3 2 10 2 3 7 2" xfId="2652" xr:uid="{56DDBB35-1ED5-4354-9065-DDCDC3830C52}"/>
    <cellStyle name="Moeda 3 2 10 2 3 8" xfId="1375" xr:uid="{9993C47F-CD70-414E-B50F-1F377B3B5DD7}"/>
    <cellStyle name="Moeda 3 2 10 2 3 8 2" xfId="3144" xr:uid="{A1686FF3-4610-435C-9CD7-BCCDFE84E0AC}"/>
    <cellStyle name="Moeda 3 2 10 2 3 9" xfId="97" xr:uid="{2299D66E-05BD-40F4-948B-A7D2EBE29C7D}"/>
    <cellStyle name="Moeda 3 2 10 2 3 9 2" xfId="778" xr:uid="{B68DEB74-E999-4856-A3EA-5CDDD968CF88}"/>
    <cellStyle name="Moeda 3 2 10 2 3 9 2 2" xfId="1270" xr:uid="{4D7EAD3A-6413-424E-BECD-0BECFCE2FA2F}"/>
    <cellStyle name="Moeda 3 2 10 2 3 9 2 2 2" xfId="3039" xr:uid="{727C3BC2-078B-4C61-B07C-01CAE3836640}"/>
    <cellStyle name="Moeda 3 2 10 2 3 9 2 3" xfId="1762" xr:uid="{AFC254BC-B513-4EA2-BDE5-44E2BC7DB9CC}"/>
    <cellStyle name="Moeda 3 2 10 2 3 9 2 3 2" xfId="3531" xr:uid="{EDAA3453-4BDD-4C61-AD11-7F6A933A869C}"/>
    <cellStyle name="Moeda 3 2 10 2 3 9 2 4" xfId="2547" xr:uid="{C681AB1F-9641-421D-8F53-47B107C5BB9C}"/>
    <cellStyle name="Moeda 3 2 10 2 3 9 3" xfId="118" xr:uid="{7B4F6824-2500-41D0-9D96-5D59C610B376}"/>
    <cellStyle name="Moeda 3 2 10 2 3 9 3 2" xfId="798" xr:uid="{94CF6D1F-25D4-4B51-8643-13815436BD3D}"/>
    <cellStyle name="Moeda 3 2 10 2 3 9 3 2 2" xfId="1290" xr:uid="{6FAD847F-BC9A-4901-90C8-DC1502C6187F}"/>
    <cellStyle name="Moeda 3 2 10 2 3 9 3 2 2 2" xfId="3059" xr:uid="{93E2C5EF-6E09-49B8-8E94-E7CCC72400FC}"/>
    <cellStyle name="Moeda 3 2 10 2 3 9 3 2 3" xfId="1782" xr:uid="{31047D52-0708-4DC2-A220-36D5AB0C39E9}"/>
    <cellStyle name="Moeda 3 2 10 2 3 9 3 2 3 2" xfId="3551" xr:uid="{EFB0B7DC-3782-434F-9819-E3445E4E535C}"/>
    <cellStyle name="Moeda 3 2 10 2 3 9 3 2 4" xfId="2567" xr:uid="{A20DB322-9095-413E-9281-25C5E864819A}"/>
    <cellStyle name="Moeda 3 2 10 2 3 9 3 3" xfId="645" xr:uid="{5AFA5A02-7C6C-436D-8B39-245C0E41CC2A}"/>
    <cellStyle name="Moeda 3 2 10 2 3 9 3 3 2" xfId="1137" xr:uid="{E14C4109-5CEF-4A7F-965E-0031A2DD1FBD}"/>
    <cellStyle name="Moeda 3 2 10 2 3 9 3 3 2 2" xfId="2906" xr:uid="{65FE1EAB-49A5-470A-AA1C-427E2FE5DACD}"/>
    <cellStyle name="Moeda 3 2 10 2 3 9 3 3 3" xfId="1629" xr:uid="{837EC337-1F76-4609-A010-3015D8E18C14}"/>
    <cellStyle name="Moeda 3 2 10 2 3 9 3 3 3 2" xfId="3398" xr:uid="{493B935F-0E5D-4273-89E1-5503D55BE0A2}"/>
    <cellStyle name="Moeda 3 2 10 2 3 9 3 3 4" xfId="2414" xr:uid="{2CDFBA15-B85E-41E5-AF27-123A50A6099F}"/>
    <cellStyle name="Moeda 3 2 10 2 3 9 3 4" xfId="148" xr:uid="{E9A78D6E-42D9-490C-8EEE-FC18567D95E0}"/>
    <cellStyle name="Moeda 3 2 10 2 3 9 3 4 2" xfId="830" xr:uid="{23B04C29-03E5-4065-8FF3-C5BC303B9C4E}"/>
    <cellStyle name="Moeda 3 2 10 2 3 9 3 4 2 2" xfId="1322" xr:uid="{DBEDC3CD-A145-4E44-8CE4-BF4865AD8403}"/>
    <cellStyle name="Moeda 3 2 10 2 3 9 3 4 2 2 2" xfId="3091" xr:uid="{04FA6D7B-E4F7-4082-B989-9A3E4D74046D}"/>
    <cellStyle name="Moeda 3 2 10 2 3 9 3 4 2 3" xfId="1814" xr:uid="{BB06AC39-705E-4CF9-BFE8-3155367C7612}"/>
    <cellStyle name="Moeda 3 2 10 2 3 9 3 4 2 3 2" xfId="3583" xr:uid="{04785EA3-B96A-48D2-9ADE-3D613809E841}"/>
    <cellStyle name="Moeda 3 2 10 2 3 9 3 4 2 4" xfId="2599" xr:uid="{2CE962C3-E8E3-4E01-84D8-E3D43E05250D}"/>
    <cellStyle name="Moeda 3 2 10 2 3 9 3 4 3" xfId="673" xr:uid="{F0B51287-D604-4555-A674-79457EF59129}"/>
    <cellStyle name="Moeda 3 2 10 2 3 9 3 4 3 2" xfId="1165" xr:uid="{12644890-3BCD-4944-8F0A-137DF4311BAB}"/>
    <cellStyle name="Moeda 3 2 10 2 3 9 3 4 3 2 2" xfId="2934" xr:uid="{96D859F4-0131-4EBC-98BF-381ADE3911A1}"/>
    <cellStyle name="Moeda 3 2 10 2 3 9 3 4 3 3" xfId="1657" xr:uid="{A19FCC7C-55D4-43CD-ADA8-EE5CD635C283}"/>
    <cellStyle name="Moeda 3 2 10 2 3 9 3 4 3 3 2" xfId="3426" xr:uid="{EFCD53BD-98EC-4D2E-87ED-C5C8E42308F6}"/>
    <cellStyle name="Moeda 3 2 10 2 3 9 3 4 3 4" xfId="2442" xr:uid="{494C4500-AD1F-47AB-9501-0D18EE3A770A}"/>
    <cellStyle name="Moeda 3 2 10 2 3 9 3 4 4" xfId="509" xr:uid="{F41E3D4A-7255-4603-AC15-9CB5F29494D5}"/>
    <cellStyle name="Moeda 3 2 10 2 3 9 3 4 4 2" xfId="2278" xr:uid="{E3CDE6DC-64CE-4CD5-8210-36E05BD0B8A7}"/>
    <cellStyle name="Moeda 3 2 10 2 3 9 3 4 5" xfId="431" xr:uid="{FE5B2582-93EA-4BEE-95D1-B49300E49828}"/>
    <cellStyle name="Moeda 3 2 10 2 3 9 3 4 5 2" xfId="2209" xr:uid="{7B7897ED-9717-483C-A1D6-7BC6EB242765}"/>
    <cellStyle name="Moeda 3 2 10 2 3 9 3 4 6" xfId="1019" xr:uid="{9BFA411C-F967-4B8C-87B0-23D42F69F701}"/>
    <cellStyle name="Moeda 3 2 10 2 3 9 3 4 6 2" xfId="2788" xr:uid="{1B469696-E310-4B64-98EA-4CDDEB3C912F}"/>
    <cellStyle name="Moeda 3 2 10 2 3 9 3 4 7" xfId="1511" xr:uid="{F3726DD0-1AE5-4E1C-A2BA-7DBA52FAD74D}"/>
    <cellStyle name="Moeda 3 2 10 2 3 9 3 4 7 2" xfId="3280" xr:uid="{DB7F60C6-6816-4554-814B-AADF8E8D0578}"/>
    <cellStyle name="Moeda 3 2 10 2 3 9 3 4 8" xfId="1978" xr:uid="{6CB3AEC7-48C2-4D95-B74C-6D465F8E9C1F}"/>
    <cellStyle name="Moeda 3 2 10 2 3 9 3 5" xfId="271" xr:uid="{EA1E1288-B15C-4445-AC5A-4AFB631ACA17}"/>
    <cellStyle name="Moeda 3 2 10 2 3 9 3 5 2" xfId="2055" xr:uid="{807DC063-FC90-4D5A-87CB-C16EC08A82D8}"/>
    <cellStyle name="Moeda 3 2 10 2 3 9 3 6" xfId="400" xr:uid="{21263FEF-3146-4DB8-8048-E8BABFB103C4}"/>
    <cellStyle name="Moeda 3 2 10 2 3 9 3 6 2" xfId="2178" xr:uid="{DF64D989-57D0-472E-A8D5-F424EA6C8EBF}"/>
    <cellStyle name="Moeda 3 2 10 2 3 9 3 7" xfId="918" xr:uid="{9EA0EE94-991E-4446-BF51-60C865761C1D}"/>
    <cellStyle name="Moeda 3 2 10 2 3 9 3 7 2" xfId="2687" xr:uid="{8CD05741-932B-4D2E-AC59-162F448758C4}"/>
    <cellStyle name="Moeda 3 2 10 2 3 9 3 8" xfId="1410" xr:uid="{24DF4288-4FF8-485F-8289-48E23BA72284}"/>
    <cellStyle name="Moeda 3 2 10 2 3 9 3 8 2" xfId="3179" xr:uid="{BCA5CDE2-B79A-42E7-BE24-DD466DFD1D65}"/>
    <cellStyle name="Moeda 3 2 10 2 3 9 3 9" xfId="1950" xr:uid="{799D7B6B-EB7C-4A79-92A0-7A1F43F7F943}"/>
    <cellStyle name="Moeda 3 2 10 2 3 9 4" xfId="624" xr:uid="{D8713F86-65EA-472E-A477-119B59E52B11}"/>
    <cellStyle name="Moeda 3 2 10 2 3 9 4 2" xfId="1116" xr:uid="{1335BD82-8B41-40E3-B8FE-82DAE5324418}"/>
    <cellStyle name="Moeda 3 2 10 2 3 9 4 2 2" xfId="2885" xr:uid="{D120B591-2638-40DF-A84C-C70CD8A060BD}"/>
    <cellStyle name="Moeda 3 2 10 2 3 9 4 3" xfId="1608" xr:uid="{EFE826E7-549E-4F4D-8CA6-024ED3CEE9C7}"/>
    <cellStyle name="Moeda 3 2 10 2 3 9 4 3 2" xfId="3377" xr:uid="{8C02CEFD-E4A9-4E9F-9280-CD15A0BF7E22}"/>
    <cellStyle name="Moeda 3 2 10 2 3 9 4 4" xfId="2393" xr:uid="{3A3EB6C0-8E46-4F0A-8AAA-C5089B35451A}"/>
    <cellStyle name="Moeda 3 2 10 2 3 9 5" xfId="268" xr:uid="{4DE16347-82C5-49E1-AA0C-15E403B2A538}"/>
    <cellStyle name="Moeda 3 2 10 2 3 9 5 2" xfId="2052" xr:uid="{78004F2E-3B33-4BBA-A7E4-FD208D52347B}"/>
    <cellStyle name="Moeda 3 2 10 2 3 9 6" xfId="380" xr:uid="{E146BEF0-927A-4E35-9C77-02AE4E051ED4}"/>
    <cellStyle name="Moeda 3 2 10 2 3 9 6 2" xfId="2158" xr:uid="{2DC881B3-32A0-4A55-8279-760FBF4AB66C}"/>
    <cellStyle name="Moeda 3 2 10 2 3 9 7" xfId="915" xr:uid="{C2F46CCE-C3D7-45DD-8B33-796B090C41ED}"/>
    <cellStyle name="Moeda 3 2 10 2 3 9 7 2" xfId="2684" xr:uid="{D6290C20-014F-4C8E-9571-08D4E1C5C720}"/>
    <cellStyle name="Moeda 3 2 10 2 3 9 8" xfId="1407" xr:uid="{64ED8D4B-CF22-4378-BB3B-45B680DB4152}"/>
    <cellStyle name="Moeda 3 2 10 2 3 9 8 2" xfId="3176" xr:uid="{9E12E590-4A49-4E05-9758-79AE48567054}"/>
    <cellStyle name="Moeda 3 2 10 2 3 9 9" xfId="1929" xr:uid="{AC787D87-EDF3-4E0B-ACD8-79ADD668C8F3}"/>
    <cellStyle name="Moeda 3 2 10 2 4" xfId="715" xr:uid="{9B863B4F-8503-45B3-96AE-8163F260E05C}"/>
    <cellStyle name="Moeda 3 2 10 2 4 2" xfId="1207" xr:uid="{7F112282-194C-4CBC-A6FA-33D51A482C8C}"/>
    <cellStyle name="Moeda 3 2 10 2 4 2 2" xfId="2976" xr:uid="{3EAE4D85-11AB-4684-8A62-E3C996197934}"/>
    <cellStyle name="Moeda 3 2 10 2 4 3" xfId="1699" xr:uid="{FD9D5679-16C8-47D1-A71D-38AEA558F813}"/>
    <cellStyle name="Moeda 3 2 10 2 4 3 2" xfId="3468" xr:uid="{78838FC8-2136-450B-ACB3-F0D6D889DE57}"/>
    <cellStyle name="Moeda 3 2 10 2 4 4" xfId="2484" xr:uid="{7E46F0DA-2CF1-41A6-B4D3-323605945478}"/>
    <cellStyle name="Moeda 3 2 10 2 5" xfId="1092" xr:uid="{1153A8AF-D343-453F-B2D5-E61404333143}"/>
    <cellStyle name="Moeda 3 2 10 2 5 2" xfId="2861" xr:uid="{083D169D-4A3E-4BB4-843B-DF9199FBF16E}"/>
    <cellStyle name="Moeda 3 2 10 2 6" xfId="1584" xr:uid="{6F81388E-EBA5-4858-8603-E46972B5FCCB}"/>
    <cellStyle name="Moeda 3 2 10 2 6 2" xfId="3353" xr:uid="{8B522360-6C24-4C72-914F-00FF115891BA}"/>
    <cellStyle name="Moeda 3 2 10 2 7" xfId="2369" xr:uid="{5648E6D9-E03B-4B12-941B-56CA437DFCE0}"/>
    <cellStyle name="Moeda 3 2 10 3" xfId="155" xr:uid="{14F2ED15-AEBC-4A17-9C5B-48ACB2FA9874}"/>
    <cellStyle name="Moeda 3 2 10 3 2" xfId="838" xr:uid="{25B53DCD-18B6-4E5F-AB41-E82A55FB20BC}"/>
    <cellStyle name="Moeda 3 2 10 3 2 2" xfId="340" xr:uid="{24C63131-F462-4354-839D-E9D0BD9D3767}"/>
    <cellStyle name="Moeda 3 2 10 3 2 2 2" xfId="971" xr:uid="{E258FA3D-C2E6-4C43-BA4E-7B54943B49B8}"/>
    <cellStyle name="Moeda 3 2 10 3 2 2 2 2" xfId="2740" xr:uid="{192C0A18-DD4D-48AF-AFFA-82D6C1FD5424}"/>
    <cellStyle name="Moeda 3 2 10 3 2 2 3" xfId="1463" xr:uid="{8FEB21D5-105E-45D7-A9CC-0C738578880E}"/>
    <cellStyle name="Moeda 3 2 10 3 2 2 3 2" xfId="3232" xr:uid="{F79A7FA6-32BA-4123-A973-5CD086E16A07}"/>
    <cellStyle name="Moeda 3 2 10 3 2 2 4" xfId="2118" xr:uid="{64A0DFCF-74BF-48DA-8F10-55A5DCE6BE83}"/>
    <cellStyle name="Moeda 3 2 10 3 2 3" xfId="1330" xr:uid="{AEFDC5DC-A14D-4E0E-98B1-A4519C5E5ED4}"/>
    <cellStyle name="Moeda 3 2 10 3 2 3 2" xfId="3099" xr:uid="{E09479BE-B4C6-4584-A6E7-24F354B3FC2D}"/>
    <cellStyle name="Moeda 3 2 10 3 2 4" xfId="1822" xr:uid="{8231B91B-893F-430D-A56D-9984F301A3BA}"/>
    <cellStyle name="Moeda 3 2 10 3 2 4 2" xfId="3591" xr:uid="{E0C0A8B3-9091-42E7-8FED-32FCB30623D6}"/>
    <cellStyle name="Moeda 3 2 10 3 2 5" xfId="2607" xr:uid="{61CC43FC-1F9D-48E6-BFCA-4A8431377E7F}"/>
    <cellStyle name="Moeda 3 2 10 3 3" xfId="680" xr:uid="{3280B590-1A9F-4A0B-B897-8A04403DC5F8}"/>
    <cellStyle name="Moeda 3 2 10 3 3 2" xfId="1172" xr:uid="{C4310F1F-64DC-4A02-8791-9EFF7E9C9585}"/>
    <cellStyle name="Moeda 3 2 10 3 3 2 2" xfId="2941" xr:uid="{6A50E7CA-2AAC-44E9-849E-6F81D3EA683A}"/>
    <cellStyle name="Moeda 3 2 10 3 3 3" xfId="1664" xr:uid="{4EA86A74-B492-4B5F-9074-D86CE5FCEBCD}"/>
    <cellStyle name="Moeda 3 2 10 3 3 3 2" xfId="3433" xr:uid="{D01C6279-7380-4178-A21A-B951AB4399BE}"/>
    <cellStyle name="Moeda 3 2 10 3 3 4" xfId="2449" xr:uid="{01BC49B9-C4F5-40D1-B321-9F937E70C6FA}"/>
    <cellStyle name="Moeda 3 2 10 3 4" xfId="475" xr:uid="{6FD3BD4A-98B2-4ED9-9644-219C6B6FC8C5}"/>
    <cellStyle name="Moeda 3 2 10 3 4 2" xfId="2244" xr:uid="{E21E4B19-0B04-46B8-AC79-A23465A1C276}"/>
    <cellStyle name="Moeda 3 2 10 3 5" xfId="439" xr:uid="{C15F15DC-35EB-4D2A-9B76-B61612DA4E47}"/>
    <cellStyle name="Moeda 3 2 10 3 5 2" xfId="2217" xr:uid="{0E694E57-F908-47EF-8F21-2A90A6CFA796}"/>
    <cellStyle name="Moeda 3 2 10 3 6" xfId="991" xr:uid="{45E31F79-D40E-4989-B715-6DA04F30F641}"/>
    <cellStyle name="Moeda 3 2 10 3 6 2" xfId="2760" xr:uid="{DCCC17A7-58DF-4151-9663-088F1824DE73}"/>
    <cellStyle name="Moeda 3 2 10 3 7" xfId="1483" xr:uid="{1BD5A801-7D18-4856-87EB-39AE5CA32E9A}"/>
    <cellStyle name="Moeda 3 2 10 3 7 2" xfId="3252" xr:uid="{41D82CED-6F51-4A24-8CB3-8E8349BC4605}"/>
    <cellStyle name="Moeda 3 2 10 3 8" xfId="1985" xr:uid="{1BA0953F-DEB9-4B91-8FE9-D19FE301E39E}"/>
    <cellStyle name="Moeda 3 2 10 4" xfId="708" xr:uid="{3D312AD3-2B05-4DB1-AECF-F5C143757226}"/>
    <cellStyle name="Moeda 3 2 10 4 2" xfId="1200" xr:uid="{1A59F71D-1BAC-4685-8411-A8A1F44A1BF7}"/>
    <cellStyle name="Moeda 3 2 10 4 2 2" xfId="2969" xr:uid="{CFAA8E14-BF10-400F-B185-3CEAF9DFF41D}"/>
    <cellStyle name="Moeda 3 2 10 4 3" xfId="1692" xr:uid="{2EE054A2-92EB-444D-90EC-A15D567175DC}"/>
    <cellStyle name="Moeda 3 2 10 4 3 2" xfId="3461" xr:uid="{20BD12A6-C68A-42E2-A715-7A3ABD06BDBC}"/>
    <cellStyle name="Moeda 3 2 10 4 4" xfId="2477" xr:uid="{36A77B76-39F5-4762-A9D2-6590D40430C9}"/>
    <cellStyle name="Moeda 3 2 10 5" xfId="933" xr:uid="{91860FE9-3C56-4C1D-A2A3-B4281E1E55FB}"/>
    <cellStyle name="Moeda 3 2 10 5 2" xfId="2702" xr:uid="{C9564D8E-8710-4267-8CAA-B67F060E8674}"/>
    <cellStyle name="Moeda 3 2 10 6" xfId="1425" xr:uid="{A3E5BBD0-5AAB-4C79-AEDD-49B071414CA0}"/>
    <cellStyle name="Moeda 3 2 10 6 2" xfId="3194" xr:uid="{FE38FC57-13BE-48D2-9416-45EDECD68D98}"/>
    <cellStyle name="Moeda 3 2 10 7" xfId="2071" xr:uid="{89970702-0958-4D31-9F90-597CEF0971E3}"/>
    <cellStyle name="Moeda 3 2 12" xfId="56" xr:uid="{330043F8-A91C-4D83-A0D8-4081EE89D053}"/>
    <cellStyle name="Moeda 3 2 12 10" xfId="1897" xr:uid="{5A19A1B9-D65A-4D09-B2BC-BDFE37AD1E5B}"/>
    <cellStyle name="Moeda 3 2 12 2" xfId="744" xr:uid="{4F939E84-1F75-43B0-9436-9E8DBD12D94C}"/>
    <cellStyle name="Moeda 3 2 12 2 2" xfId="1236" xr:uid="{4354B06C-65CE-4DAA-8AB3-EAC041884FDC}"/>
    <cellStyle name="Moeda 3 2 12 2 2 2" xfId="3005" xr:uid="{7954DD41-71D1-4F2D-B5E0-27DEFC7979AA}"/>
    <cellStyle name="Moeda 3 2 12 2 3" xfId="1728" xr:uid="{2FAFB5A5-6663-4781-A4C9-C700FFE22EFD}"/>
    <cellStyle name="Moeda 3 2 12 2 3 2" xfId="3497" xr:uid="{62DA9078-69AB-49AA-951D-4A798A665F9C}"/>
    <cellStyle name="Moeda 3 2 12 2 4" xfId="2513" xr:uid="{D4D7DED5-E5AF-4DD7-9B02-9532E6496B03}"/>
    <cellStyle name="Moeda 3 2 12 3" xfId="284" xr:uid="{45B3AFE9-B886-4F71-B1D1-7B1BD909695B}"/>
    <cellStyle name="Moeda 3 2 12 3 2" xfId="930" xr:uid="{7CE9379A-DFE0-43F4-9C04-AAA47538584B}"/>
    <cellStyle name="Moeda 3 2 12 3 2 2" xfId="2699" xr:uid="{E709A8A8-D9BB-4AE4-88B9-CA00C9EC85F3}"/>
    <cellStyle name="Moeda 3 2 12 3 3" xfId="1422" xr:uid="{E1D56E4A-6480-4506-B714-5F1B9EAE4315}"/>
    <cellStyle name="Moeda 3 2 12 3 3 2" xfId="3191" xr:uid="{FF7AC43E-AB8B-422F-8E35-F277F704D399}"/>
    <cellStyle name="Moeda 3 2 12 3 4" xfId="2068" xr:uid="{755949A6-1B40-4D3D-9DE0-55B2F106924E}"/>
    <cellStyle name="Moeda 3 2 12 4" xfId="548" xr:uid="{A69C6B5C-83AD-4CB2-B512-527006E52ECA}"/>
    <cellStyle name="Moeda 3 2 12 4 2" xfId="2317" xr:uid="{FE7BF16F-C162-4A2B-AE8C-7B3EE0F63948}"/>
    <cellStyle name="Moeda 3 2 12 5" xfId="122" xr:uid="{8D206D4E-7D78-43E2-97AA-A002FA3C531B}"/>
    <cellStyle name="Moeda 3 2 12 5 2" xfId="803" xr:uid="{DD16DC6E-B968-4423-8CD3-51342FE7F2A5}"/>
    <cellStyle name="Moeda 3 2 12 5 2 2" xfId="1295" xr:uid="{964131EF-1F2A-4510-AB7D-A43835293B9C}"/>
    <cellStyle name="Moeda 3 2 12 5 2 2 2" xfId="3064" xr:uid="{9F33CBB2-BCAB-47A3-973E-16251C2E2C8A}"/>
    <cellStyle name="Moeda 3 2 12 5 2 3" xfId="1787" xr:uid="{26462F0C-61E0-4C70-A584-A2CCC3365DDF}"/>
    <cellStyle name="Moeda 3 2 12 5 2 3 2" xfId="3556" xr:uid="{1B5C6052-9495-4216-8501-B78C5BA16E61}"/>
    <cellStyle name="Moeda 3 2 12 5 2 4" xfId="2572" xr:uid="{80C06150-1166-4D98-BCE3-07B2B1594994}"/>
    <cellStyle name="Moeda 3 2 12 5 3" xfId="648" xr:uid="{1B18B8B9-9156-44AD-8055-A0369D2A729D}"/>
    <cellStyle name="Moeda 3 2 12 5 3 2" xfId="1140" xr:uid="{65F71374-601C-4D90-9C7F-F08B3EF3C7B9}"/>
    <cellStyle name="Moeda 3 2 12 5 3 2 2" xfId="2909" xr:uid="{66D67A89-4A5E-4888-9D6C-C45705C6FEEE}"/>
    <cellStyle name="Moeda 3 2 12 5 3 3" xfId="1632" xr:uid="{79D7EC4B-195F-4159-8DAA-8A9A1D30EB73}"/>
    <cellStyle name="Moeda 3 2 12 5 3 3 2" xfId="3401" xr:uid="{22B6839B-38EE-4156-920C-5C376C272A9E}"/>
    <cellStyle name="Moeda 3 2 12 5 3 4" xfId="2417" xr:uid="{3B19912D-2ED0-4174-B7FD-A62932F8F555}"/>
    <cellStyle name="Moeda 3 2 12 5 4" xfId="318" xr:uid="{31937FF0-F73C-492C-8EA3-72045FCD5538}"/>
    <cellStyle name="Moeda 3 2 12 5 4 2" xfId="2096" xr:uid="{E6211E04-488A-4867-8C49-DCA1F3876FF0}"/>
    <cellStyle name="Moeda 3 2 12 5 5" xfId="158" xr:uid="{5BF3DD11-6DD1-40CA-AB5B-7A10CBF1BC5E}"/>
    <cellStyle name="Moeda 3 2 12 5 5 2" xfId="839" xr:uid="{8939FEB9-2EF4-455E-967D-CCAA4DAFC628}"/>
    <cellStyle name="Moeda 3 2 12 5 5 2 2" xfId="1331" xr:uid="{B09AE134-427D-42DD-9A67-E4F4F9E57F9E}"/>
    <cellStyle name="Moeda 3 2 12 5 5 2 2 2" xfId="3100" xr:uid="{268809BF-031D-4711-9BA5-2057BF053066}"/>
    <cellStyle name="Moeda 3 2 12 5 5 2 3" xfId="1823" xr:uid="{6810DE60-CBCD-4600-9197-1168EA820251}"/>
    <cellStyle name="Moeda 3 2 12 5 5 2 3 2" xfId="3592" xr:uid="{CB4A9635-64CC-4E58-8073-1EE26B16EDB9}"/>
    <cellStyle name="Moeda 3 2 12 5 5 2 4" xfId="2608" xr:uid="{C55FD10C-7C5D-4970-8C7C-B4D276CF5C31}"/>
    <cellStyle name="Moeda 3 2 12 5 5 3" xfId="683" xr:uid="{60C61F55-46A7-40EF-9909-86821ECB1BE3}"/>
    <cellStyle name="Moeda 3 2 12 5 5 3 2" xfId="1175" xr:uid="{13DD70A9-3748-47B5-BCE9-376108263C50}"/>
    <cellStyle name="Moeda 3 2 12 5 5 3 2 2" xfId="2944" xr:uid="{595D8600-3181-41C3-9C18-E7F2F85C58AC}"/>
    <cellStyle name="Moeda 3 2 12 5 5 3 3" xfId="1667" xr:uid="{680C6B87-B16F-4DA7-BA14-6016EA06522A}"/>
    <cellStyle name="Moeda 3 2 12 5 5 3 3 2" xfId="3436" xr:uid="{A0A848E7-4E25-4D1E-9C50-F71874F38740}"/>
    <cellStyle name="Moeda 3 2 12 5 5 3 4" xfId="2452" xr:uid="{0D35CE8D-1DA1-4545-A638-9AFFC7A6AF46}"/>
    <cellStyle name="Moeda 3 2 12 5 5 4" xfId="467" xr:uid="{28B1D1E1-C378-41DC-8972-754137EB597E}"/>
    <cellStyle name="Moeda 3 2 12 5 5 4 2" xfId="2237" xr:uid="{EA788F26-315B-4878-8504-F0EDB7A4966E}"/>
    <cellStyle name="Moeda 3 2 12 5 5 5" xfId="440" xr:uid="{BC13DB34-E577-425F-809A-2FD450595E01}"/>
    <cellStyle name="Moeda 3 2 12 5 5 5 2" xfId="2218" xr:uid="{9569E1D9-F57C-4CCF-AFE8-5297E0C5457C}"/>
    <cellStyle name="Moeda 3 2 12 5 5 6" xfId="985" xr:uid="{34A2880C-AF03-4D1D-B00E-A84252E1541C}"/>
    <cellStyle name="Moeda 3 2 12 5 5 6 2" xfId="2754" xr:uid="{1DCB4EC3-B7AF-4219-BFB9-E8FFA933CEFA}"/>
    <cellStyle name="Moeda 3 2 12 5 5 7" xfId="1477" xr:uid="{A1594E48-AA17-44F4-B97E-2DBA5CC7BBE4}"/>
    <cellStyle name="Moeda 3 2 12 5 5 7 2" xfId="3246" xr:uid="{B6892B83-8910-4B4B-AFE0-4A2120D692BD}"/>
    <cellStyle name="Moeda 3 2 12 5 5 8" xfId="1988" xr:uid="{BE962D68-0471-4077-9B33-FECE1952BD2C}"/>
    <cellStyle name="Moeda 3 2 12 5 6" xfId="405" xr:uid="{0CC25713-C3A2-45BE-9B4F-874F330CC4C6}"/>
    <cellStyle name="Moeda 3 2 12 5 6 2" xfId="2183" xr:uid="{B4047415-2AC6-4838-95B7-D2CC499606CC}"/>
    <cellStyle name="Moeda 3 2 12 5 7" xfId="952" xr:uid="{F9C40D64-4CD5-4215-B23B-1CCDB4FC3ECB}"/>
    <cellStyle name="Moeda 3 2 12 5 7 2" xfId="2721" xr:uid="{3EFF01D6-85F0-4292-A5A8-AA19F3B9DFD6}"/>
    <cellStyle name="Moeda 3 2 12 5 8" xfId="1444" xr:uid="{96357909-F53B-43A4-B793-ECA6874B4AC1}"/>
    <cellStyle name="Moeda 3 2 12 5 8 2" xfId="3213" xr:uid="{66919034-15B2-46CA-BEBD-CE5FF97B6BBF}"/>
    <cellStyle name="Moeda 3 2 12 5 9" xfId="1953" xr:uid="{A578212B-E4C7-4330-B1C7-715620BF44B7}"/>
    <cellStyle name="Moeda 3 2 12 6" xfId="100" xr:uid="{9B26E341-E528-4C41-B5A3-9C797C614496}"/>
    <cellStyle name="Moeda 3 2 12 6 2" xfId="780" xr:uid="{FC1B3533-99A8-4854-9BD6-2C8C913D816A}"/>
    <cellStyle name="Moeda 3 2 12 6 2 2" xfId="1272" xr:uid="{3B9A6577-5489-4C5A-AE6D-F34EC39E6B62}"/>
    <cellStyle name="Moeda 3 2 12 6 2 2 2" xfId="3041" xr:uid="{661A634B-D052-40B2-9BFB-D72C57A47536}"/>
    <cellStyle name="Moeda 3 2 12 6 2 3" xfId="1764" xr:uid="{E1C1998D-80A7-40ED-9433-45567FC19B23}"/>
    <cellStyle name="Moeda 3 2 12 6 2 3 2" xfId="3533" xr:uid="{BA65DAB5-1E5E-4694-90BE-7784DBCDEFA5}"/>
    <cellStyle name="Moeda 3 2 12 6 2 4" xfId="2549" xr:uid="{50B9090B-6176-46CB-846D-94F428A2DB5C}"/>
    <cellStyle name="Moeda 3 2 12 6 3" xfId="627" xr:uid="{875322DD-554F-477A-99AE-772835A356D6}"/>
    <cellStyle name="Moeda 3 2 12 6 3 2" xfId="1119" xr:uid="{0427E7C0-91C2-420D-B545-8CB07F58E912}"/>
    <cellStyle name="Moeda 3 2 12 6 3 2 2" xfId="2888" xr:uid="{457E83C2-E0B2-4BA4-944B-943943DF229F}"/>
    <cellStyle name="Moeda 3 2 12 6 3 3" xfId="1611" xr:uid="{7DB3814C-DC98-4A83-8F58-24A73155252C}"/>
    <cellStyle name="Moeda 3 2 12 6 3 3 2" xfId="3380" xr:uid="{5E0EF154-5391-4B45-ADA9-9A5772162435}"/>
    <cellStyle name="Moeda 3 2 12 6 3 4" xfId="2396" xr:uid="{421B826F-E795-4657-BD97-D0409464C2C2}"/>
    <cellStyle name="Moeda 3 2 12 6 4" xfId="575" xr:uid="{07B4BE00-7BC2-4799-8CB8-2CF76A913ABB}"/>
    <cellStyle name="Moeda 3 2 12 6 4 2" xfId="2344" xr:uid="{009F7000-EFF8-4E8C-8893-C0B8B039CE97}"/>
    <cellStyle name="Moeda 3 2 12 6 5" xfId="382" xr:uid="{A45404D0-14FF-4C2B-9410-93D61B79F658}"/>
    <cellStyle name="Moeda 3 2 12 6 5 2" xfId="2160" xr:uid="{EC0828E7-3EF9-4BFE-A466-833150F38F44}"/>
    <cellStyle name="Moeda 3 2 12 6 6" xfId="146" xr:uid="{CC5C3789-CEBC-4E07-B41C-BE0781D32089}"/>
    <cellStyle name="Moeda 3 2 12 6 6 2" xfId="516" xr:uid="{94ECE2B3-6E8B-4B78-95D1-C962072590F5}"/>
    <cellStyle name="Moeda 3 2 12 6 6 2 2" xfId="846" xr:uid="{9F760607-3073-44AA-A302-BF7DF5A12AB3}"/>
    <cellStyle name="Moeda 3 2 12 6 6 2 2 2" xfId="1338" xr:uid="{0BC6490A-5B79-4420-8760-F1429078E525}"/>
    <cellStyle name="Moeda 3 2 12 6 6 2 2 2 2" xfId="3107" xr:uid="{F4C684E2-3F3E-4077-BE29-63A4F5501D12}"/>
    <cellStyle name="Moeda 3 2 12 6 6 2 2 3" xfId="1830" xr:uid="{129505D3-446E-4B1A-BBA0-48756304F16B}"/>
    <cellStyle name="Moeda 3 2 12 6 6 2 2 3 2" xfId="3599" xr:uid="{846FA460-254B-409A-8755-BC8E21AA0C4F}"/>
    <cellStyle name="Moeda 3 2 12 6 6 2 2 4" xfId="2615" xr:uid="{268AFF9F-9661-409E-8CF0-9FCBF54CC908}"/>
    <cellStyle name="Moeda 3 2 12 6 6 2 3" xfId="1024" xr:uid="{D3F31A10-02FA-42A9-BB31-F3419FAB4966}"/>
    <cellStyle name="Moeda 3 2 12 6 6 2 3 2" xfId="2793" xr:uid="{948804B3-120C-4E39-8DF4-B1E9CDFCD8FB}"/>
    <cellStyle name="Moeda 3 2 12 6 6 2 4" xfId="1516" xr:uid="{5DEAC80E-CD48-427D-BB5B-CCB68298E24F}"/>
    <cellStyle name="Moeda 3 2 12 6 6 2 4 2" xfId="3285" xr:uid="{A7188863-85FB-4EDA-8AA7-A210DC0DF966}"/>
    <cellStyle name="Moeda 3 2 12 6 6 2 5" xfId="2285" xr:uid="{38B54333-1151-489E-8A65-4AC2EEAE59F7}"/>
    <cellStyle name="Moeda 3 2 12 6 6 3" xfId="829" xr:uid="{1AB0C71B-4F7B-47C8-8C91-639F56192110}"/>
    <cellStyle name="Moeda 3 2 12 6 6 3 2" xfId="1321" xr:uid="{01948B7B-641D-4D43-B46C-0B0B7809588C}"/>
    <cellStyle name="Moeda 3 2 12 6 6 3 2 2" xfId="3090" xr:uid="{01CB28FB-5459-4553-BFDE-E91151ADBA6D}"/>
    <cellStyle name="Moeda 3 2 12 6 6 3 3" xfId="1813" xr:uid="{CACAE9EF-090F-46A5-BEA4-26E3A2A40BCA}"/>
    <cellStyle name="Moeda 3 2 12 6 6 3 3 2" xfId="3582" xr:uid="{9349E011-CE19-4373-B7E5-7CBA3677350D}"/>
    <cellStyle name="Moeda 3 2 12 6 6 3 4" xfId="2598" xr:uid="{04BB9120-E46D-4CD4-9037-AB0F508A4B8A}"/>
    <cellStyle name="Moeda 3 2 12 6 6 4" xfId="671" xr:uid="{ADEF30AD-4FB9-4724-9EEC-E45CA670577A}"/>
    <cellStyle name="Moeda 3 2 12 6 6 4 2" xfId="1163" xr:uid="{B978AC8B-CD98-4EC9-A25E-207C5A09ECA1}"/>
    <cellStyle name="Moeda 3 2 12 6 6 4 2 2" xfId="2932" xr:uid="{EDFCC886-F625-4BA5-88AA-23AC4E5ECC08}"/>
    <cellStyle name="Moeda 3 2 12 6 6 4 3" xfId="1655" xr:uid="{1D25087C-5D2D-402E-9893-70BB14A20B4F}"/>
    <cellStyle name="Moeda 3 2 12 6 6 4 3 2" xfId="3424" xr:uid="{E1540A07-4E7B-4BFF-B4F6-4F4BD9096179}"/>
    <cellStyle name="Moeda 3 2 12 6 6 4 4" xfId="2440" xr:uid="{40ECC843-4587-4799-ADC7-237DF3AE72A5}"/>
    <cellStyle name="Moeda 3 2 12 6 6 5" xfId="537" xr:uid="{93F01958-EFC1-4459-9456-8C1EE897B7B0}"/>
    <cellStyle name="Moeda 3 2 12 6 6 5 2" xfId="2306" xr:uid="{64D2229F-DF0E-49F2-98DC-2F18427EBFE7}"/>
    <cellStyle name="Moeda 3 2 12 6 6 6" xfId="430" xr:uid="{1ABEB582-13AD-40FF-AEF7-664FA6573F96}"/>
    <cellStyle name="Moeda 3 2 12 6 6 6 2" xfId="2208" xr:uid="{7FCBAA82-1AC1-4497-8B67-B36BFA561844}"/>
    <cellStyle name="Moeda 3 2 12 6 6 7" xfId="1041" xr:uid="{A45F2C50-66F9-485D-B281-5BDC140F478E}"/>
    <cellStyle name="Moeda 3 2 12 6 6 7 2" xfId="2810" xr:uid="{1D119927-EA17-4BA8-B771-DFE7351D8640}"/>
    <cellStyle name="Moeda 3 2 12 6 6 8" xfId="1533" xr:uid="{856E6D01-FBEE-4142-A8E8-29C981D249C2}"/>
    <cellStyle name="Moeda 3 2 12 6 6 8 2" xfId="3302" xr:uid="{BCB7673E-D845-4F32-A9AA-6E6A78CA7FFB}"/>
    <cellStyle name="Moeda 3 2 12 6 6 9" xfId="1976" xr:uid="{D45AA3D0-2812-473B-ACC1-F360846D60F5}"/>
    <cellStyle name="Moeda 3 2 12 6 7" xfId="1071" xr:uid="{017965B3-854F-4A53-A408-7FC31AE4F848}"/>
    <cellStyle name="Moeda 3 2 12 6 7 2" xfId="2840" xr:uid="{305E567B-A7AD-4633-955E-115FF92C531A}"/>
    <cellStyle name="Moeda 3 2 12 6 8" xfId="1563" xr:uid="{3F609259-FCC7-47B0-9A87-5B5CE52EA5DB}"/>
    <cellStyle name="Moeda 3 2 12 6 8 2" xfId="3332" xr:uid="{20418202-FEBC-42EB-A297-AE2B0D622176}"/>
    <cellStyle name="Moeda 3 2 12 6 9" xfId="1932" xr:uid="{97269472-E830-44F1-BE1A-D098A31886D6}"/>
    <cellStyle name="Moeda 3 2 12 7" xfId="254" xr:uid="{55348967-E2DE-4D25-8F33-988BE420632F}"/>
    <cellStyle name="Moeda 3 2 12 7 2" xfId="2038" xr:uid="{5A86946B-F1A5-4EBC-8736-48DB598F07A2}"/>
    <cellStyle name="Moeda 3 2 12 8" xfId="902" xr:uid="{1F795CA6-1C76-4828-9FB8-8C1B053CA04C}"/>
    <cellStyle name="Moeda 3 2 12 8 2" xfId="2671" xr:uid="{4FD0FA16-81D8-468B-855C-0604F0F75774}"/>
    <cellStyle name="Moeda 3 2 12 9" xfId="1394" xr:uid="{D76887C4-B731-41ED-91DA-59D4AFA5990F}"/>
    <cellStyle name="Moeda 3 2 12 9 2" xfId="3163" xr:uid="{CBB5C7D0-6BD3-4E89-A204-829E71EE1297}"/>
    <cellStyle name="Moeda 3 2 16" xfId="40" xr:uid="{17ADAEB9-7773-4C0E-8151-693361BED397}"/>
    <cellStyle name="Moeda 3 2 16 2" xfId="730" xr:uid="{AEF5F4E6-A737-455F-BEF9-7EE44C5348ED}"/>
    <cellStyle name="Moeda 3 2 16 2 2" xfId="1222" xr:uid="{DCA116A2-965B-4FDF-AD52-7F9731C8149F}"/>
    <cellStyle name="Moeda 3 2 16 2 2 2" xfId="2991" xr:uid="{E83BD206-6B38-4B1A-B30D-210C1F0452A7}"/>
    <cellStyle name="Moeda 3 2 16 2 3" xfId="1714" xr:uid="{16804808-100E-4023-B186-51844F1323B3}"/>
    <cellStyle name="Moeda 3 2 16 2 3 2" xfId="3483" xr:uid="{7EAF9035-3937-4B22-A40A-F10D7C408C29}"/>
    <cellStyle name="Moeda 3 2 16 2 4" xfId="2499" xr:uid="{F29C7625-04BC-40D4-A774-F695C29CB4CA}"/>
    <cellStyle name="Moeda 3 2 16 3" xfId="554" xr:uid="{C5708B1F-70BE-4711-8EBE-3F3A0E775BDD}"/>
    <cellStyle name="Moeda 3 2 16 3 2" xfId="1053" xr:uid="{4546FC9A-0FE8-4A21-8840-F6047D08D808}"/>
    <cellStyle name="Moeda 3 2 16 3 2 2" xfId="2822" xr:uid="{62926C25-C133-4C51-9AC6-24939C9904F6}"/>
    <cellStyle name="Moeda 3 2 16 3 3" xfId="1545" xr:uid="{3DD16BDC-7916-4C6C-9A40-4CE92F404992}"/>
    <cellStyle name="Moeda 3 2 16 3 3 2" xfId="3314" xr:uid="{F17B1528-2201-491B-9CD7-4EBC5A749D27}"/>
    <cellStyle name="Moeda 3 2 16 3 4" xfId="2323" xr:uid="{85618B14-DB68-468A-8091-68109E20FB12}"/>
    <cellStyle name="Moeda 3 2 16 4" xfId="322" xr:uid="{AA5C5315-D99A-4CE6-B200-3B301B72C867}"/>
    <cellStyle name="Moeda 3 2 16 4 2" xfId="2100" xr:uid="{C7E83875-B276-4B0B-85CC-0E59880BDE99}"/>
    <cellStyle name="Moeda 3 2 16 5" xfId="239" xr:uid="{5522643D-0923-42CC-8E4C-1DA98948DDF5}"/>
    <cellStyle name="Moeda 3 2 16 5 2" xfId="2023" xr:uid="{B31EB74F-B60B-4C42-B5AD-5DE8DFE1DA87}"/>
    <cellStyle name="Moeda 3 2 16 6" xfId="887" xr:uid="{8B7BCE93-F854-41AC-8077-7FA423E9F62C}"/>
    <cellStyle name="Moeda 3 2 16 6 2" xfId="2656" xr:uid="{E27E823C-9C96-4AC0-A418-B62F2B7F361B}"/>
    <cellStyle name="Moeda 3 2 16 7" xfId="1379" xr:uid="{C2DD109F-D829-4295-81CC-66CAD8B40D84}"/>
    <cellStyle name="Moeda 3 2 16 7 2" xfId="3148" xr:uid="{E811C42C-A005-4A66-83AE-2AEA0AB3AD00}"/>
    <cellStyle name="Moeda 3 2 16 8" xfId="1882" xr:uid="{B99B32AE-45B7-4538-9C0F-1A49B8E8F398}"/>
    <cellStyle name="Moeda 3 2 2" xfId="702" xr:uid="{D1D6C101-9789-489A-B82B-2177BE5DA5F1}"/>
    <cellStyle name="Moeda 3 2 2 2" xfId="1194" xr:uid="{FA7D0853-7CB4-4CB6-B0C1-BDC046A79F70}"/>
    <cellStyle name="Moeda 3 2 2 2 2" xfId="2963" xr:uid="{31E38D08-4282-456A-848E-D634F1C2A6AE}"/>
    <cellStyle name="Moeda 3 2 2 3" xfId="1686" xr:uid="{24F14FF3-5145-497B-BC84-7AC8970AF4A8}"/>
    <cellStyle name="Moeda 3 2 2 3 2" xfId="3455" xr:uid="{BE7B13A1-6CD8-4C50-999E-EC013EF12AB4}"/>
    <cellStyle name="Moeda 3 2 2 4" xfId="2471" xr:uid="{1658C2C4-FC5F-43D6-A658-AA6A06320BAE}"/>
    <cellStyle name="Moeda 3 2 23" xfId="94" xr:uid="{E9DE7F46-8F3C-4984-901E-06C759C3E5D4}"/>
    <cellStyle name="Moeda 3 2 23 2" xfId="103" xr:uid="{2B2FE963-388F-432E-BDDD-7FEECE91226E}"/>
    <cellStyle name="Moeda 3 2 23 2 2" xfId="785" xr:uid="{53F1752E-12FB-40EC-B06E-16375BEF08E3}"/>
    <cellStyle name="Moeda 3 2 23 2 2 2" xfId="1277" xr:uid="{C5E99CDF-4E0D-4C9C-AE93-03189FCF4386}"/>
    <cellStyle name="Moeda 3 2 23 2 2 2 2" xfId="3046" xr:uid="{D3F8E985-79F2-4C6D-86BA-694057610971}"/>
    <cellStyle name="Moeda 3 2 23 2 2 3" xfId="1769" xr:uid="{5413BF80-30A6-4011-BA21-ED04FACA0B3C}"/>
    <cellStyle name="Moeda 3 2 23 2 2 3 2" xfId="3538" xr:uid="{390E6B93-1FE6-41D2-ABFB-84EAB385A8FD}"/>
    <cellStyle name="Moeda 3 2 23 2 2 4" xfId="2554" xr:uid="{B51B5673-75A5-4547-9D91-AAF63F21D9EC}"/>
    <cellStyle name="Moeda 3 2 23 2 3" xfId="630" xr:uid="{FBE284B8-56A1-4247-A04D-51EC3BA56EEA}"/>
    <cellStyle name="Moeda 3 2 23 2 3 2" xfId="1122" xr:uid="{E8A2B4D1-B03B-4A41-B6CC-4A725542CA33}"/>
    <cellStyle name="Moeda 3 2 23 2 3 2 2" xfId="2891" xr:uid="{3D7AC6A8-18EF-49E0-941C-F9BBDA2BCC26}"/>
    <cellStyle name="Moeda 3 2 23 2 3 3" xfId="1614" xr:uid="{C0F60159-8FEB-409D-8541-FF72B4C0C86F}"/>
    <cellStyle name="Moeda 3 2 23 2 3 3 2" xfId="3383" xr:uid="{1ECED3BB-CB54-4071-8EA5-2E0565FE4580}"/>
    <cellStyle name="Moeda 3 2 23 2 3 4" xfId="2399" xr:uid="{0ECF1935-7C29-4F80-BBA9-1F2BD7619D9F}"/>
    <cellStyle name="Moeda 3 2 23 2 4" xfId="137" xr:uid="{FFD9C604-9DB1-4126-9532-43824A23A9EF}"/>
    <cellStyle name="Moeda 3 2 23 2 4 2" xfId="819" xr:uid="{F11C63DC-4255-4FDA-B06E-C18E7BC6577C}"/>
    <cellStyle name="Moeda 3 2 23 2 4 2 2" xfId="1311" xr:uid="{4343977A-8B64-403D-9B76-871335728622}"/>
    <cellStyle name="Moeda 3 2 23 2 4 2 2 2" xfId="3080" xr:uid="{30A9993A-0825-47B0-8011-A2983D127652}"/>
    <cellStyle name="Moeda 3 2 23 2 4 2 3" xfId="1803" xr:uid="{F51DD506-81FC-4A9B-90DD-7EF9734B6413}"/>
    <cellStyle name="Moeda 3 2 23 2 4 2 3 2" xfId="3572" xr:uid="{B1955F93-2BC1-414B-9672-EDE0D68BEC50}"/>
    <cellStyle name="Moeda 3 2 23 2 4 2 4" xfId="2588" xr:uid="{E14555BD-7BD6-4158-9A27-94FC04E09AE5}"/>
    <cellStyle name="Moeda 3 2 23 2 4 3" xfId="662" xr:uid="{A71B9DED-B6D7-4E13-924E-BE75B6B6498B}"/>
    <cellStyle name="Moeda 3 2 23 2 4 3 2" xfId="1154" xr:uid="{1AE5EC31-5CD5-41EE-B145-A835E3C56269}"/>
    <cellStyle name="Moeda 3 2 23 2 4 3 2 2" xfId="2923" xr:uid="{26F4160A-C217-4C7D-AEF7-E4CA2DAD9194}"/>
    <cellStyle name="Moeda 3 2 23 2 4 3 3" xfId="1646" xr:uid="{C892C1F6-8588-429A-8C86-5A35BCA8E155}"/>
    <cellStyle name="Moeda 3 2 23 2 4 3 3 2" xfId="3415" xr:uid="{5CFEE07D-7C3A-4941-90C7-CC2AFEBED0D4}"/>
    <cellStyle name="Moeda 3 2 23 2 4 3 4" xfId="2431" xr:uid="{BE1A4326-E053-4FEA-A3EE-1D38B756074F}"/>
    <cellStyle name="Moeda 3 2 23 2 4 4" xfId="484" xr:uid="{46A5AC40-8B3E-4FFF-8EB9-29E220FD8A1C}"/>
    <cellStyle name="Moeda 3 2 23 2 4 4 2" xfId="2253" xr:uid="{7EE1C907-E404-4F90-95B0-99946A7CB57F}"/>
    <cellStyle name="Moeda 3 2 23 2 4 5" xfId="420" xr:uid="{EB912363-9094-47FF-89A2-7AF6DA977737}"/>
    <cellStyle name="Moeda 3 2 23 2 4 5 2" xfId="2198" xr:uid="{95008966-E69D-4A73-89E4-C91482409ACD}"/>
    <cellStyle name="Moeda 3 2 23 2 4 6" xfId="999" xr:uid="{D568FE93-106C-45D2-9206-1257B9C3A4DC}"/>
    <cellStyle name="Moeda 3 2 23 2 4 6 2" xfId="2768" xr:uid="{320EEC42-1132-46E2-9E9E-7729AE30ED11}"/>
    <cellStyle name="Moeda 3 2 23 2 4 7" xfId="1491" xr:uid="{0BEEE5C9-67DE-4667-B6DA-A55E7A3C6A90}"/>
    <cellStyle name="Moeda 3 2 23 2 4 7 2" xfId="3260" xr:uid="{7B00DA45-8861-4FD3-9248-0A79E923AF88}"/>
    <cellStyle name="Moeda 3 2 23 2 4 8" xfId="1967" xr:uid="{AAB6741B-1120-4CEC-B94F-9C53AC1AA460}"/>
    <cellStyle name="Moeda 3 2 23 2 5" xfId="290" xr:uid="{61852B34-FB98-463D-9ACD-B3CA10DD48A8}"/>
    <cellStyle name="Moeda 3 2 23 2 5 2" xfId="2070" xr:uid="{284BF70E-1360-410E-AA19-EE97D30640C2}"/>
    <cellStyle name="Moeda 3 2 23 2 6" xfId="387" xr:uid="{0449FD3C-626A-4C22-89CF-8BE65CB1A394}"/>
    <cellStyle name="Moeda 3 2 23 2 6 2" xfId="2165" xr:uid="{78243ED5-4AAC-4B25-94BC-9A41133970BF}"/>
    <cellStyle name="Moeda 3 2 23 2 7" xfId="932" xr:uid="{37F4D687-2626-47E1-8D93-C61B0E5C937C}"/>
    <cellStyle name="Moeda 3 2 23 2 7 2" xfId="2701" xr:uid="{48E9688B-5591-4D94-AF5D-4955D4B05896}"/>
    <cellStyle name="Moeda 3 2 23 2 8" xfId="1424" xr:uid="{C6528272-78EC-424F-ABEC-4DCD0F08907F}"/>
    <cellStyle name="Moeda 3 2 23 2 8 2" xfId="3193" xr:uid="{46C99589-97C9-4665-B8F2-1971F58969B9}"/>
    <cellStyle name="Moeda 3 2 23 2 9" xfId="1935" xr:uid="{63D05536-D666-43EF-9A17-DBD08BC8731F}"/>
    <cellStyle name="Moeda 3 2 23 3" xfId="775" xr:uid="{5507C5CB-4DB4-45F2-A0CE-31381E241288}"/>
    <cellStyle name="Moeda 3 2 23 3 2" xfId="1267" xr:uid="{8D6A08E8-3566-4659-B5F8-E3C88874E999}"/>
    <cellStyle name="Moeda 3 2 23 3 2 2" xfId="3036" xr:uid="{6DA081DF-F6E9-4981-A1A4-0DB01BCF7970}"/>
    <cellStyle name="Moeda 3 2 23 3 3" xfId="1759" xr:uid="{79DCD090-9CE8-417C-BE2F-300BBA8B0AEC}"/>
    <cellStyle name="Moeda 3 2 23 3 3 2" xfId="3528" xr:uid="{08403A70-AE74-466D-9434-B8CD6AED761C}"/>
    <cellStyle name="Moeda 3 2 23 3 4" xfId="2544" xr:uid="{8A6D7C0B-4044-4097-BDF5-93A03187138B}"/>
    <cellStyle name="Moeda 3 2 23 4" xfId="622" xr:uid="{C3A1A275-3987-4877-AAA1-B2E5A3BACABC}"/>
    <cellStyle name="Moeda 3 2 23 4 2" xfId="1114" xr:uid="{FA8C38F8-D4A9-446E-AC64-7DFF3667D462}"/>
    <cellStyle name="Moeda 3 2 23 4 2 2" xfId="2883" xr:uid="{3F19BB7A-5F9D-44C7-8BFE-FA9459547F75}"/>
    <cellStyle name="Moeda 3 2 23 4 3" xfId="1606" xr:uid="{E57C2E1C-884E-4211-AA78-56F61A690C34}"/>
    <cellStyle name="Moeda 3 2 23 4 3 2" xfId="3375" xr:uid="{F75F78B8-E044-4432-8932-791CDC374182}"/>
    <cellStyle name="Moeda 3 2 23 4 4" xfId="2391" xr:uid="{1995B601-4495-45EC-BD46-E9C27CB24985}"/>
    <cellStyle name="Moeda 3 2 23 5" xfId="582" xr:uid="{AE790016-F5FC-4F6D-A9F2-F6F868F2370E}"/>
    <cellStyle name="Moeda 3 2 23 5 2" xfId="2351" xr:uid="{81ADFDF1-74F6-48E6-B4C5-3D6EACD12FCE}"/>
    <cellStyle name="Moeda 3 2 23 6" xfId="377" xr:uid="{D1EDD6FC-D120-4B88-9F43-3DFCD521A956}"/>
    <cellStyle name="Moeda 3 2 23 6 2" xfId="2155" xr:uid="{96D19FFB-E7CD-4272-9A14-A2D1C762DA02}"/>
    <cellStyle name="Moeda 3 2 23 7" xfId="1075" xr:uid="{B31DDA70-3E18-424A-A841-367A2F88C556}"/>
    <cellStyle name="Moeda 3 2 23 7 2" xfId="2844" xr:uid="{3E003687-F2B2-43B3-95B5-7D0962AF198E}"/>
    <cellStyle name="Moeda 3 2 23 8" xfId="1567" xr:uid="{F131B146-D167-402D-BCFD-668E8A651311}"/>
    <cellStyle name="Moeda 3 2 23 8 2" xfId="3336" xr:uid="{0E3844BD-1CBC-465D-BA2F-564BB1CB24E3}"/>
    <cellStyle name="Moeda 3 2 23 9" xfId="1927" xr:uid="{DE624BA3-AD33-48E1-A931-7363E33EEF71}"/>
    <cellStyle name="Moeda 3 2 3" xfId="583" xr:uid="{B51A8DEE-2D5F-48F8-9F8D-5EDCD46F5EA7}"/>
    <cellStyle name="Moeda 3 2 3 2" xfId="1076" xr:uid="{A6C5AC7F-7555-49A6-BA0B-5F5E0D4B788C}"/>
    <cellStyle name="Moeda 3 2 3 2 2" xfId="2845" xr:uid="{E48D2942-9195-4B8D-8645-5D21848C660A}"/>
    <cellStyle name="Moeda 3 2 3 3" xfId="1568" xr:uid="{A175070C-A769-48D2-A80C-9F740CF2FB5F}"/>
    <cellStyle name="Moeda 3 2 3 3 2" xfId="3337" xr:uid="{A91125B4-E984-42B2-966D-B00BADB17E43}"/>
    <cellStyle name="Moeda 3 2 3 4" xfId="2352" xr:uid="{2C33CED6-C7BD-48B2-9A16-26DD933B75E9}"/>
    <cellStyle name="Moeda 3 2 4" xfId="501" xr:uid="{0EEAA066-1CCA-48DE-8AD4-C4825365FFC4}"/>
    <cellStyle name="Moeda 3 2 4 2" xfId="2270" xr:uid="{D0BFF14A-CAD3-4757-A341-F8D63D8A27EA}"/>
    <cellStyle name="Moeda 3 2 5" xfId="224" xr:uid="{16BBBA1C-9A72-44A6-A52C-BFF99ECC4609}"/>
    <cellStyle name="Moeda 3 2 5 2" xfId="2008" xr:uid="{7D4AAB4F-C6E4-4E3B-B3D5-F975EB37AC56}"/>
    <cellStyle name="Moeda 3 2 6" xfId="872" xr:uid="{844E2EAC-1B05-4496-9282-C660731AD84D}"/>
    <cellStyle name="Moeda 3 2 6 2" xfId="2641" xr:uid="{E6DBC37B-0FB0-45F6-9E62-4696FCFDC0CB}"/>
    <cellStyle name="Moeda 3 2 7" xfId="1364" xr:uid="{394FA14A-7D30-474C-BAD8-AB59A5A06DC9}"/>
    <cellStyle name="Moeda 3 2 7 2" xfId="3133" xr:uid="{DAF86671-32F5-4BFA-84F0-51EFD2614887}"/>
    <cellStyle name="Moeda 3 2 8" xfId="1866" xr:uid="{C33E279E-C364-41AE-ABA9-9E0E0FB0F4EB}"/>
    <cellStyle name="Moeda 3 20" xfId="24" xr:uid="{0E53C332-8796-4F6D-863A-13F3695F82BB}"/>
    <cellStyle name="Moeda 3 20 2" xfId="717" xr:uid="{8227FF71-AC03-49EA-8672-64502A26BA99}"/>
    <cellStyle name="Moeda 3 20 2 2" xfId="1209" xr:uid="{E758F8FA-2091-462E-A0F8-9504AE02623B}"/>
    <cellStyle name="Moeda 3 20 2 2 2" xfId="2978" xr:uid="{526C4772-D7C1-4435-A456-2078EDD8C6DD}"/>
    <cellStyle name="Moeda 3 20 2 3" xfId="1701" xr:uid="{80D1E678-B34F-4379-8509-5F977016FA88}"/>
    <cellStyle name="Moeda 3 20 2 3 2" xfId="3470" xr:uid="{E5C91C75-AE7F-465B-999D-53D29BDAE405}"/>
    <cellStyle name="Moeda 3 20 2 4" xfId="2486" xr:uid="{0BA39041-6B48-40BA-A1F1-9CDBE7DC64C3}"/>
    <cellStyle name="Moeda 3 20 3" xfId="276" xr:uid="{EDE4D383-8F0E-4910-A4C6-F2C71932184A}"/>
    <cellStyle name="Moeda 3 20 3 2" xfId="923" xr:uid="{C6420B40-DC7A-4D1C-9E48-5740547B41A1}"/>
    <cellStyle name="Moeda 3 20 3 2 2" xfId="2692" xr:uid="{3736E927-4FEC-4D3C-87D7-555D6710FC55}"/>
    <cellStyle name="Moeda 3 20 3 3" xfId="1415" xr:uid="{C573D5D4-BF2C-4937-A7C1-A6457AD3BE4B}"/>
    <cellStyle name="Moeda 3 20 3 3 2" xfId="3184" xr:uid="{8F3B4EFC-AF7D-4469-988A-5B0515FB8B53}"/>
    <cellStyle name="Moeda 3 20 3 4" xfId="2060" xr:uid="{B8EAED99-64A6-405F-8D4F-85610473FEFB}"/>
    <cellStyle name="Moeda 3 20 4" xfId="327" xr:uid="{28525EE0-8717-4352-A4E7-ABD0068488A2}"/>
    <cellStyle name="Moeda 3 20 4 2" xfId="2105" xr:uid="{55392E99-404E-49CD-A6F9-5B50B8E369FB}"/>
    <cellStyle name="Moeda 3 20 5" xfId="229" xr:uid="{ED0FDEE9-26BC-4AAD-BB27-53E9C9AD4F05}"/>
    <cellStyle name="Moeda 3 20 5 2" xfId="2013" xr:uid="{85366CC7-FD1F-41E8-B291-53F12CA2A46B}"/>
    <cellStyle name="Moeda 3 20 6" xfId="877" xr:uid="{8CAD2D5D-F99B-405A-96E0-FCAA63A9B843}"/>
    <cellStyle name="Moeda 3 20 6 2" xfId="2646" xr:uid="{711F259F-FC86-4ADE-817D-3F31464CE142}"/>
    <cellStyle name="Moeda 3 20 7" xfId="1369" xr:uid="{C550F2EC-3B80-4926-816D-67D334740FA8}"/>
    <cellStyle name="Moeda 3 20 7 2" xfId="3138" xr:uid="{B9C0BBA3-0BF3-4EC1-B165-8A843FEA7D6F}"/>
    <cellStyle name="Moeda 3 20 8" xfId="1872" xr:uid="{779DCE44-644C-4DF8-81EA-4080DBD30169}"/>
    <cellStyle name="Moeda 3 23" xfId="351" xr:uid="{DD610232-43FE-44C1-9694-FDBF025805AD}"/>
    <cellStyle name="Moeda 3 23 2" xfId="729" xr:uid="{D50C0B5A-4843-43E7-8263-9B4C22FFE277}"/>
    <cellStyle name="Moeda 3 23 2 2" xfId="1221" xr:uid="{4F625EB6-4C5F-4AB6-B63E-47274FD9F919}"/>
    <cellStyle name="Moeda 3 23 2 2 2" xfId="2990" xr:uid="{88A560B4-70BA-4E7B-867E-71D3D9F8D987}"/>
    <cellStyle name="Moeda 3 23 2 3" xfId="1713" xr:uid="{6CE8D5A6-1EC2-4368-8BA8-7F14B4D8A9B3}"/>
    <cellStyle name="Moeda 3 23 2 3 2" xfId="3482" xr:uid="{D65B3167-7720-4080-858D-22AF4239DF81}"/>
    <cellStyle name="Moeda 3 23 2 4" xfId="2498" xr:uid="{743C145B-6BB1-4FFB-A067-B682A92545E9}"/>
    <cellStyle name="Moeda 3 23 3" xfId="61" xr:uid="{373E1AC2-0860-422D-BAC9-102E5BE3BF8A}"/>
    <cellStyle name="Moeda 3 23 3 2" xfId="749" xr:uid="{B3149E9B-E1A5-48C9-A94A-A60291D8E69E}"/>
    <cellStyle name="Moeda 3 23 3 2 2" xfId="1241" xr:uid="{74571EE6-C7EF-4DE0-B382-A9142363AF5E}"/>
    <cellStyle name="Moeda 3 23 3 2 2 2" xfId="3010" xr:uid="{0F67293D-B4AB-4B11-9E6F-F4911A0D8DF7}"/>
    <cellStyle name="Moeda 3 23 3 2 3" xfId="1733" xr:uid="{7BBD9FD8-32FE-4AB6-A14D-DE5A460AA9D8}"/>
    <cellStyle name="Moeda 3 23 3 2 3 2" xfId="3502" xr:uid="{48375CF6-DDED-46F5-AA91-306F701998EA}"/>
    <cellStyle name="Moeda 3 23 3 2 4" xfId="2518" xr:uid="{3357166B-57EB-4631-A27D-4ED26707928F}"/>
    <cellStyle name="Moeda 3 23 3 3" xfId="107" xr:uid="{3701784D-8370-4D89-B797-3CFE8AC31618}"/>
    <cellStyle name="Moeda 3 23 3 3 2" xfId="788" xr:uid="{8D110AFD-D0B7-4F4C-96CB-05D7063D827B}"/>
    <cellStyle name="Moeda 3 23 3 3 2 2" xfId="1280" xr:uid="{7B63794E-201A-4DA6-92F5-6E232825B813}"/>
    <cellStyle name="Moeda 3 23 3 3 2 2 2" xfId="3049" xr:uid="{48BEF578-DA09-443C-BF74-E0F63B6A31C0}"/>
    <cellStyle name="Moeda 3 23 3 3 2 3" xfId="1772" xr:uid="{03A5CE8C-536A-4D90-A242-298880384182}"/>
    <cellStyle name="Moeda 3 23 3 3 2 3 2" xfId="3541" xr:uid="{88D1E99E-BF37-4009-AF85-A37B81014EAF}"/>
    <cellStyle name="Moeda 3 23 3 3 2 4" xfId="2557" xr:uid="{BD5F8D7B-E402-49DD-951A-3E5BEA985CA9}"/>
    <cellStyle name="Moeda 3 23 3 3 3" xfId="634" xr:uid="{C8D05661-BAA6-4A5F-A68F-0B39BC01FA01}"/>
    <cellStyle name="Moeda 3 23 3 3 3 2" xfId="1126" xr:uid="{AE4E750E-526F-41B8-97DE-5DC9D7D6DA63}"/>
    <cellStyle name="Moeda 3 23 3 3 3 2 2" xfId="2895" xr:uid="{BE592FA0-363C-4B52-8FC5-8CAAE6EDCD6C}"/>
    <cellStyle name="Moeda 3 23 3 3 3 3" xfId="1618" xr:uid="{4F746963-ACBF-4C38-A3AC-5A92629E63E2}"/>
    <cellStyle name="Moeda 3 23 3 3 3 3 2" xfId="3387" xr:uid="{3643540E-F110-45C6-8356-A417E7866FF8}"/>
    <cellStyle name="Moeda 3 23 3 3 3 4" xfId="2403" xr:uid="{85A72F1E-28B2-4B4A-B44B-A04086E955BD}"/>
    <cellStyle name="Moeda 3 23 3 3 4" xfId="591" xr:uid="{F469D568-A100-4440-84DE-9DA0256C766F}"/>
    <cellStyle name="Moeda 3 23 3 3 4 2" xfId="2360" xr:uid="{8947C878-D7DC-4D2E-BD85-86B0FEA72380}"/>
    <cellStyle name="Moeda 3 23 3 3 5" xfId="144" xr:uid="{5A07665E-3477-42AC-81BC-2B33E329D679}"/>
    <cellStyle name="Moeda 3 23 3 3 5 2" xfId="159" xr:uid="{15BCE16D-15D2-46BD-95B9-6BA66632BF6D}"/>
    <cellStyle name="Moeda 3 23 3 3 5 2 2" xfId="840" xr:uid="{8DC53F32-C0D7-4948-B7D5-1CA136B6603B}"/>
    <cellStyle name="Moeda 3 23 3 3 5 2 2 2" xfId="1332" xr:uid="{D033A3A5-9DE9-4A46-9FED-8CD0A5C04495}"/>
    <cellStyle name="Moeda 3 23 3 3 5 2 2 2 2" xfId="3101" xr:uid="{68D47B97-08B8-44B4-9D41-EC1F859D0891}"/>
    <cellStyle name="Moeda 3 23 3 3 5 2 2 3" xfId="1824" xr:uid="{4FD3FCD1-8EC8-4260-973F-4991B5752C2D}"/>
    <cellStyle name="Moeda 3 23 3 3 5 2 2 3 2" xfId="3593" xr:uid="{5C888870-100B-4BE7-A6EC-365E84A636C6}"/>
    <cellStyle name="Moeda 3 23 3 3 5 2 2 4" xfId="2609" xr:uid="{A22EC89A-F243-467D-8D77-E9D515973848}"/>
    <cellStyle name="Moeda 3 23 3 3 5 2 3" xfId="684" xr:uid="{4015E9BF-D8B2-49B2-85D5-0BC1632711C4}"/>
    <cellStyle name="Moeda 3 23 3 3 5 2 3 2" xfId="1176" xr:uid="{C21965A0-0686-4B3F-AA62-DADFD9BFE7E9}"/>
    <cellStyle name="Moeda 3 23 3 3 5 2 3 2 2" xfId="2945" xr:uid="{4BF2D5EF-0670-4561-90B2-9C492120D1DF}"/>
    <cellStyle name="Moeda 3 23 3 3 5 2 3 3" xfId="1668" xr:uid="{D2CD66C7-37EA-489E-ABEC-0240BC029244}"/>
    <cellStyle name="Moeda 3 23 3 3 5 2 3 3 2" xfId="3437" xr:uid="{1E1E8002-E173-444D-BC74-0A3756DE6849}"/>
    <cellStyle name="Moeda 3 23 3 3 5 2 3 4" xfId="2453" xr:uid="{EC0EC03F-F2BF-4F23-8862-8A355E539776}"/>
    <cellStyle name="Moeda 3 23 3 3 5 2 4" xfId="343" xr:uid="{9C9417B5-5686-43A0-A86D-2B41CC33C531}"/>
    <cellStyle name="Moeda 3 23 3 3 5 2 4 2" xfId="2121" xr:uid="{603A39E1-3B6B-4181-ADE1-C6266CF3C75B}"/>
    <cellStyle name="Moeda 3 23 3 3 5 2 5" xfId="441" xr:uid="{4B7E3DF0-C92C-46FE-A5BF-E8E4CA444FBD}"/>
    <cellStyle name="Moeda 3 23 3 3 5 2 5 2" xfId="2219" xr:uid="{22C37CC0-41F5-4B4F-9B2F-33D5DEDED98D}"/>
    <cellStyle name="Moeda 3 23 3 3 5 2 6" xfId="974" xr:uid="{F3461924-B709-4A80-ADC2-9EB551CFBDDC}"/>
    <cellStyle name="Moeda 3 23 3 3 5 2 6 2" xfId="2743" xr:uid="{01732ED7-E8E9-444F-9489-2F6ACB27F205}"/>
    <cellStyle name="Moeda 3 23 3 3 5 2 7" xfId="1466" xr:uid="{9A6EDC8F-0BC3-43EE-81A6-8BB91865EC3D}"/>
    <cellStyle name="Moeda 3 23 3 3 5 2 7 2" xfId="3235" xr:uid="{C1200C9F-8A73-4893-98CC-131A922D6B69}"/>
    <cellStyle name="Moeda 3 23 3 3 5 2 8" xfId="1989" xr:uid="{ABC4D130-8DEE-4EA6-95E4-5DC4A66CA1CC}"/>
    <cellStyle name="Moeda 3 23 3 3 5 3" xfId="824" xr:uid="{C9D266F1-9185-426E-9133-9760DFDF0119}"/>
    <cellStyle name="Moeda 3 23 3 3 5 3 2" xfId="1316" xr:uid="{0780F721-2284-41B9-A3BE-21E3985F44B2}"/>
    <cellStyle name="Moeda 3 23 3 3 5 3 2 2" xfId="3085" xr:uid="{AC5CD49A-15B6-4EBA-B471-E5ED302530AB}"/>
    <cellStyle name="Moeda 3 23 3 3 5 3 3" xfId="1808" xr:uid="{81DCE7D2-60B4-4BED-85A5-5416320613C7}"/>
    <cellStyle name="Moeda 3 23 3 3 5 3 3 2" xfId="3577" xr:uid="{FB780C95-E7C1-4A33-BFC0-3596D5AA7CFE}"/>
    <cellStyle name="Moeda 3 23 3 3 5 3 4" xfId="2593" xr:uid="{F316962E-95A0-4021-B13C-6F02D613DFCA}"/>
    <cellStyle name="Moeda 3 23 3 3 5 4" xfId="669" xr:uid="{2AB55BC0-6FAC-4AE9-A3F7-C20F0AC59D2D}"/>
    <cellStyle name="Moeda 3 23 3 3 5 4 2" xfId="1161" xr:uid="{D618BCF8-010C-4615-81CE-05A05B2DA25D}"/>
    <cellStyle name="Moeda 3 23 3 3 5 4 2 2" xfId="2930" xr:uid="{2FD019EC-DC78-40B9-98EF-0F1001D94C1C}"/>
    <cellStyle name="Moeda 3 23 3 3 5 4 3" xfId="1653" xr:uid="{A87E61B2-65D9-4F64-B442-BE7E518FA542}"/>
    <cellStyle name="Moeda 3 23 3 3 5 4 3 2" xfId="3422" xr:uid="{584E662A-AAFC-48C2-A972-B89DA7609ABF}"/>
    <cellStyle name="Moeda 3 23 3 3 5 4 4" xfId="2438" xr:uid="{8730E95F-12C8-48DB-8A7E-90C659925CC5}"/>
    <cellStyle name="Moeda 3 23 3 3 5 5" xfId="526" xr:uid="{26C7A349-678F-4FFD-9F88-3D274B62DC95}"/>
    <cellStyle name="Moeda 3 23 3 3 5 5 2" xfId="2295" xr:uid="{0A2E0D2F-8FFA-4F5D-83B7-19713284804B}"/>
    <cellStyle name="Moeda 3 23 3 3 5 6" xfId="425" xr:uid="{730A6448-4EAA-49A4-89FD-A71E3C7A9464}"/>
    <cellStyle name="Moeda 3 23 3 3 5 6 2" xfId="2203" xr:uid="{CEB70F84-59D6-459C-9A05-36FF583BF4AF}"/>
    <cellStyle name="Moeda 3 23 3 3 5 7" xfId="1031" xr:uid="{8D702470-AD50-4493-BB7A-EFF4AF632A50}"/>
    <cellStyle name="Moeda 3 23 3 3 5 7 2" xfId="2800" xr:uid="{76B00938-4F63-4F2E-BACF-5C2DBD2AE716}"/>
    <cellStyle name="Moeda 3 23 3 3 5 8" xfId="1523" xr:uid="{9EB114F2-39FC-4F04-9DB2-CE773E243C4D}"/>
    <cellStyle name="Moeda 3 23 3 3 5 8 2" xfId="3292" xr:uid="{6F23366E-8DCA-4A2E-9A5A-ED0A37023D1A}"/>
    <cellStyle name="Moeda 3 23 3 3 5 9" xfId="1974" xr:uid="{BF1F1CCA-3BCB-4087-9F03-5B53118672C8}"/>
    <cellStyle name="Moeda 3 23 3 3 6" xfId="390" xr:uid="{C3EABC27-5DA0-4FFA-A83E-3A89958B9769}"/>
    <cellStyle name="Moeda 3 23 3 3 6 2" xfId="2168" xr:uid="{108227C2-89B9-4EEF-BCBD-BF2F1DE12F9C}"/>
    <cellStyle name="Moeda 3 23 3 3 7" xfId="1083" xr:uid="{D5EB237E-4E46-43D1-BBFF-C492A35B24A2}"/>
    <cellStyle name="Moeda 3 23 3 3 7 2" xfId="2852" xr:uid="{4621B66F-4DA0-4FF2-AD46-5B1A40C82A03}"/>
    <cellStyle name="Moeda 3 23 3 3 8" xfId="1575" xr:uid="{113C9A27-9CEF-4631-B4B7-E45625183224}"/>
    <cellStyle name="Moeda 3 23 3 3 8 2" xfId="3344" xr:uid="{BCB4657D-DACD-4473-A339-E59105EE30FD}"/>
    <cellStyle name="Moeda 3 23 3 3 9" xfId="1939" xr:uid="{183E946A-D3A0-48D3-AF58-BD731CAC39E7}"/>
    <cellStyle name="Moeda 3 23 3 4" xfId="596" xr:uid="{3D1852FD-2AAC-46AF-9644-F3D158F97BB1}"/>
    <cellStyle name="Moeda 3 23 3 4 2" xfId="1088" xr:uid="{60642DF0-5543-43A9-BE70-0894F843F320}"/>
    <cellStyle name="Moeda 3 23 3 4 2 2" xfId="2857" xr:uid="{F95E0E03-E317-40E7-8248-3D42B756D3A9}"/>
    <cellStyle name="Moeda 3 23 3 4 3" xfId="1580" xr:uid="{9225311D-1230-4578-8B48-0D1EDDB441BA}"/>
    <cellStyle name="Moeda 3 23 3 4 3 2" xfId="3349" xr:uid="{C093EEEB-EDEB-4D92-B64E-8111E8E44FB1}"/>
    <cellStyle name="Moeda 3 23 3 4 4" xfId="2365" xr:uid="{6011CE44-7AF0-4C9D-B9F2-CAA94BCD67F1}"/>
    <cellStyle name="Moeda 3 23 3 5" xfId="558" xr:uid="{F7A36E94-032E-45E9-9BEA-0643B7C29FEB}"/>
    <cellStyle name="Moeda 3 23 3 5 2" xfId="2327" xr:uid="{4AB371FA-F44E-4F87-828C-3A77977FC96A}"/>
    <cellStyle name="Moeda 3 23 3 6" xfId="353" xr:uid="{5D8D5610-F4BC-4272-922B-FACA441B4E9C}"/>
    <cellStyle name="Moeda 3 23 3 6 2" xfId="2131" xr:uid="{66A49EAA-601F-4A69-8EB9-B518FA1A3FC2}"/>
    <cellStyle name="Moeda 3 23 3 7" xfId="1056" xr:uid="{C69565D9-7003-4E36-B325-8F189D81CF27}"/>
    <cellStyle name="Moeda 3 23 3 7 2" xfId="2825" xr:uid="{1C44E9F4-4651-4BF7-8757-64623F5055C2}"/>
    <cellStyle name="Moeda 3 23 3 8" xfId="1548" xr:uid="{5AB3A3EB-D3A2-4518-8CBD-AF8DD2D8E6DC}"/>
    <cellStyle name="Moeda 3 23 3 8 2" xfId="3317" xr:uid="{66005C65-7FD3-4437-9575-98AB1CC54189}"/>
    <cellStyle name="Moeda 3 23 3 9" xfId="1902" xr:uid="{32523F59-8E0A-4D1E-A0E3-32C79223CD82}"/>
    <cellStyle name="Moeda 3 23 4" xfId="982" xr:uid="{F065BF2E-4D5E-4981-942E-7C7C33654E00}"/>
    <cellStyle name="Moeda 3 23 4 2" xfId="2751" xr:uid="{76B1AF7E-9C9A-4553-87EE-08441C14AF36}"/>
    <cellStyle name="Moeda 3 23 5" xfId="1474" xr:uid="{A9D170F4-302D-4F5B-85C1-9AC547236FA4}"/>
    <cellStyle name="Moeda 3 23 5 2" xfId="3243" xr:uid="{C564E1E1-E2AE-4AA2-97C2-3A326DE3699E}"/>
    <cellStyle name="Moeda 3 23 6" xfId="2129" xr:uid="{B8A198AD-2A41-494F-86D0-51D48A29D8C7}"/>
    <cellStyle name="Moeda 3 24" xfId="42" xr:uid="{B61D253D-45A7-44D0-A6E1-FF96D9333A84}"/>
    <cellStyle name="Moeda 3 24 2" xfId="726" xr:uid="{102651B9-7556-40C7-B3F8-BB579E80022E}"/>
    <cellStyle name="Moeda 3 24 2 2" xfId="1218" xr:uid="{6A4BBA26-E4A2-492C-99FB-ED5A14898778}"/>
    <cellStyle name="Moeda 3 24 2 2 2" xfId="2987" xr:uid="{D2CDB44F-7ACE-4C75-82E3-A12FD3B63ED6}"/>
    <cellStyle name="Moeda 3 24 2 3" xfId="1710" xr:uid="{D50F2C31-D8BF-404E-AD8C-572E31C120FE}"/>
    <cellStyle name="Moeda 3 24 2 3 2" xfId="3479" xr:uid="{66004441-2B19-4AEE-8AB7-A29873CEA9C5}"/>
    <cellStyle name="Moeda 3 24 2 4" xfId="2495" xr:uid="{45003320-EAF2-4BA7-976E-7103059B5CD4}"/>
    <cellStyle name="Moeda 3 24 3" xfId="495" xr:uid="{7E84725F-51DB-43FF-9B34-CC0FB0451505}"/>
    <cellStyle name="Moeda 3 24 3 2" xfId="1007" xr:uid="{1BB5663E-CBDE-4C50-9DA0-7BC986633948}"/>
    <cellStyle name="Moeda 3 24 3 2 2" xfId="2776" xr:uid="{74F053DF-5D10-4C34-B8E1-88FF4A394C87}"/>
    <cellStyle name="Moeda 3 24 3 3" xfId="1499" xr:uid="{414EAD0D-F2E9-4878-BEDC-B34D8471603E}"/>
    <cellStyle name="Moeda 3 24 3 3 2" xfId="3268" xr:uid="{1135DECA-7D7E-4D69-90F3-25C9DDC4CEE8}"/>
    <cellStyle name="Moeda 3 24 3 4" xfId="2264" xr:uid="{F79F46F5-11F9-45B7-B3D2-26CD5BD57ACF}"/>
    <cellStyle name="Moeda 3 24 4" xfId="65" xr:uid="{065940D8-B432-4965-93C4-298B326C4268}"/>
    <cellStyle name="Moeda 3 24 4 2" xfId="108" xr:uid="{A6FF41E2-5B17-4E6F-A2C3-2FDD269D5716}"/>
    <cellStyle name="Moeda 3 24 4 2 2" xfId="784" xr:uid="{217A37EC-2580-4D59-B517-841BADB1504D}"/>
    <cellStyle name="Moeda 3 24 4 2 2 2" xfId="1276" xr:uid="{CEEE8ACC-0F92-453F-979A-4A356A104B3D}"/>
    <cellStyle name="Moeda 3 24 4 2 2 2 2" xfId="3045" xr:uid="{94609829-454F-48D4-9B13-931216D0A7C9}"/>
    <cellStyle name="Moeda 3 24 4 2 2 3" xfId="1768" xr:uid="{57DC530D-74B7-4E52-9D09-4BA942BF79CE}"/>
    <cellStyle name="Moeda 3 24 4 2 2 3 2" xfId="3537" xr:uid="{F9836959-86BA-47C6-82DD-482D7BCC7E4A}"/>
    <cellStyle name="Moeda 3 24 4 2 2 4" xfId="2553" xr:uid="{1437D3CF-5E0B-4F10-94B2-42B18FA69EEE}"/>
    <cellStyle name="Moeda 3 24 4 2 3" xfId="635" xr:uid="{76258EE8-444D-42B5-AB06-AF7DA4584950}"/>
    <cellStyle name="Moeda 3 24 4 2 3 2" xfId="1127" xr:uid="{5F17B3CC-B58B-4FD8-B027-6EE967E6C4CC}"/>
    <cellStyle name="Moeda 3 24 4 2 3 2 2" xfId="2896" xr:uid="{8A5F12FB-FF46-4590-866A-220B4E9D559A}"/>
    <cellStyle name="Moeda 3 24 4 2 3 3" xfId="1619" xr:uid="{D2C5A311-F257-47E6-96DE-9ACB1582C3BB}"/>
    <cellStyle name="Moeda 3 24 4 2 3 3 2" xfId="3388" xr:uid="{C65865C1-29FF-48ED-B917-309C9E0F0943}"/>
    <cellStyle name="Moeda 3 24 4 2 3 4" xfId="2404" xr:uid="{6B3B4FEA-76F7-4D5C-9D25-A425A298A99F}"/>
    <cellStyle name="Moeda 3 24 4 2 4" xfId="260" xr:uid="{73FC88B0-2918-45DC-99D9-76BCEC4DF181}"/>
    <cellStyle name="Moeda 3 24 4 2 4 2" xfId="2044" xr:uid="{0847851A-A5E2-4195-BCF7-FCA80E8BF956}"/>
    <cellStyle name="Moeda 3 24 4 2 5" xfId="386" xr:uid="{0A84A0EE-9D92-4079-BA8A-AC8741E40F84}"/>
    <cellStyle name="Moeda 3 24 4 2 5 2" xfId="2164" xr:uid="{E5DC6262-C59E-45B7-A574-31760ABE24CB}"/>
    <cellStyle name="Moeda 3 24 4 2 6" xfId="908" xr:uid="{17545B6F-094C-4102-86AC-48335B84E73F}"/>
    <cellStyle name="Moeda 3 24 4 2 6 2" xfId="2677" xr:uid="{74838698-D325-47A0-B884-E450A5C68A51}"/>
    <cellStyle name="Moeda 3 24 4 2 7" xfId="153" xr:uid="{B8ADA2F5-E5ED-4367-A08A-D7D32ACF30B4}"/>
    <cellStyle name="Moeda 3 24 4 2 7 2" xfId="837" xr:uid="{4D3613E6-B955-497B-914D-053F93082AC5}"/>
    <cellStyle name="Moeda 3 24 4 2 7 2 2" xfId="1329" xr:uid="{DFCB3038-5641-4D6C-AF33-546713CF98C8}"/>
    <cellStyle name="Moeda 3 24 4 2 7 2 2 2" xfId="3098" xr:uid="{97EFCE88-B588-447F-8DAD-48F27B3D166E}"/>
    <cellStyle name="Moeda 3 24 4 2 7 2 3" xfId="1821" xr:uid="{E78D8043-9D96-4569-B79A-17B0A8294404}"/>
    <cellStyle name="Moeda 3 24 4 2 7 2 3 2" xfId="3590" xr:uid="{FCC855ED-0DFD-4506-92EF-474A7EDDB69F}"/>
    <cellStyle name="Moeda 3 24 4 2 7 2 4" xfId="2606" xr:uid="{BDA96E89-932D-46AA-8A38-880C0E8D5CBF}"/>
    <cellStyle name="Moeda 3 24 4 2 7 3" xfId="678" xr:uid="{6D828338-67D7-45B5-8795-55B24E79BE47}"/>
    <cellStyle name="Moeda 3 24 4 2 7 3 2" xfId="1170" xr:uid="{49CC9021-1B95-48D1-845F-2FBFCB840A19}"/>
    <cellStyle name="Moeda 3 24 4 2 7 3 2 2" xfId="2939" xr:uid="{B979C823-16F9-4C74-8C38-253BFF6219DB}"/>
    <cellStyle name="Moeda 3 24 4 2 7 3 3" xfId="1662" xr:uid="{CC9AC788-7847-4E82-A36B-420981D038A9}"/>
    <cellStyle name="Moeda 3 24 4 2 7 3 3 2" xfId="3431" xr:uid="{1590848E-F8BF-411F-8209-4AFB2485CA89}"/>
    <cellStyle name="Moeda 3 24 4 2 7 3 4" xfId="2447" xr:uid="{C6F2ADD6-5FC1-4340-8751-A2BD414F36FB}"/>
    <cellStyle name="Moeda 3 24 4 2 7 4" xfId="324" xr:uid="{A70D8200-4CCE-4A56-ADE5-CE3B11FF84AA}"/>
    <cellStyle name="Moeda 3 24 4 2 7 4 2" xfId="2102" xr:uid="{2D49E895-C1CC-4F72-A487-488C845CA496}"/>
    <cellStyle name="Moeda 3 24 4 2 7 5" xfId="438" xr:uid="{ABA542D9-FB95-4456-9EEE-C5F223ADC95B}"/>
    <cellStyle name="Moeda 3 24 4 2 7 5 2" xfId="2216" xr:uid="{CB0A9975-8C82-444A-A29B-A3432F24156C}"/>
    <cellStyle name="Moeda 3 24 4 2 7 6" xfId="956" xr:uid="{B0D22CA4-F046-4491-A9B5-E06CB4CD3C78}"/>
    <cellStyle name="Moeda 3 24 4 2 7 6 2" xfId="2725" xr:uid="{6BC717E3-0BCA-4E41-A8B4-16C731925C59}"/>
    <cellStyle name="Moeda 3 24 4 2 7 7" xfId="1448" xr:uid="{022577A0-263B-4BA0-9EF0-C2D12E547C89}"/>
    <cellStyle name="Moeda 3 24 4 2 7 7 2" xfId="3217" xr:uid="{8526E933-1054-4840-95BB-573A2E61A997}"/>
    <cellStyle name="Moeda 3 24 4 2 7 8" xfId="1983" xr:uid="{904EFD32-D904-4119-8671-B6C24FC3D9C1}"/>
    <cellStyle name="Moeda 3 24 4 2 8" xfId="1400" xr:uid="{CA03AA44-A627-43B2-83BF-58A87075FA29}"/>
    <cellStyle name="Moeda 3 24 4 2 8 2" xfId="3169" xr:uid="{586BED11-A893-4076-A0C2-4BF83196782D}"/>
    <cellStyle name="Moeda 3 24 4 2 9" xfId="1940" xr:uid="{D6EBF283-D8FA-4B26-8C61-4CE627C5AD01}"/>
    <cellStyle name="Moeda 3 24 4 3" xfId="751" xr:uid="{2B8763FF-5E6A-4C8F-9C26-BD72732A2DF1}"/>
    <cellStyle name="Moeda 3 24 4 3 2" xfId="1243" xr:uid="{56D680B0-2CCB-4D44-930A-EE5C945DC331}"/>
    <cellStyle name="Moeda 3 24 4 3 2 2" xfId="3012" xr:uid="{E520CCF6-C6A4-4224-9C28-549959068536}"/>
    <cellStyle name="Moeda 3 24 4 3 3" xfId="1735" xr:uid="{58A71D15-2679-4917-8C4E-828AEBA5A614}"/>
    <cellStyle name="Moeda 3 24 4 3 3 2" xfId="3504" xr:uid="{55EDD3AD-9E4A-4F21-B2ED-A423FF451ABF}"/>
    <cellStyle name="Moeda 3 24 4 3 4" xfId="2520" xr:uid="{90A3456E-95CB-46BC-A990-167F4BB759EC}"/>
    <cellStyle name="Moeda 3 24 4 4" xfId="503" xr:uid="{1A056012-F701-4579-80BE-ECA68B9C63BA}"/>
    <cellStyle name="Moeda 3 24 4 4 2" xfId="1013" xr:uid="{6DC6524E-F625-481B-B1C7-A37B720D6DBF}"/>
    <cellStyle name="Moeda 3 24 4 4 2 2" xfId="2782" xr:uid="{B3054C5E-243A-41EA-85E9-BE72595E8FC6}"/>
    <cellStyle name="Moeda 3 24 4 4 3" xfId="1505" xr:uid="{46D5E00B-E424-4DBB-A30B-D52DC9CA6578}"/>
    <cellStyle name="Moeda 3 24 4 4 3 2" xfId="3274" xr:uid="{5A14FDB3-42AF-44DA-B96C-37443DCE5EA2}"/>
    <cellStyle name="Moeda 3 24 4 4 4" xfId="2272" xr:uid="{13CCE33E-E0A8-44C5-9502-68B291D2A65F}"/>
    <cellStyle name="Moeda 3 24 4 5" xfId="278" xr:uid="{8B12F50C-5396-4D73-9E70-30F9CE9E65B4}"/>
    <cellStyle name="Moeda 3 24 4 5 2" xfId="2062" xr:uid="{F85E7FE4-D997-424C-A8E4-0AC596DCF49C}"/>
    <cellStyle name="Moeda 3 24 4 6" xfId="355" xr:uid="{B922F237-DCCA-4379-AF3A-AC6AA664ADDC}"/>
    <cellStyle name="Moeda 3 24 4 6 2" xfId="2133" xr:uid="{49F93896-CA00-44F5-A1EE-86B4FEAA03FD}"/>
    <cellStyle name="Moeda 3 24 4 7" xfId="925" xr:uid="{720FE950-DAAC-4F80-84EA-A1CF2F6403E7}"/>
    <cellStyle name="Moeda 3 24 4 7 2" xfId="2694" xr:uid="{6643F5E5-95F2-42ED-81E3-A7C4CB314ACB}"/>
    <cellStyle name="Moeda 3 24 4 8" xfId="1417" xr:uid="{3E2A025F-7935-4763-81EE-821D8614CB40}"/>
    <cellStyle name="Moeda 3 24 4 8 2" xfId="3186" xr:uid="{8085EFE6-364B-4EFB-86D9-2ED331E01D1F}"/>
    <cellStyle name="Moeda 3 24 4 9" xfId="1904" xr:uid="{5D167829-7030-4BAF-A6C9-17B3F8F2353D}"/>
    <cellStyle name="Moeda 3 24 5" xfId="539" xr:uid="{692F4230-32E7-494F-AD27-E596DBE40C2D}"/>
    <cellStyle name="Moeda 3 24 5 2" xfId="2308" xr:uid="{35F4FFD1-B781-41C8-90F1-CEBB84D646DE}"/>
    <cellStyle name="Moeda 3 24 6" xfId="240" xr:uid="{1CC0C544-499F-4190-898F-EBCE68981DED}"/>
    <cellStyle name="Moeda 3 24 6 2" xfId="2024" xr:uid="{E121148F-6551-4883-BBCF-CA085173573E}"/>
    <cellStyle name="Moeda 3 24 7" xfId="888" xr:uid="{D02C3256-2B90-4DE9-B523-95B36A74F062}"/>
    <cellStyle name="Moeda 3 24 7 2" xfId="2657" xr:uid="{311127AC-3EE4-4B3D-AA11-325C8053162D}"/>
    <cellStyle name="Moeda 3 24 8" xfId="1380" xr:uid="{B8F25418-D30C-4B18-8A6C-7BF91D780067}"/>
    <cellStyle name="Moeda 3 24 8 2" xfId="3149" xr:uid="{2237CD29-9306-464A-A589-3C7712781B39}"/>
    <cellStyle name="Moeda 3 24 9" xfId="1883" xr:uid="{6A1BE777-B371-45BE-B8CE-8E1F4BDBF9EA}"/>
    <cellStyle name="Moeda 3 26" xfId="53" xr:uid="{E1124579-4622-48A5-A9EE-9BAA00935045}"/>
    <cellStyle name="Moeda 3 26 2" xfId="741" xr:uid="{A0A8D9D9-FCA7-4550-848F-D76435B1643F}"/>
    <cellStyle name="Moeda 3 26 2 2" xfId="1233" xr:uid="{B88BD49E-B155-4244-9C21-E8E91D1A5ADC}"/>
    <cellStyle name="Moeda 3 26 2 2 2" xfId="3002" xr:uid="{0957D640-2534-42D5-B175-771ED3C6995A}"/>
    <cellStyle name="Moeda 3 26 2 3" xfId="1725" xr:uid="{737CA028-6D26-44C2-B754-955174CFA31E}"/>
    <cellStyle name="Moeda 3 26 2 3 2" xfId="3494" xr:uid="{96AA867B-4AB5-458E-8493-F97B242C280E}"/>
    <cellStyle name="Moeda 3 26 2 4" xfId="2510" xr:uid="{A17BADD3-D29A-4650-B179-DC5E8EBA7A89}"/>
    <cellStyle name="Moeda 3 26 3" xfId="569" xr:uid="{F67F1824-E13C-45C6-B553-69B3FC90EF82}"/>
    <cellStyle name="Moeda 3 26 3 2" xfId="1066" xr:uid="{8AFC4BB4-242D-414E-9109-21872AAF1C92}"/>
    <cellStyle name="Moeda 3 26 3 2 2" xfId="2835" xr:uid="{90998E7F-6E4D-4546-A2D0-7A96A3B8547C}"/>
    <cellStyle name="Moeda 3 26 3 3" xfId="1558" xr:uid="{52D4612E-2010-4316-8C69-F384213A8685}"/>
    <cellStyle name="Moeda 3 26 3 3 2" xfId="3327" xr:uid="{0866097C-04BD-4D19-855D-52D206A00D5E}"/>
    <cellStyle name="Moeda 3 26 3 4" xfId="2338" xr:uid="{F2A0A987-8308-4FEC-9EBE-39C8591C4E49}"/>
    <cellStyle name="Moeda 3 26 4" xfId="486" xr:uid="{7230750D-CD05-48C8-87EB-C163225AAD2C}"/>
    <cellStyle name="Moeda 3 26 4 2" xfId="2255" xr:uid="{EDD18674-E071-4A07-8C7B-9E569F909F3C}"/>
    <cellStyle name="Moeda 3 26 5" xfId="251" xr:uid="{5B9D6039-9417-4DD8-818E-D2838DC93718}"/>
    <cellStyle name="Moeda 3 26 5 2" xfId="2035" xr:uid="{1C91AC5B-63B0-453E-BCE5-DC545E627295}"/>
    <cellStyle name="Moeda 3 26 6" xfId="899" xr:uid="{E6568280-1474-44DF-94EF-730380125569}"/>
    <cellStyle name="Moeda 3 26 6 2" xfId="2668" xr:uid="{6A26A18E-D491-4EE0-8E32-9F5AFDEA64AA}"/>
    <cellStyle name="Moeda 3 26 7" xfId="1391" xr:uid="{865FC270-7BF3-4FD3-8525-3C62D49062FD}"/>
    <cellStyle name="Moeda 3 26 7 2" xfId="3160" xr:uid="{5AE5DA04-75B8-4EF0-A583-35343A18F89C}"/>
    <cellStyle name="Moeda 3 26 8" xfId="1894" xr:uid="{A229FC6C-4206-46FC-94B4-DEC1793B0301}"/>
    <cellStyle name="Moeda 3 27" xfId="88" xr:uid="{9C97BD9E-02CE-4DE7-BEE2-F9338871494B}"/>
    <cellStyle name="Moeda 3 27 2" xfId="109" xr:uid="{A3361103-AE07-4FF2-A282-4F9FEFFFE8F0}"/>
    <cellStyle name="Moeda 3 27 2 2" xfId="791" xr:uid="{7D0AD4FF-1FFF-4459-9821-52C4224D7CE3}"/>
    <cellStyle name="Moeda 3 27 2 2 2" xfId="1283" xr:uid="{A36D53F6-6119-4B8C-BE85-5456870C2183}"/>
    <cellStyle name="Moeda 3 27 2 2 2 2" xfId="3052" xr:uid="{5DBBBD00-D887-4AAD-AB8F-BBFDE3F8E4C4}"/>
    <cellStyle name="Moeda 3 27 2 2 3" xfId="1775" xr:uid="{F17D92CD-D22D-4042-8864-7148919EE299}"/>
    <cellStyle name="Moeda 3 27 2 2 3 2" xfId="3544" xr:uid="{5BCB67F6-6CA3-4665-B83B-E0BA47BF0A8C}"/>
    <cellStyle name="Moeda 3 27 2 2 4" xfId="2560" xr:uid="{BFC0CFC9-9212-4FBB-94E0-AA4EEDC68F4A}"/>
    <cellStyle name="Moeda 3 27 2 3" xfId="636" xr:uid="{C67000C6-E61B-4583-90A6-04BF6D2C6DEE}"/>
    <cellStyle name="Moeda 3 27 2 3 2" xfId="1128" xr:uid="{A700643B-59D9-4626-AEB9-A26B46A6656A}"/>
    <cellStyle name="Moeda 3 27 2 3 2 2" xfId="2897" xr:uid="{3C0861C5-CFF0-4A00-B83F-81122ADEA173}"/>
    <cellStyle name="Moeda 3 27 2 3 3" xfId="1620" xr:uid="{61C79FD9-CAF6-41DD-B218-1F72DA72C364}"/>
    <cellStyle name="Moeda 3 27 2 3 3 2" xfId="3389" xr:uid="{C61CA5D4-DE37-4E5B-BF8E-EED5F1E09FAD}"/>
    <cellStyle name="Moeda 3 27 2 3 4" xfId="2405" xr:uid="{8A376EAD-9A9E-4119-A707-76C3295647ED}"/>
    <cellStyle name="Moeda 3 27 2 4" xfId="498" xr:uid="{DADCA358-7F82-4CFE-BF98-8A5C9240B704}"/>
    <cellStyle name="Moeda 3 27 2 4 2" xfId="2267" xr:uid="{D5A1E961-02A4-439E-B299-25F5CF9FAEA1}"/>
    <cellStyle name="Moeda 3 27 2 5" xfId="393" xr:uid="{6FE3ACBB-4A14-4C36-8A3E-5ED2A7AABD6F}"/>
    <cellStyle name="Moeda 3 27 2 5 2" xfId="2171" xr:uid="{4FBBF748-2B8B-44C3-92B8-16AB4498397D}"/>
    <cellStyle name="Moeda 3 27 2 6" xfId="1009" xr:uid="{2C54D922-EACB-40E0-A7CC-3E2556FF854A}"/>
    <cellStyle name="Moeda 3 27 2 6 2" xfId="2778" xr:uid="{8B4E471D-9252-41AA-A7E2-9D15425E12FF}"/>
    <cellStyle name="Moeda 3 27 2 7" xfId="1501" xr:uid="{85E33FFA-F97B-4D0D-AD84-DE8ABD0C5A07}"/>
    <cellStyle name="Moeda 3 27 2 7 2" xfId="3270" xr:uid="{C136A13D-27AC-4901-9900-94C7E0C6BF06}"/>
    <cellStyle name="Moeda 3 27 2 8" xfId="1941" xr:uid="{3EBDCB0D-B96C-4330-B0EC-8CFE994C5D5A}"/>
    <cellStyle name="Moeda 3 27 3" xfId="769" xr:uid="{C79372AE-DC4A-4EBB-ACDE-42DC7AA245E6}"/>
    <cellStyle name="Moeda 3 27 3 2" xfId="1261" xr:uid="{0423C14E-361A-4403-9CA8-9C401C0D6A3A}"/>
    <cellStyle name="Moeda 3 27 3 2 2" xfId="3030" xr:uid="{2BF4D935-C358-443C-A9C6-9F0F822A0C89}"/>
    <cellStyle name="Moeda 3 27 3 3" xfId="1753" xr:uid="{70068082-955A-4D4D-B32B-D15E6B0BBB32}"/>
    <cellStyle name="Moeda 3 27 3 3 2" xfId="3522" xr:uid="{73FF129E-5DC7-49B3-9A5A-639272D73C1C}"/>
    <cellStyle name="Moeda 3 27 3 4" xfId="2538" xr:uid="{9F26A6A5-D39D-4A81-B568-2E0D8F79932E}"/>
    <cellStyle name="Moeda 3 27 4" xfId="617" xr:uid="{BB80D485-8BCC-478C-A02D-C24AF31830EF}"/>
    <cellStyle name="Moeda 3 27 4 2" xfId="1109" xr:uid="{DD4ED013-AEB3-4A1E-A031-7C1806140D23}"/>
    <cellStyle name="Moeda 3 27 4 2 2" xfId="2878" xr:uid="{E2EFAF1F-8DD9-40AC-8959-29A3AFFFF3CE}"/>
    <cellStyle name="Moeda 3 27 4 3" xfId="1601" xr:uid="{A790F9CE-1D0E-481C-AEAB-5658B12D9706}"/>
    <cellStyle name="Moeda 3 27 4 3 2" xfId="3370" xr:uid="{3A3991E4-BF13-4D28-B8C1-710E6F305F3B}"/>
    <cellStyle name="Moeda 3 27 4 4" xfId="2386" xr:uid="{E42737E1-72C8-4CB2-BB23-AB6CF792C463}"/>
    <cellStyle name="Moeda 3 27 5" xfId="595" xr:uid="{47177A5B-AB40-48C6-B864-195DDD94DF58}"/>
    <cellStyle name="Moeda 3 27 5 2" xfId="2364" xr:uid="{F7AEEE2E-FFE6-48F5-8A99-05B0164B7686}"/>
    <cellStyle name="Moeda 3 27 6" xfId="371" xr:uid="{08395AD0-8AC9-4183-B850-59BC6D06D235}"/>
    <cellStyle name="Moeda 3 27 6 2" xfId="2149" xr:uid="{DA946185-85A4-451F-A57A-12AAEF03AD92}"/>
    <cellStyle name="Moeda 3 27 7" xfId="1087" xr:uid="{F0103D52-DAA7-4CEC-A1FA-B8F7151CFA20}"/>
    <cellStyle name="Moeda 3 27 7 2" xfId="2856" xr:uid="{C2227F86-5590-472C-B796-C8C2B25551F0}"/>
    <cellStyle name="Moeda 3 27 8" xfId="1579" xr:uid="{B3A85629-4ACC-4945-9845-BFACC695AEBE}"/>
    <cellStyle name="Moeda 3 27 8 2" xfId="3348" xr:uid="{C3906CDD-AB44-45C2-ABDF-1554B49AF5FD}"/>
    <cellStyle name="Moeda 3 27 9" xfId="1922" xr:uid="{9C72C46A-D67A-4A3B-8024-34028551556F}"/>
    <cellStyle name="Moeda 3 3" xfId="701" xr:uid="{562969B9-D851-485F-A92D-85ACA758D576}"/>
    <cellStyle name="Moeda 3 3 2" xfId="1193" xr:uid="{2386D19E-7325-4751-BF31-EAC9C2D231F8}"/>
    <cellStyle name="Moeda 3 3 2 2" xfId="2962" xr:uid="{C9764693-3030-417A-B5B1-C3D541DEC235}"/>
    <cellStyle name="Moeda 3 3 3" xfId="1685" xr:uid="{5D0406BD-573C-49D6-8E66-65F534CA91E5}"/>
    <cellStyle name="Moeda 3 3 3 2" xfId="3454" xr:uid="{2B904041-09FA-4C4E-9B5F-1DE5BA15791B}"/>
    <cellStyle name="Moeda 3 3 4" xfId="2470" xr:uid="{45E7B7F7-BD24-43E4-B651-3E5183CFDF9C}"/>
    <cellStyle name="Moeda 3 30" xfId="70" xr:uid="{4C1185B5-B9EC-4028-8D34-D0EF69A07B2D}"/>
    <cellStyle name="Moeda 3 30 2" xfId="756" xr:uid="{A1A392AB-DEC2-4AE4-98B0-F3F5D4A858AE}"/>
    <cellStyle name="Moeda 3 30 2 2" xfId="1248" xr:uid="{DC26E166-F0EE-4B8D-A9AE-1CC3D4180A0E}"/>
    <cellStyle name="Moeda 3 30 2 2 2" xfId="3017" xr:uid="{93F9864E-7A76-4D90-9341-759279E09F5A}"/>
    <cellStyle name="Moeda 3 30 2 3" xfId="1740" xr:uid="{68B6D20D-9E51-430A-991D-54C5F796C7EE}"/>
    <cellStyle name="Moeda 3 30 2 3 2" xfId="3509" xr:uid="{E94F0652-6822-4660-9306-368AD5714763}"/>
    <cellStyle name="Moeda 3 30 2 4" xfId="2525" xr:uid="{1EEDBFCC-953F-4974-AD31-FB04A2EFEE74}"/>
    <cellStyle name="Moeda 3 30 3" xfId="603" xr:uid="{F612339F-BC56-48F9-8757-B6EFB11831C8}"/>
    <cellStyle name="Moeda 3 30 3 2" xfId="1095" xr:uid="{0098578F-0356-4E1B-ACE2-3180C16F8F60}"/>
    <cellStyle name="Moeda 3 30 3 2 2" xfId="2864" xr:uid="{788FE33D-EB07-40CA-8CDD-401D6DC21F5E}"/>
    <cellStyle name="Moeda 3 30 3 3" xfId="1587" xr:uid="{A3CFBE23-2084-4219-9F5B-B1A6C979DD05}"/>
    <cellStyle name="Moeda 3 30 3 3 2" xfId="3356" xr:uid="{5997E38E-EBDC-40F1-AF9B-E86C173ADAFB}"/>
    <cellStyle name="Moeda 3 30 3 4" xfId="2372" xr:uid="{050355E1-E6A4-4EBF-9621-62A45E961969}"/>
    <cellStyle name="Moeda 3 30 4" xfId="270" xr:uid="{4F32B72A-A4AC-432F-83E7-9F93818405F1}"/>
    <cellStyle name="Moeda 3 30 4 2" xfId="2054" xr:uid="{FF82FF5C-AA9E-4611-A3E2-FFBE397FABD4}"/>
    <cellStyle name="Moeda 3 30 5" xfId="359" xr:uid="{091FEEB3-C73D-41B5-87F0-5C67FBE346E3}"/>
    <cellStyle name="Moeda 3 30 5 2" xfId="2137" xr:uid="{FC4FAF22-247D-4A11-86B5-C6E386BE64C4}"/>
    <cellStyle name="Moeda 3 30 6" xfId="917" xr:uid="{503AF68E-9B73-4FB2-8D15-73DF7E751C19}"/>
    <cellStyle name="Moeda 3 30 6 2" xfId="2686" xr:uid="{CC4ABE3C-E3ED-483C-B22C-7F53342ED55D}"/>
    <cellStyle name="Moeda 3 30 7" xfId="1409" xr:uid="{FAFEFD41-8E10-47BB-93E8-BC55D5A9837D}"/>
    <cellStyle name="Moeda 3 30 7 2" xfId="3178" xr:uid="{988819C9-89AB-427A-A314-B448712B0543}"/>
    <cellStyle name="Moeda 3 30 8" xfId="1908" xr:uid="{0F2F0ACA-F7CD-40CB-B5A7-B95B56277CC3}"/>
    <cellStyle name="Moeda 3 31" xfId="71" xr:uid="{728FC6E4-D999-4ECC-82D8-838F3408EBE6}"/>
    <cellStyle name="Moeda 3 31 2" xfId="263" xr:uid="{BE5B7DEA-87B7-4156-9606-53399287DAC4}"/>
    <cellStyle name="Moeda 3 31 2 2" xfId="858" xr:uid="{9A6040A8-2FC7-4E18-807C-28C4C1616B60}"/>
    <cellStyle name="Moeda 3 31 2 2 2" xfId="1350" xr:uid="{4FFF6B48-3980-4D33-9584-EC37272719A0}"/>
    <cellStyle name="Moeda 3 31 2 2 2 2" xfId="1857" xr:uid="{2E9707B3-F5ED-44F9-AE0F-5E8E1E964126}"/>
    <cellStyle name="Moeda 3 31 2 2 2 2 2" xfId="3626" xr:uid="{9E12ADF2-FD1C-4BA2-B4E4-F4DD9B0492CF}"/>
    <cellStyle name="Moeda 3 31 2 2 2 2 3" xfId="3630" xr:uid="{9CF0566B-E662-428A-9DC0-88559AB0EB9F}"/>
    <cellStyle name="Moeda 3 31 2 2 2 2 3 2" xfId="3632" xr:uid="{2D24B8D8-4CB5-4B46-8702-988C8C44C5DA}"/>
    <cellStyle name="Moeda 3 31 2 2 2 2 3 2 2" xfId="3638" xr:uid="{CE1A7D52-B013-45ED-B61B-09406AD1D609}"/>
    <cellStyle name="Moeda 3 31 2 2 2 3" xfId="3119" xr:uid="{C2E6C24D-EC27-4A1E-8792-1B778C9A4E10}"/>
    <cellStyle name="Moeda 3 31 2 2 3" xfId="1842" xr:uid="{B2C7007A-0637-4CF5-8951-3BD380DDA4FA}"/>
    <cellStyle name="Moeda 3 31 2 2 3 2" xfId="3611" xr:uid="{747C600F-AB89-4F9B-9609-2CB79DB00168}"/>
    <cellStyle name="Moeda 3 31 2 2 4" xfId="2627" xr:uid="{172879CC-5A38-4EF9-BC8D-31382BB7543B}"/>
    <cellStyle name="Moeda 3 31 2 3" xfId="911" xr:uid="{39084184-2461-4605-BF1D-A687ACAB179E}"/>
    <cellStyle name="Moeda 3 31 2 3 2" xfId="2680" xr:uid="{D51BB10C-FAAA-4579-BD4E-5218069FA2EF}"/>
    <cellStyle name="Moeda 3 31 2 4" xfId="1403" xr:uid="{DFAAF932-F27B-459F-BBC6-25C5294D75C9}"/>
    <cellStyle name="Moeda 3 31 2 4 2" xfId="3172" xr:uid="{5E2021E1-C1BA-4F94-B0E3-38AE1C464C49}"/>
    <cellStyle name="Moeda 3 31 2 5" xfId="2047" xr:uid="{20BD7B1E-2744-413B-BC59-BA013DEFB1FC}"/>
    <cellStyle name="Moeda 3 31 3" xfId="755" xr:uid="{D76C51A3-77F8-4AB7-9EC0-006CCDB7C5D3}"/>
    <cellStyle name="Moeda 3 31 3 2" xfId="1247" xr:uid="{45272471-3609-469F-9A3C-2C3782690364}"/>
    <cellStyle name="Moeda 3 31 3 2 2" xfId="3016" xr:uid="{030CD205-75FA-4935-B12C-E9B2359D4C53}"/>
    <cellStyle name="Moeda 3 31 3 3" xfId="1739" xr:uid="{3DEC3D50-5285-4293-83C2-1CE61A2E695A}"/>
    <cellStyle name="Moeda 3 31 3 3 2" xfId="3508" xr:uid="{38F1B29C-E1A8-4A17-B396-72D0E397ECE1}"/>
    <cellStyle name="Moeda 3 31 3 4" xfId="2524" xr:uid="{33CCAF72-4DCE-43EE-8FB7-AA2DB524F6AD}"/>
    <cellStyle name="Moeda 3 31 4" xfId="604" xr:uid="{913A1B52-AA8E-45B8-8736-7105005C8440}"/>
    <cellStyle name="Moeda 3 31 4 2" xfId="1096" xr:uid="{6DE4E3AB-4671-4AF4-A3A6-F597B035ACCC}"/>
    <cellStyle name="Moeda 3 31 4 2 2" xfId="2865" xr:uid="{D827D94A-9790-444C-BE6A-1E38514AD85B}"/>
    <cellStyle name="Moeda 3 31 4 3" xfId="1588" xr:uid="{62E989D4-1CA5-414D-81A2-17BD995F19A4}"/>
    <cellStyle name="Moeda 3 31 4 3 2" xfId="3357" xr:uid="{A103A7F9-E2CC-47EA-98FF-859DE1AA33D4}"/>
    <cellStyle name="Moeda 3 31 4 4" xfId="2373" xr:uid="{B3A6FCDB-154D-4166-9292-D265E323D1B4}"/>
    <cellStyle name="Moeda 3 31 5" xfId="492" xr:uid="{A89A3EF0-13B9-4A1F-882F-67E7A318DD2A}"/>
    <cellStyle name="Moeda 3 31 5 2" xfId="2261" xr:uid="{D4AAE31A-AB1C-4AF5-B6A6-F94609471011}"/>
    <cellStyle name="Moeda 3 31 6" xfId="358" xr:uid="{5663880A-F118-457D-B0C7-68A133CFEBB5}"/>
    <cellStyle name="Moeda 3 31 6 2" xfId="2136" xr:uid="{CCDAC895-8F77-426E-83E4-A8B1C18AC1D1}"/>
    <cellStyle name="Moeda 3 31 7" xfId="1004" xr:uid="{30691B8F-99CD-40D5-8F77-16EDBD1AB83D}"/>
    <cellStyle name="Moeda 3 31 7 2" xfId="2773" xr:uid="{7535C15A-08A2-4EE9-B3B0-E87CB6B34246}"/>
    <cellStyle name="Moeda 3 31 8" xfId="1496" xr:uid="{2B52F53B-12D7-4F28-94DD-1F45D521FCAF}"/>
    <cellStyle name="Moeda 3 31 8 2" xfId="3265" xr:uid="{BF84439A-DF59-4110-9E88-9B6218C5BB3C}"/>
    <cellStyle name="Moeda 3 31 9" xfId="1909" xr:uid="{0F0024CC-B86E-46EF-B7C4-789000D27E74}"/>
    <cellStyle name="Moeda 3 32" xfId="81" xr:uid="{B1640D1B-E9D8-4806-A469-CC9C37B06ABE}"/>
    <cellStyle name="Moeda 3 32 2" xfId="762" xr:uid="{D49C72F5-03A6-4492-8813-6C50C7481753}"/>
    <cellStyle name="Moeda 3 32 2 2" xfId="1254" xr:uid="{86624F43-CAD1-46D4-9CB7-78247351B84E}"/>
    <cellStyle name="Moeda 3 32 2 2 2" xfId="3023" xr:uid="{7B38B019-27F6-45E9-93B8-8B7FE0EBA9C6}"/>
    <cellStyle name="Moeda 3 32 2 3" xfId="1746" xr:uid="{E3EAA4D3-F0E9-4531-8E7D-66975646B140}"/>
    <cellStyle name="Moeda 3 32 2 3 2" xfId="3515" xr:uid="{D3AB2A87-FF06-4904-A3BB-C2CAD5CA7BD6}"/>
    <cellStyle name="Moeda 3 32 2 4" xfId="2531" xr:uid="{D28FB354-F543-4438-ADC4-57A0F0E0F5F5}"/>
    <cellStyle name="Moeda 3 32 3" xfId="611" xr:uid="{0C0F2997-3575-43EF-96AE-F0EF88D872B5}"/>
    <cellStyle name="Moeda 3 32 3 2" xfId="1103" xr:uid="{27C720B7-44D5-4112-985B-391D103B577F}"/>
    <cellStyle name="Moeda 3 32 3 2 2" xfId="2872" xr:uid="{0F2203A9-127A-4176-BBA0-E1E16F239373}"/>
    <cellStyle name="Moeda 3 32 3 3" xfId="1595" xr:uid="{B62F7CF9-CFEF-45C7-9124-F37FDEBA6F1E}"/>
    <cellStyle name="Moeda 3 32 3 3 2" xfId="3364" xr:uid="{9A288168-FACE-4779-933B-75C032CA083A}"/>
    <cellStyle name="Moeda 3 32 3 4" xfId="2380" xr:uid="{B095A7B3-1616-4A65-AC7F-D837A4F40E36}"/>
    <cellStyle name="Moeda 3 32 4" xfId="477" xr:uid="{599AFFEF-87D9-4966-A77C-A7B30F327AA9}"/>
    <cellStyle name="Moeda 3 32 4 2" xfId="2246" xr:uid="{9209304F-EFD0-4714-80FF-824F05E14572}"/>
    <cellStyle name="Moeda 3 32 5" xfId="364" xr:uid="{50CC3173-4D8B-4603-A2F2-B923287F7518}"/>
    <cellStyle name="Moeda 3 32 5 2" xfId="2142" xr:uid="{FDA8564F-E820-4F05-BF15-9D57AD257A56}"/>
    <cellStyle name="Moeda 3 32 6" xfId="993" xr:uid="{FD1B452F-0E09-42E7-9B41-38046385F8BE}"/>
    <cellStyle name="Moeda 3 32 6 2" xfId="2762" xr:uid="{7D4F7C3D-44AB-4BEA-B3FB-64B8E51B245F}"/>
    <cellStyle name="Moeda 3 32 7" xfId="1485" xr:uid="{63132ED2-C6B1-4EA8-8DBE-6450549684C0}"/>
    <cellStyle name="Moeda 3 32 7 2" xfId="3254" xr:uid="{E18B8689-3328-452A-B38F-BA4B84A59B57}"/>
    <cellStyle name="Moeda 3 32 8" xfId="1916" xr:uid="{C88EBF71-B9E2-4D03-B2E8-1335F35276B3}"/>
    <cellStyle name="Moeda 3 4" xfId="482" xr:uid="{3C739B5E-3B3C-4BC0-B4E5-4D758E09B105}"/>
    <cellStyle name="Moeda 3 4 2" xfId="997" xr:uid="{33D8E948-EAC9-47AD-BA55-991E9A21580D}"/>
    <cellStyle name="Moeda 3 4 2 2" xfId="2766" xr:uid="{1676EA8C-D7AA-4BD0-8843-08B88C64432F}"/>
    <cellStyle name="Moeda 3 4 3" xfId="1489" xr:uid="{EF72DAD6-BB38-44C2-B809-13E0A2876270}"/>
    <cellStyle name="Moeda 3 4 3 2" xfId="3258" xr:uid="{92B19764-2FF3-4357-BBDD-9E16D62CED66}"/>
    <cellStyle name="Moeda 3 4 4" xfId="2251" xr:uid="{A85CAB1A-E6CA-4805-BDA3-505EB7BEC8E2}"/>
    <cellStyle name="Moeda 3 5" xfId="555" xr:uid="{7E52CDA9-801B-49EA-AC69-0D11822D5B53}"/>
    <cellStyle name="Moeda 3 5 2" xfId="2324" xr:uid="{9BE48D5D-353A-48F9-A808-E7A3B9B1CD8C}"/>
    <cellStyle name="Moeda 3 6" xfId="223" xr:uid="{D01B14AA-18B4-4DC7-B3F1-21E737D4C277}"/>
    <cellStyle name="Moeda 3 6 2" xfId="2007" xr:uid="{8A678022-9C58-4FA4-B3E0-7290E88C11D6}"/>
    <cellStyle name="Moeda 3 7" xfId="871" xr:uid="{F008E564-9DA9-41C6-9887-BD164D6277BC}"/>
    <cellStyle name="Moeda 3 7 2" xfId="2640" xr:uid="{D1C303C8-592C-4B2C-8122-A5189FAA1965}"/>
    <cellStyle name="Moeda 3 8" xfId="274" xr:uid="{5C46191C-1EA0-4A1A-B255-B422D89D3E8C}"/>
    <cellStyle name="Moeda 3 8 2" xfId="341" xr:uid="{840E95A2-08A2-4C97-9339-640BD2A3769D}"/>
    <cellStyle name="Moeda 3 8 2 2" xfId="714" xr:uid="{A4128B4F-79D0-4074-A51C-1E8C4A0AC551}"/>
    <cellStyle name="Moeda 3 8 2 2 2" xfId="1206" xr:uid="{40CD53DA-033C-458A-8848-EE66BA80361E}"/>
    <cellStyle name="Moeda 3 8 2 2 2 2" xfId="2975" xr:uid="{601BC654-0EE0-4B82-AD34-DF897A80B366}"/>
    <cellStyle name="Moeda 3 8 2 2 3" xfId="1698" xr:uid="{B3081042-D257-4012-9FA7-4D9880F0DE14}"/>
    <cellStyle name="Moeda 3 8 2 2 3 2" xfId="3467" xr:uid="{120B50E0-925A-48D8-B4AC-064D9FB07B34}"/>
    <cellStyle name="Moeda 3 8 2 2 4" xfId="2483" xr:uid="{2A20DC9E-AF6F-4E14-9594-AA171EF178EA}"/>
    <cellStyle name="Moeda 3 8 2 3" xfId="35" xr:uid="{1A6760B6-58B2-4C7F-9A95-2FBFE0943600}"/>
    <cellStyle name="Moeda 3 8 2 3 10" xfId="164" xr:uid="{9A9B7B48-BC00-4085-BE98-86F025BC3998}"/>
    <cellStyle name="Moeda 3 8 2 3 10 2" xfId="850" xr:uid="{3491E97A-BBCE-45AF-ACD3-A0C9D3742C07}"/>
    <cellStyle name="Moeda 3 8 2 3 10 2 2" xfId="1342" xr:uid="{9157F530-22FE-4EB9-9112-E3C4F4CD5953}"/>
    <cellStyle name="Moeda 3 8 2 3 10 2 2 2" xfId="3111" xr:uid="{34333952-7851-4E71-A7C4-8AC0FDCDD5DC}"/>
    <cellStyle name="Moeda 3 8 2 3 10 2 3" xfId="1834" xr:uid="{4E373A6E-B2C9-401C-9A67-7878B89CACCA}"/>
    <cellStyle name="Moeda 3 8 2 3 10 2 3 2" xfId="3603" xr:uid="{EB6846A9-6D8C-499B-A823-B986080EF13F}"/>
    <cellStyle name="Moeda 3 8 2 3 10 2 4" xfId="2619" xr:uid="{E7449699-7018-498A-92F9-6474EB4AB924}"/>
    <cellStyle name="Moeda 3 8 2 3 10 3" xfId="689" xr:uid="{E7266A40-D320-4D00-9B83-F7B69A882027}"/>
    <cellStyle name="Moeda 3 8 2 3 10 3 2" xfId="1181" xr:uid="{CFBEE0EB-7D2C-4D97-B230-C499676FA6E7}"/>
    <cellStyle name="Moeda 3 8 2 3 10 3 2 2" xfId="2950" xr:uid="{CBFC37CC-BD2B-412D-84CA-FE1905BD1826}"/>
    <cellStyle name="Moeda 3 8 2 3 10 3 3" xfId="1673" xr:uid="{7F3728B9-CA71-4240-B0F0-87F0F962E013}"/>
    <cellStyle name="Moeda 3 8 2 3 10 3 3 2" xfId="3442" xr:uid="{CFA38E08-1093-4DB3-9A5D-CB15A6EECB0D}"/>
    <cellStyle name="Moeda 3 8 2 3 10 3 4" xfId="2458" xr:uid="{EE1EB043-2165-4203-9956-D8700AFF0CC5}"/>
    <cellStyle name="Moeda 3 8 2 3 10 4" xfId="567" xr:uid="{351DD293-21FB-4229-B291-0C53490496E4}"/>
    <cellStyle name="Moeda 3 8 2 3 10 4 2" xfId="2336" xr:uid="{65852690-047B-43DD-94A8-4C1697AFFEDC}"/>
    <cellStyle name="Moeda 3 8 2 3 10 5" xfId="447" xr:uid="{35D0E3D8-6865-4E8E-8667-2DEA31BF4DE7}"/>
    <cellStyle name="Moeda 3 8 2 3 10 5 2" xfId="2225" xr:uid="{AE34B3F3-DF48-4079-97A4-8F866E648E37}"/>
    <cellStyle name="Moeda 3 8 2 3 10 6" xfId="1064" xr:uid="{B26A537E-345C-4E35-948A-962045F1657A}"/>
    <cellStyle name="Moeda 3 8 2 3 10 6 2" xfId="2833" xr:uid="{0802B1C0-D623-4EFC-BB32-0904C27E85D5}"/>
    <cellStyle name="Moeda 3 8 2 3 10 7" xfId="1556" xr:uid="{FA890AB2-8504-4590-995A-754454C50A12}"/>
    <cellStyle name="Moeda 3 8 2 3 10 7 2" xfId="3325" xr:uid="{6B2B5DC9-9279-4CA3-86F6-E2699BCDC55C}"/>
    <cellStyle name="Moeda 3 8 2 3 10 8" xfId="1994" xr:uid="{425D4062-8E4D-4693-B972-E4A5932B48B4}"/>
    <cellStyle name="Moeda 3 8 2 3 2" xfId="723" xr:uid="{99F895B8-6AA2-45BF-BF0F-0CD85FD9B749}"/>
    <cellStyle name="Moeda 3 8 2 3 2 2" xfId="1215" xr:uid="{B2342ACB-A448-4C27-B1C2-E88B4633A6DA}"/>
    <cellStyle name="Moeda 3 8 2 3 2 2 2" xfId="2984" xr:uid="{DF47A704-BB62-4143-83B7-04988D8902ED}"/>
    <cellStyle name="Moeda 3 8 2 3 2 3" xfId="1707" xr:uid="{F62229D1-E942-4879-AD25-4F8104C23FB0}"/>
    <cellStyle name="Moeda 3 8 2 3 2 3 2" xfId="3476" xr:uid="{044DA380-DBE7-43C2-BCCA-754E2EA1AFCD}"/>
    <cellStyle name="Moeda 3 8 2 3 2 4" xfId="2492" xr:uid="{15097512-32D6-407B-94F5-1E6AF97FA30A}"/>
    <cellStyle name="Moeda 3 8 2 3 3" xfId="529" xr:uid="{E56D7EBA-23D8-46D0-9708-CB7B601D80E9}"/>
    <cellStyle name="Moeda 3 8 2 3 3 2" xfId="1033" xr:uid="{EF945B07-14DC-46F6-AC49-F827780493BE}"/>
    <cellStyle name="Moeda 3 8 2 3 3 2 2" xfId="2802" xr:uid="{8319BC9A-0A8F-46A6-ABC1-7E706D1C1C21}"/>
    <cellStyle name="Moeda 3 8 2 3 3 3" xfId="1525" xr:uid="{B6536E0B-0AFD-4A0D-A84B-EF85EC480A87}"/>
    <cellStyle name="Moeda 3 8 2 3 3 3 2" xfId="3294" xr:uid="{8E11E315-1692-4BFD-B4E0-21B14CF88EDA}"/>
    <cellStyle name="Moeda 3 8 2 3 3 4" xfId="2298" xr:uid="{3B35629A-D0CB-4959-A78A-28822F979CB1}"/>
    <cellStyle name="Moeda 3 8 2 3 4" xfId="497" xr:uid="{BB04F903-5DB1-41D8-8F99-AD92AD651227}"/>
    <cellStyle name="Moeda 3 8 2 3 4 2" xfId="2266" xr:uid="{E099C172-3D9A-448A-953B-A0F4DF630348}"/>
    <cellStyle name="Moeda 3 8 2 3 5" xfId="234" xr:uid="{8E587A70-E5F7-4587-9A77-7DAD9A45AFCD}"/>
    <cellStyle name="Moeda 3 8 2 3 5 2" xfId="2018" xr:uid="{0EFA786C-3A12-4601-8C42-702DC51EF3C3}"/>
    <cellStyle name="Moeda 3 8 2 3 6" xfId="882" xr:uid="{C732AA1A-09A9-40BB-B7BD-07069B7112AC}"/>
    <cellStyle name="Moeda 3 8 2 3 6 2" xfId="2651" xr:uid="{1BC73056-8F4F-411D-BBDC-97F24B028F42}"/>
    <cellStyle name="Moeda 3 8 2 3 7" xfId="1374" xr:uid="{5367E10D-4FC5-460B-B405-4EA9FC2837A1}"/>
    <cellStyle name="Moeda 3 8 2 3 7 2" xfId="3143" xr:uid="{F7E378A1-B1AB-4171-BDB8-EFA66B837622}"/>
    <cellStyle name="Moeda 3 8 2 3 8" xfId="1877" xr:uid="{48BFEE74-D642-4875-873F-BCAC0A3E3097}"/>
    <cellStyle name="Moeda 3 8 2 4" xfId="972" xr:uid="{8BAF9670-04CE-4A2D-A784-5146BB790C0B}"/>
    <cellStyle name="Moeda 3 8 2 4 2" xfId="2741" xr:uid="{EFB38370-602D-4420-AF72-3D65D17170CE}"/>
    <cellStyle name="Moeda 3 8 2 5" xfId="1464" xr:uid="{60E1E03C-D1C3-451D-8DA7-0EB34872CCEA}"/>
    <cellStyle name="Moeda 3 8 2 5 2" xfId="3233" xr:uid="{7278D1D9-F408-4DA0-93D7-35918DCEBCFB}"/>
    <cellStyle name="Moeda 3 8 2 6" xfId="2119" xr:uid="{113C6121-3EBE-4FA1-A4FE-7C1FCE614778}"/>
    <cellStyle name="Moeda 3 8 3" xfId="703" xr:uid="{D52F35EB-3636-4DF5-B225-F6D28AEAE25A}"/>
    <cellStyle name="Moeda 3 8 3 2" xfId="1195" xr:uid="{7C297CFC-42E4-4E24-B29B-77395E2A29D2}"/>
    <cellStyle name="Moeda 3 8 3 2 2" xfId="2964" xr:uid="{0B5EAFF8-EDB6-4F48-B55D-528D5329BEA8}"/>
    <cellStyle name="Moeda 3 8 3 3" xfId="1687" xr:uid="{07014F92-BA6E-414B-8A5D-130B0188F4CD}"/>
    <cellStyle name="Moeda 3 8 3 3 2" xfId="3456" xr:uid="{7BAA3564-F08E-41BE-B234-FD50441AB300}"/>
    <cellStyle name="Moeda 3 8 3 4" xfId="2472" xr:uid="{33050D24-F654-4D9E-95A3-FB86A7CDC8B8}"/>
    <cellStyle name="Moeda 3 8 4" xfId="16" xr:uid="{02A430D5-8717-40E5-A0AD-D306372E88F5}"/>
    <cellStyle name="Moeda 3 8 4 2" xfId="709" xr:uid="{6E54DF5E-6A33-4678-B1B4-ED7E069B22F4}"/>
    <cellStyle name="Moeda 3 8 4 2 2" xfId="1201" xr:uid="{C9D78C39-E172-48D3-B903-F3616A08860A}"/>
    <cellStyle name="Moeda 3 8 4 2 2 2" xfId="2970" xr:uid="{FE077788-53CC-446D-BF11-42A7F2CDDA52}"/>
    <cellStyle name="Moeda 3 8 4 2 3" xfId="1693" xr:uid="{3D71186E-D0B4-4367-A9EF-084F71EF5B04}"/>
    <cellStyle name="Moeda 3 8 4 2 3 2" xfId="3462" xr:uid="{81F6E216-D78E-44C8-A10D-172FEFF8366F}"/>
    <cellStyle name="Moeda 3 8 4 2 4" xfId="2478" xr:uid="{CEC286A5-C849-442C-A79D-624D270E8C91}"/>
    <cellStyle name="Moeda 3 8 4 3" xfId="491" xr:uid="{77119CCA-5469-4BAF-8D3A-CAB1177D6A37}"/>
    <cellStyle name="Moeda 3 8 4 3 2" xfId="1003" xr:uid="{F509201B-99BB-4DD5-B812-CA07AAFB82CA}"/>
    <cellStyle name="Moeda 3 8 4 3 2 2" xfId="2772" xr:uid="{88707CC3-9415-4DDA-A763-50EF8C2E7201}"/>
    <cellStyle name="Moeda 3 8 4 3 3" xfId="1495" xr:uid="{159907F6-540E-4ED1-B0BF-E1FE8889513B}"/>
    <cellStyle name="Moeda 3 8 4 3 3 2" xfId="3264" xr:uid="{9762A74B-485F-47F7-969F-FF13F45A711B}"/>
    <cellStyle name="Moeda 3 8 4 3 4" xfId="2260" xr:uid="{DA57975D-F0DC-4226-A89B-AFBA0973E64C}"/>
    <cellStyle name="Moeda 3 8 4 4" xfId="570" xr:uid="{2B815CC4-1410-41D7-859C-15134F637BE3}"/>
    <cellStyle name="Moeda 3 8 4 4 2" xfId="2339" xr:uid="{D54783F4-C54F-400E-B7DC-8E888F871A3B}"/>
    <cellStyle name="Moeda 3 8 4 5" xfId="226" xr:uid="{B3263E77-F883-4915-A4C1-65F34DBD9C5F}"/>
    <cellStyle name="Moeda 3 8 4 5 2" xfId="2010" xr:uid="{A078DFC9-66D6-4149-B27D-AAED9C9D34C2}"/>
    <cellStyle name="Moeda 3 8 4 6" xfId="874" xr:uid="{B15F4C46-8735-4654-940E-E51C2B981F52}"/>
    <cellStyle name="Moeda 3 8 4 6 2" xfId="2643" xr:uid="{D8CF3E46-A073-4EF9-9F22-A9F7CE5DB315}"/>
    <cellStyle name="Moeda 3 8 4 7" xfId="1366" xr:uid="{97BA5AB4-F5D8-447F-B556-98B50C850BA6}"/>
    <cellStyle name="Moeda 3 8 4 7 2" xfId="3135" xr:uid="{9A122EA8-B5BE-4E11-A10F-7D12A8B37B3D}"/>
    <cellStyle name="Moeda 3 8 4 8" xfId="1868" xr:uid="{C928D493-E939-466D-A38A-CEA15B1C7AB0}"/>
    <cellStyle name="Moeda 3 8 5" xfId="921" xr:uid="{B1D72B98-3F3A-495D-B92B-B8F6F17EA7D1}"/>
    <cellStyle name="Moeda 3 8 5 2" xfId="2690" xr:uid="{84C70658-7F48-4C19-AEA8-C3D307EEA21A}"/>
    <cellStyle name="Moeda 3 8 6" xfId="1413" xr:uid="{4662F2D0-2B7E-4520-BF3F-FB767420892D}"/>
    <cellStyle name="Moeda 3 8 6 2" xfId="3182" xr:uid="{958F6494-DE4C-4F70-9D88-852E65266D1B}"/>
    <cellStyle name="Moeda 3 8 7" xfId="2058" xr:uid="{327AF7C8-CFFF-4B8A-BDA2-DD17AD55D59A}"/>
    <cellStyle name="Moeda 3 9" xfId="481" xr:uid="{10418B7F-45AD-40CC-83DA-B5015D7E87FB}"/>
    <cellStyle name="Moeda 3 9 2" xfId="706" xr:uid="{9EAED396-1768-4398-B5A3-5A0EAAAB29BA}"/>
    <cellStyle name="Moeda 3 9 2 2" xfId="1198" xr:uid="{9DB8348E-C460-4A20-909C-AC4E20FC0003}"/>
    <cellStyle name="Moeda 3 9 2 2 2" xfId="2967" xr:uid="{A3EF8205-16FD-41E3-A157-F18E9D37E397}"/>
    <cellStyle name="Moeda 3 9 2 3" xfId="1690" xr:uid="{5B368466-A936-44CC-A67F-0AD104DB8B73}"/>
    <cellStyle name="Moeda 3 9 2 3 2" xfId="3459" xr:uid="{2EF3F432-E0E1-46CA-81FE-BE63EA36CCDB}"/>
    <cellStyle name="Moeda 3 9 2 4" xfId="2475" xr:uid="{0D342378-75C3-4E73-9ADF-17C7D4839411}"/>
    <cellStyle name="Moeda 3 9 3" xfId="996" xr:uid="{18CCF349-2EC7-4AFD-988A-9AA8488626FA}"/>
    <cellStyle name="Moeda 3 9 3 2" xfId="2765" xr:uid="{1DA131BC-295C-4A41-B520-9B696B7DCEDF}"/>
    <cellStyle name="Moeda 3 9 4" xfId="1488" xr:uid="{79DFD2FD-A7E4-451F-96B8-42426ABFC2CB}"/>
    <cellStyle name="Moeda 3 9 4 2" xfId="3257" xr:uid="{D0211E32-B5F1-4280-AF2E-11435580B8CD}"/>
    <cellStyle name="Moeda 3 9 5" xfId="2250" xr:uid="{D7717F10-69FA-454B-B4D7-049E8302CD12}"/>
    <cellStyle name="Moeda 4" xfId="286" xr:uid="{B7113B22-B0B6-4DB4-A844-2458392E9848}"/>
    <cellStyle name="Moeda 5" xfId="802" xr:uid="{E0251EBA-A029-4FCD-8406-038FA83299A7}"/>
    <cellStyle name="Moeda 5 2" xfId="1294" xr:uid="{E32305A5-C629-4F86-A7BC-087F2DEF90BE}"/>
    <cellStyle name="Moeda 5 2 2" xfId="3063" xr:uid="{8921F524-064F-49A0-BC6D-71804E1AC28A}"/>
    <cellStyle name="Moeda 5 3" xfId="1786" xr:uid="{21B43165-8680-4610-B637-9D4160D941A7}"/>
    <cellStyle name="Moeda 5 3 2" xfId="3555" xr:uid="{4CA8CCAD-251B-467E-8271-1132E3432511}"/>
    <cellStyle name="Moeda 5 4" xfId="2571" xr:uid="{796B8668-DBA2-4397-8337-F2C37A092521}"/>
    <cellStyle name="Moeda 6" xfId="513" xr:uid="{6E8C93E4-54B4-40B9-9517-12320B425EBD}"/>
    <cellStyle name="Moeda 6 2" xfId="1021" xr:uid="{AC5433E1-5D9D-4C2C-89C8-9E52DE522128}"/>
    <cellStyle name="Moeda 6 2 2" xfId="2790" xr:uid="{A37C7CB8-E04E-4022-A2C2-6A5E4B14C8BB}"/>
    <cellStyle name="Moeda 6 3" xfId="1513" xr:uid="{84D221B1-DBEC-436C-817E-5D7F8188AAC2}"/>
    <cellStyle name="Moeda 6 3 2" xfId="3282" xr:uid="{9256C39D-5462-411A-9E66-D02B07B8F2C7}"/>
    <cellStyle name="Moeda 6 4" xfId="2282" xr:uid="{010C3E41-8A8D-4195-9248-6B320BA23D0B}"/>
    <cellStyle name="Moeda 7" xfId="494" xr:uid="{6EC9BC05-FCB2-4F41-BF6A-63F54F685D1D}"/>
    <cellStyle name="Moeda 7 2" xfId="2263" xr:uid="{ACA6E427-DEC3-4F5F-A44C-0D253D4D6A8E}"/>
    <cellStyle name="Moeda 8" xfId="222" xr:uid="{56FCE9D4-D85A-43E1-8C61-CF4C9EEEA893}"/>
    <cellStyle name="Moeda 8 2" xfId="2006" xr:uid="{CD0B7A5B-C0D8-465E-A03E-40C5CA3605F7}"/>
    <cellStyle name="Moeda 9" xfId="1006" xr:uid="{FE497405-86DF-4638-9F30-E5082344E678}"/>
    <cellStyle name="Moeda 9 2" xfId="2775" xr:uid="{F77ADBC9-3C92-4FFF-B465-0EEB9164BAAE}"/>
    <cellStyle name="Neutro 3" xfId="3650" xr:uid="{300508E8-F2D4-43F3-AD6B-E70A1816F2DB}"/>
    <cellStyle name="Nome" xfId="212" xr:uid="{828C00AD-B776-4C80-8425-103E7A1E1D03}"/>
    <cellStyle name="Normal" xfId="0" builtinId="0"/>
    <cellStyle name="Normal 10" xfId="19" xr:uid="{9DC17EF3-8DDA-4DA8-AA44-B4759189E816}"/>
    <cellStyle name="Normal 10 3" xfId="26" xr:uid="{8A2D300C-569C-4172-8534-6EB265EE6991}"/>
    <cellStyle name="Normal 10 3 2" xfId="174" xr:uid="{D330BEC4-846C-4D56-B9DA-C8C52D507360}"/>
    <cellStyle name="Normal 11" xfId="23" xr:uid="{DFBC6677-CC75-4601-86DC-D098EA8F2C3A}"/>
    <cellStyle name="Normal 11 2" xfId="291" xr:uid="{BEF6E11B-128C-45FA-BEBA-0D8967031E4B}"/>
    <cellStyle name="Normal 11 3" xfId="462" xr:uid="{17217809-EB3E-4349-8C56-20E4B1B89361}"/>
    <cellStyle name="Normal 12" xfId="30" xr:uid="{2D0E0460-95B3-4034-A3EF-EE9AFB74066A}"/>
    <cellStyle name="Normal 12 2" xfId="33" xr:uid="{2D7AE025-31C5-49C0-B700-2DACBEAB4464}"/>
    <cellStyle name="Normal 12 2 2" xfId="172" xr:uid="{96195BCE-08B9-4C50-A561-080A0348A4D1}"/>
    <cellStyle name="Normal 14" xfId="41" xr:uid="{20DA8ECD-730B-48EE-9411-AECA277AB955}"/>
    <cellStyle name="Normal 14 2" xfId="64" xr:uid="{05FA57FC-0D89-48A8-9F6A-2C6C7E91F1E0}"/>
    <cellStyle name="Normal 14 2 2" xfId="464" xr:uid="{B360FDCB-78C0-436E-8FCB-FBC55A3B7825}"/>
    <cellStyle name="Normal 14 3" xfId="463" xr:uid="{BD38D605-7E4E-424E-96D5-6940345F12EB}"/>
    <cellStyle name="Normal 15" xfId="68" xr:uid="{1E422E08-0D9B-495F-9489-A700902A7BCD}"/>
    <cellStyle name="Normal 15 2" xfId="85" xr:uid="{74CC8DE5-AC68-47A5-916B-03607BFFBE8F}"/>
    <cellStyle name="Normal 15 2 2" xfId="219" xr:uid="{94C8A297-EAA0-424B-9989-EB19CB0E0664}"/>
    <cellStyle name="Normal 16" xfId="77" xr:uid="{7C659A35-8411-4D85-80E5-6D199B3DAF66}"/>
    <cellStyle name="Normal 16 2" xfId="465" xr:uid="{B0405BD2-90AC-45BB-9ECD-12FD117F99FA}"/>
    <cellStyle name="Normal 17" xfId="75" xr:uid="{81CD4BF8-45F6-4645-88D2-B91FAFEEAA24}"/>
    <cellStyle name="Normal 17 2" xfId="123" xr:uid="{31C3709C-1F1F-4793-87D8-0332D42B1C27}"/>
    <cellStyle name="Normal 18" xfId="92" xr:uid="{53617A35-5BC4-45CA-A900-CD454D17C331}"/>
    <cellStyle name="Normal 18 2" xfId="120" xr:uid="{1FE4503E-9DBB-4815-9F7B-DF29263F2F5D}"/>
    <cellStyle name="Normal 2" xfId="3" xr:uid="{00000000-0005-0000-0000-000009000000}"/>
    <cellStyle name="Normal 2 2" xfId="79" xr:uid="{0E0528C0-63FB-4B3F-AD2A-44D0F1F4829F}"/>
    <cellStyle name="Normal 2 5" xfId="96" xr:uid="{50727287-5E7C-46FD-8410-25E52C64787F}"/>
    <cellStyle name="Normal 3" xfId="6" xr:uid="{00000000-0005-0000-0000-00000A000000}"/>
    <cellStyle name="Normal 3 2" xfId="28" xr:uid="{B6C1647A-7560-4237-98B3-358388B48EE2}"/>
    <cellStyle name="Normal 3 2 2" xfId="178" xr:uid="{FA30A58C-0A84-4DFA-A09D-D5349639EB50}"/>
    <cellStyle name="Normal 3 2 2 2" xfId="1860" xr:uid="{73E40B18-CAE7-49BE-9257-B31E566AD83C}"/>
    <cellStyle name="Normal 4" xfId="180" xr:uid="{8529A731-A3BF-4521-987E-06249863FF27}"/>
    <cellStyle name="Normal 4 2" xfId="304" xr:uid="{8DCF8329-6EBA-4DCF-91F1-A9041D8CEBD3}"/>
    <cellStyle name="Normal 4 3" xfId="466" xr:uid="{8D7F9A47-EF1C-4C09-9330-753DF799D791}"/>
    <cellStyle name="Normal 5" xfId="199" xr:uid="{2678F727-AFD8-4115-BF10-D12AE8C09E89}"/>
    <cellStyle name="Normal 5 2" xfId="5" xr:uid="{00000000-0005-0000-0000-00000B000000}"/>
    <cellStyle name="Normal 5 2 2" xfId="458" xr:uid="{BD2BE37A-8AC6-41E4-AD63-8122F0E991AF}"/>
    <cellStyle name="Normal 6" xfId="9" xr:uid="{00000000-0005-0000-0000-00000C000000}"/>
    <cellStyle name="Normal 6 2" xfId="12" xr:uid="{00000000-0005-0000-0000-00000D000000}"/>
    <cellStyle name="Normal 6 2 2" xfId="175" xr:uid="{56148C93-39E3-467A-80BC-CCCB2E84F1BE}"/>
    <cellStyle name="Normal 6 2 2 2" xfId="1858" xr:uid="{CDE311F9-1D8D-4220-8876-A6106811EC2A}"/>
    <cellStyle name="Normal 7" xfId="13" xr:uid="{00000000-0005-0000-0000-00000E000000}"/>
    <cellStyle name="Normal 7 2" xfId="25" xr:uid="{70E46973-8477-4820-83F2-1E25D0DD2869}"/>
    <cellStyle name="Normal 7 2 2" xfId="177" xr:uid="{D4E11100-3E88-4E33-B350-6817720E83B1}"/>
    <cellStyle name="Normal 7 2 2 2" xfId="1859" xr:uid="{9A443742-44C0-4A99-80E6-35C010C9A6C0}"/>
    <cellStyle name="Normal 8" xfId="287" xr:uid="{183A1353-D41B-46A2-868E-A32991492C01}"/>
    <cellStyle name="Normal 8 2" xfId="11" xr:uid="{00000000-0005-0000-0000-00000F000000}"/>
    <cellStyle name="Normal 8 2 2" xfId="173" xr:uid="{7DE34913-4BDC-4D51-A66D-892B5B13D39F}"/>
    <cellStyle name="Normal 8 2 2 2" xfId="1862" xr:uid="{1F9CAE84-59F7-440A-9757-7BABAD70815A}"/>
    <cellStyle name="Normal 9" xfId="15" xr:uid="{077648D7-5E8B-45A4-B28E-069DBB9415DA}"/>
    <cellStyle name="Normal 9 2" xfId="22" xr:uid="{11305936-B087-4214-8A35-8F664C62CBEF}"/>
    <cellStyle name="Normal 9 2 2" xfId="461" xr:uid="{C2D0065D-B38C-4160-B28F-AD5176A889C7}"/>
    <cellStyle name="Normal 9 3" xfId="459" xr:uid="{E90A3FB3-F985-4461-BE05-00C003E324F9}"/>
    <cellStyle name="Porcentagem 2" xfId="8" xr:uid="{00000000-0005-0000-0000-000011000000}"/>
    <cellStyle name="Porcentagem 3" xfId="204" xr:uid="{7A74D1E7-F2D6-4244-B075-5252BCBB33D9}"/>
    <cellStyle name="Porcentagem 3 2" xfId="288" xr:uid="{2D349F05-5E45-44D7-B2C4-2F606582419C}"/>
    <cellStyle name="Porcentagem 3 3" xfId="468" xr:uid="{9F1C2066-2DE2-4336-941F-41F1DA7AEB37}"/>
    <cellStyle name="Porcentagem concluída" xfId="181" xr:uid="{1F162510-68F3-4F28-9056-003058821B62}"/>
    <cellStyle name="Rótulo" xfId="188" xr:uid="{6FBA21FE-A6F4-410C-BFC3-8011A023D0FD}"/>
    <cellStyle name="Separador de milhares [0] 2" xfId="202" xr:uid="{4422DD07-A150-4B11-901B-F9F6AA4B3AB4}"/>
    <cellStyle name="Tarefa" xfId="213" xr:uid="{3688B63F-487A-4FB0-A968-AB579188D58D}"/>
    <cellStyle name="Texto Explicativo 2" xfId="196" xr:uid="{16AD8B33-4D69-42E7-B003-905B523DCC60}"/>
    <cellStyle name="Título 1 2" xfId="197" xr:uid="{C54C76D5-B551-4558-971F-78012A095A81}"/>
    <cellStyle name="Título 1 3" xfId="208" xr:uid="{9DC87B2E-E704-4D66-9E4F-67C34AD95EAC}"/>
    <cellStyle name="Título 1 4" xfId="217" xr:uid="{04486873-2660-4422-A25A-1FC3A263C02A}"/>
    <cellStyle name="Título 2 2" xfId="185" xr:uid="{7379ACE7-7AA8-4E50-8C3A-82BA48054F82}"/>
    <cellStyle name="Título 2 3" xfId="206" xr:uid="{93909C34-8422-4695-9522-8C1ED671199E}"/>
    <cellStyle name="Título 2 4" xfId="216" xr:uid="{E72F1E11-ED8A-418B-B428-0969DDB76953}"/>
    <cellStyle name="Título 3 2" xfId="184" xr:uid="{7CD07EE9-FAF6-464D-B735-B13DFBB28805}"/>
    <cellStyle name="Título 3 3" xfId="207" xr:uid="{4040DC50-7492-4DDB-83D2-510C2D380535}"/>
    <cellStyle name="Título 3 4" xfId="214" xr:uid="{02DB53AD-9514-42F0-BED3-A25DE8F9DD4F}"/>
    <cellStyle name="Título 4 2" xfId="187" xr:uid="{D0DA46E5-DF7C-4649-871F-FF1DBB6303A2}"/>
    <cellStyle name="Título 4 3" xfId="205" xr:uid="{04AC4952-E19A-482F-8818-9FE7106BFC52}"/>
    <cellStyle name="Título 5" xfId="198" xr:uid="{D6BE53C3-3B8C-4617-9075-831148D45B94}"/>
    <cellStyle name="Título 6" xfId="209" xr:uid="{D6ED920B-199C-4D9F-9F6A-EE8F71D96078}"/>
    <cellStyle name="Título 7" xfId="218" xr:uid="{6FCE9EB5-FF01-4F76-8A3F-A61DA746B861}"/>
    <cellStyle name="Títulos de Períodos" xfId="183" xr:uid="{1CAC0D05-FBE6-4C3B-96BB-0F58BC40179F}"/>
    <cellStyle name="Valor do Período" xfId="194" xr:uid="{86A6C4F6-F9D8-4354-8132-090DEBA00B59}"/>
    <cellStyle name="zHiddenText" xfId="200" xr:uid="{9AF4D8AF-D766-4454-A1F9-E652D611A619}"/>
    <cellStyle name="zTextoOculto" xfId="210" xr:uid="{6875D470-39B2-4403-B1E0-2CF8CC19685C}"/>
  </cellStyles>
  <dxfs count="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 patternType="none">
          <fgColor indexed="64"/>
          <bgColor auto="1"/>
        </patternFill>
      </fill>
      <border>
        <top style="thin">
          <color theme="6" tint="0.39994506668294322"/>
        </top>
        <bottom style="thin">
          <color theme="6" tint="0.39994506668294322"/>
        </bottom>
      </border>
    </dxf>
    <dxf>
      <font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8" tint="-0.499984740745262"/>
      </font>
      <border diagonalUp="0" diagonalDown="0">
        <left/>
        <right style="thin">
          <color theme="6" tint="0.39994506668294322"/>
        </right>
        <top/>
        <bottom/>
        <vertical/>
        <horizontal/>
      </border>
    </dxf>
  </dxfs>
  <tableStyles count="2" defaultTableStyle="TableStyleMedium2" defaultPivotStyle="PivotStyleLight16">
    <tableStyle name="Estilo de Tabela 1" pivot="0" count="0" xr9:uid="{DF82CB8F-4365-4783-87B8-5B531CCF0F57}"/>
    <tableStyle name="Gantt Table Style" pivot="0" count="3" xr9:uid="{CF2DFFBE-EA8C-4C8E-B14B-B12A9F062930}">
      <tableStyleElement type="wholeTable" dxfId="6"/>
      <tableStyleElement type="headerRow" dxfId="5"/>
      <tableStyleElement type="firstRowStripe" dxfId="4"/>
    </tableStyle>
  </tableStyles>
  <colors>
    <mruColors>
      <color rgb="FFCCFFCC"/>
      <color rgb="FFFF7C80"/>
      <color rgb="FFFF99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0.png"/><Relationship Id="rId3" Type="http://schemas.openxmlformats.org/officeDocument/2006/relationships/image" Target="../media/image3.svg"/><Relationship Id="rId7" Type="http://schemas.openxmlformats.org/officeDocument/2006/relationships/image" Target="../media/image6.png"/><Relationship Id="rId12" Type="http://schemas.openxmlformats.org/officeDocument/2006/relationships/hyperlink" Target="#Pushs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9.sv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hyperlink" Target="#'Base Clube - CLT'!A1"/><Relationship Id="rId9" Type="http://schemas.openxmlformats.org/officeDocument/2006/relationships/hyperlink" Target="#Valida&#231;&#227;o!A1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hyperlink" Target="#'Menu - Clube Das Oferta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hyperlink" Target="#'Menu - Clube Das Ofertas'!A1"/><Relationship Id="rId5" Type="http://schemas.openxmlformats.org/officeDocument/2006/relationships/image" Target="../media/image17.sv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3</xdr:row>
      <xdr:rowOff>38100</xdr:rowOff>
    </xdr:from>
    <xdr:to>
      <xdr:col>22</xdr:col>
      <xdr:colOff>38100</xdr:colOff>
      <xdr:row>8</xdr:row>
      <xdr:rowOff>57150</xdr:rowOff>
    </xdr:to>
    <xdr:grpSp>
      <xdr:nvGrpSpPr>
        <xdr:cNvPr id="1057" name="Agrupar 1056">
          <a:extLst>
            <a:ext uri="{FF2B5EF4-FFF2-40B4-BE49-F238E27FC236}">
              <a16:creationId xmlns:a16="http://schemas.microsoft.com/office/drawing/2014/main" id="{62EA69BA-D380-123D-7449-11AB3264B348}"/>
            </a:ext>
          </a:extLst>
        </xdr:cNvPr>
        <xdr:cNvGrpSpPr/>
      </xdr:nvGrpSpPr>
      <xdr:grpSpPr>
        <a:xfrm>
          <a:off x="4638675" y="609600"/>
          <a:ext cx="8810625" cy="971550"/>
          <a:chOff x="4638675" y="609600"/>
          <a:chExt cx="8810625" cy="97155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E95EB3DC-C029-907F-ADED-65003AF93217}"/>
              </a:ext>
            </a:extLst>
          </xdr:cNvPr>
          <xdr:cNvSpPr/>
        </xdr:nvSpPr>
        <xdr:spPr>
          <a:xfrm>
            <a:off x="4638675" y="609600"/>
            <a:ext cx="8810625" cy="971550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400" b="1">
                <a:solidFill>
                  <a:srgbClr val="FFFF00"/>
                </a:solidFill>
              </a:rPr>
              <a:t>Planilha</a:t>
            </a:r>
            <a:r>
              <a:rPr lang="pt-BR" sz="2400" b="1" baseline="0">
                <a:solidFill>
                  <a:srgbClr val="FFFF00"/>
                </a:solidFill>
              </a:rPr>
              <a:t>: </a:t>
            </a:r>
          </a:p>
          <a:p>
            <a:pPr algn="ctr"/>
            <a:r>
              <a:rPr lang="pt-BR" sz="2400" b="1" baseline="0">
                <a:solidFill>
                  <a:srgbClr val="FFFF00"/>
                </a:solidFill>
              </a:rPr>
              <a:t>Códigos de barras - Clube Das Ofertas</a:t>
            </a:r>
            <a:endParaRPr lang="pt-BR" sz="2400" b="1">
              <a:solidFill>
                <a:srgbClr val="FFFF00"/>
              </a:solidFill>
            </a:endParaRP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97C81512-55AA-7F62-477F-AF3B5EE17F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8370" y="723899"/>
            <a:ext cx="942329" cy="77842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10</xdr:row>
      <xdr:rowOff>76201</xdr:rowOff>
    </xdr:from>
    <xdr:to>
      <xdr:col>14</xdr:col>
      <xdr:colOff>295275</xdr:colOff>
      <xdr:row>17</xdr:row>
      <xdr:rowOff>9525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30922A2-D7F3-F13A-D215-ED36F06F09BC}"/>
            </a:ext>
          </a:extLst>
        </xdr:cNvPr>
        <xdr:cNvGrpSpPr/>
      </xdr:nvGrpSpPr>
      <xdr:grpSpPr>
        <a:xfrm>
          <a:off x="4667250" y="1981201"/>
          <a:ext cx="4162425" cy="1266824"/>
          <a:chOff x="4533900" y="1438276"/>
          <a:chExt cx="4162425" cy="1266824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DB7F39E-EDF3-85D7-DAC1-36C20D7D014B}"/>
              </a:ext>
            </a:extLst>
          </xdr:cNvPr>
          <xdr:cNvGrpSpPr/>
        </xdr:nvGrpSpPr>
        <xdr:grpSpPr>
          <a:xfrm>
            <a:off x="4533900" y="1438276"/>
            <a:ext cx="4162425" cy="1266824"/>
            <a:chOff x="4229100" y="1323976"/>
            <a:chExt cx="4162425" cy="1266824"/>
          </a:xfrm>
        </xdr:grpSpPr>
        <xdr:sp macro="[0]!colar_dados_clt" textlink="">
          <xdr:nvSpPr>
            <xdr:cNvPr id="3" name="Fluxograma: Terminação 2">
              <a:extLst>
                <a:ext uri="{FF2B5EF4-FFF2-40B4-BE49-F238E27FC236}">
                  <a16:creationId xmlns:a16="http://schemas.microsoft.com/office/drawing/2014/main" id="{AD08A6CB-D761-42E2-B9BF-AC1AFA165262}"/>
                </a:ext>
              </a:extLst>
            </xdr:cNvPr>
            <xdr:cNvSpPr/>
          </xdr:nvSpPr>
          <xdr:spPr>
            <a:xfrm>
              <a:off x="4229100" y="1323976"/>
              <a:ext cx="4162425" cy="1266824"/>
            </a:xfrm>
            <a:prstGeom prst="flowChartTerminator">
              <a:avLst/>
            </a:prstGeom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600" b="1">
                <a:solidFill>
                  <a:srgbClr val="FFFF00"/>
                </a:solidFill>
              </a:endParaRPr>
            </a:p>
          </xdr:txBody>
        </xdr:sp>
        <xdr:sp macro="[0]!colar_dados_clt" textlink="">
          <xdr:nvSpPr>
            <xdr:cNvPr id="5" name="Elipse 4">
              <a:extLst>
                <a:ext uri="{FF2B5EF4-FFF2-40B4-BE49-F238E27FC236}">
                  <a16:creationId xmlns:a16="http://schemas.microsoft.com/office/drawing/2014/main" id="{5631EB8B-66A9-29D6-ED54-FCF843E15F89}"/>
                </a:ext>
              </a:extLst>
            </xdr:cNvPr>
            <xdr:cNvSpPr/>
          </xdr:nvSpPr>
          <xdr:spPr>
            <a:xfrm>
              <a:off x="4324350" y="1415576"/>
              <a:ext cx="1085850" cy="1070448"/>
            </a:xfrm>
            <a:prstGeom prst="ellipse">
              <a:avLst/>
            </a:prstGeom>
            <a:solidFill>
              <a:srgbClr val="C0000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colar_dados_clt">
          <xdr:nvPicPr>
            <xdr:cNvPr id="12" name="Gráfico 11" descr="Documento com preenchimento sólido">
              <a:extLst>
                <a:ext uri="{FF2B5EF4-FFF2-40B4-BE49-F238E27FC236}">
                  <a16:creationId xmlns:a16="http://schemas.microsoft.com/office/drawing/2014/main" id="{04B937D7-4232-1B0C-A9D8-B3C179FE09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4486275" y="1571625"/>
              <a:ext cx="704850" cy="704850"/>
            </a:xfrm>
            <a:prstGeom prst="rect">
              <a:avLst/>
            </a:prstGeom>
          </xdr:spPr>
        </xdr:pic>
      </xdr:grpSp>
      <xdr:sp macro="[0]!colar_dados_clt" textlink="">
        <xdr:nvSpPr>
          <xdr:cNvPr id="27" name="Retângulo 2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DE42241-54C1-1488-7321-56466DE9529A}"/>
              </a:ext>
            </a:extLst>
          </xdr:cNvPr>
          <xdr:cNvSpPr/>
        </xdr:nvSpPr>
        <xdr:spPr>
          <a:xfrm>
            <a:off x="5810250" y="1714500"/>
            <a:ext cx="2257425" cy="819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rgbClr val="FFFF00"/>
                </a:solidFill>
              </a:rPr>
              <a:t>Colar</a:t>
            </a:r>
            <a:r>
              <a:rPr lang="pt-BR" sz="2000" b="1" baseline="0">
                <a:solidFill>
                  <a:srgbClr val="FFFF00"/>
                </a:solidFill>
              </a:rPr>
              <a:t> dados do</a:t>
            </a:r>
          </a:p>
          <a:p>
            <a:pPr algn="ctr"/>
            <a:r>
              <a:rPr lang="pt-BR" sz="2000" b="1" baseline="0">
                <a:solidFill>
                  <a:srgbClr val="FFFF00"/>
                </a:solidFill>
              </a:rPr>
              <a:t> Clube no CLT</a:t>
            </a:r>
            <a:endParaRPr lang="pt-BR" sz="20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</xdr:col>
      <xdr:colOff>400050</xdr:colOff>
      <xdr:row>19</xdr:row>
      <xdr:rowOff>47626</xdr:rowOff>
    </xdr:from>
    <xdr:to>
      <xdr:col>14</xdr:col>
      <xdr:colOff>295275</xdr:colOff>
      <xdr:row>25</xdr:row>
      <xdr:rowOff>171450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3846DE88-151E-2D57-121D-CD5EA07534CC}"/>
            </a:ext>
          </a:extLst>
        </xdr:cNvPr>
        <xdr:cNvGrpSpPr/>
      </xdr:nvGrpSpPr>
      <xdr:grpSpPr>
        <a:xfrm>
          <a:off x="4667250" y="3667126"/>
          <a:ext cx="4162425" cy="1266824"/>
          <a:chOff x="4229100" y="1323976"/>
          <a:chExt cx="4162425" cy="1266824"/>
        </a:xfrm>
      </xdr:grpSpPr>
      <xdr:sp macro="[0]!consultar_itens_cadastrados" textlink="">
        <xdr:nvSpPr>
          <xdr:cNvPr id="32" name="Fluxograma: Terminação 31">
            <a:extLst>
              <a:ext uri="{FF2B5EF4-FFF2-40B4-BE49-F238E27FC236}">
                <a16:creationId xmlns:a16="http://schemas.microsoft.com/office/drawing/2014/main" id="{E802457C-C663-809A-36A1-235AA25091E3}"/>
              </a:ext>
            </a:extLst>
          </xdr:cNvPr>
          <xdr:cNvSpPr/>
        </xdr:nvSpPr>
        <xdr:spPr>
          <a:xfrm>
            <a:off x="4229100" y="1323976"/>
            <a:ext cx="4162425" cy="1266824"/>
          </a:xfrm>
          <a:prstGeom prst="flowChartTerminator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rgbClr val="FFFF00"/>
                </a:solidFill>
              </a:rPr>
              <a:t>            Consultar códigos de </a:t>
            </a:r>
          </a:p>
          <a:p>
            <a:pPr algn="ctr"/>
            <a:r>
              <a:rPr lang="pt-BR" sz="2000" b="1">
                <a:solidFill>
                  <a:srgbClr val="FFFF00"/>
                </a:solidFill>
              </a:rPr>
              <a:t>           barras cadastrados</a:t>
            </a:r>
          </a:p>
        </xdr:txBody>
      </xdr:sp>
      <xdr:sp macro="[0]!consultar_itens_cadastrados" textlink="">
        <xdr:nvSpPr>
          <xdr:cNvPr id="33" name="Elipse 32">
            <a:extLst>
              <a:ext uri="{FF2B5EF4-FFF2-40B4-BE49-F238E27FC236}">
                <a16:creationId xmlns:a16="http://schemas.microsoft.com/office/drawing/2014/main" id="{40279A60-B26F-1253-5A22-466363A58D18}"/>
              </a:ext>
            </a:extLst>
          </xdr:cNvPr>
          <xdr:cNvSpPr/>
        </xdr:nvSpPr>
        <xdr:spPr>
          <a:xfrm>
            <a:off x="4324350" y="1415576"/>
            <a:ext cx="1085850" cy="1070448"/>
          </a:xfrm>
          <a:prstGeom prst="ellipse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onsultar_itens_cadastrados">
        <xdr:nvPicPr>
          <xdr:cNvPr id="34" name="Gráfico 33" descr="Pesquisa com preenchimento sólido">
            <a:extLst>
              <a:ext uri="{FF2B5EF4-FFF2-40B4-BE49-F238E27FC236}">
                <a16:creationId xmlns:a16="http://schemas.microsoft.com/office/drawing/2014/main" id="{19FBA30E-B0A6-8E28-1BCE-03685808A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486275" y="1571625"/>
            <a:ext cx="704850" cy="7048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10</xdr:row>
      <xdr:rowOff>38101</xdr:rowOff>
    </xdr:from>
    <xdr:to>
      <xdr:col>21</xdr:col>
      <xdr:colOff>581025</xdr:colOff>
      <xdr:row>16</xdr:row>
      <xdr:rowOff>161925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20661C02-59E6-46C1-93BB-F1104B4D37B2}"/>
            </a:ext>
          </a:extLst>
        </xdr:cNvPr>
        <xdr:cNvGrpSpPr/>
      </xdr:nvGrpSpPr>
      <xdr:grpSpPr>
        <a:xfrm>
          <a:off x="9220200" y="1943101"/>
          <a:ext cx="4162425" cy="1266824"/>
          <a:chOff x="4533900" y="1438276"/>
          <a:chExt cx="4162425" cy="1266824"/>
        </a:xfrm>
      </xdr:grpSpPr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A92CD4BD-3D02-74F3-9D8E-634D13BCF835}"/>
              </a:ext>
            </a:extLst>
          </xdr:cNvPr>
          <xdr:cNvGrpSpPr/>
        </xdr:nvGrpSpPr>
        <xdr:grpSpPr>
          <a:xfrm>
            <a:off x="4533900" y="1438276"/>
            <a:ext cx="4162425" cy="1266824"/>
            <a:chOff x="4229100" y="1323976"/>
            <a:chExt cx="4162425" cy="1266824"/>
          </a:xfrm>
        </xdr:grpSpPr>
        <xdr:sp macro="[0]!validar_itens_cadastrados" textlink="">
          <xdr:nvSpPr>
            <xdr:cNvPr id="44" name="Fluxograma: Terminação 43">
              <a:extLst>
                <a:ext uri="{FF2B5EF4-FFF2-40B4-BE49-F238E27FC236}">
                  <a16:creationId xmlns:a16="http://schemas.microsoft.com/office/drawing/2014/main" id="{9AC77C69-A347-958B-D1C9-9920D7F3947D}"/>
                </a:ext>
              </a:extLst>
            </xdr:cNvPr>
            <xdr:cNvSpPr/>
          </xdr:nvSpPr>
          <xdr:spPr>
            <a:xfrm>
              <a:off x="4229100" y="1323976"/>
              <a:ext cx="4162425" cy="1266824"/>
            </a:xfrm>
            <a:prstGeom prst="flowChartTerminator">
              <a:avLst/>
            </a:prstGeom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600" b="1">
                <a:solidFill>
                  <a:srgbClr val="FFFF00"/>
                </a:solidFill>
              </a:endParaRPr>
            </a:p>
          </xdr:txBody>
        </xdr:sp>
        <xdr:sp macro="[0]!validar_itens_cadastrados" textlink="">
          <xdr:nvSpPr>
            <xdr:cNvPr id="45" name="Elipse 44">
              <a:extLst>
                <a:ext uri="{FF2B5EF4-FFF2-40B4-BE49-F238E27FC236}">
                  <a16:creationId xmlns:a16="http://schemas.microsoft.com/office/drawing/2014/main" id="{98F85DB0-9EDF-B2A4-002C-F83AB416D41C}"/>
                </a:ext>
              </a:extLst>
            </xdr:cNvPr>
            <xdr:cNvSpPr/>
          </xdr:nvSpPr>
          <xdr:spPr>
            <a:xfrm>
              <a:off x="4324350" y="1415576"/>
              <a:ext cx="1085850" cy="1070448"/>
            </a:xfrm>
            <a:prstGeom prst="ellipse">
              <a:avLst/>
            </a:prstGeom>
            <a:solidFill>
              <a:srgbClr val="C0000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validar_itens_cadastrados">
          <xdr:nvPicPr>
            <xdr:cNvPr id="46" name="Gráfico 45" descr="Comércio eletrônico com preenchimento sólido">
              <a:extLst>
                <a:ext uri="{FF2B5EF4-FFF2-40B4-BE49-F238E27FC236}">
                  <a16:creationId xmlns:a16="http://schemas.microsoft.com/office/drawing/2014/main" id="{3DF2A730-6FB3-0FC1-B250-8944A4267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rcRect/>
            <a:stretch/>
          </xdr:blipFill>
          <xdr:spPr>
            <a:xfrm>
              <a:off x="4486275" y="1571625"/>
              <a:ext cx="704850" cy="704850"/>
            </a:xfrm>
            <a:prstGeom prst="rect">
              <a:avLst/>
            </a:prstGeom>
          </xdr:spPr>
        </xdr:pic>
      </xdr:grpSp>
      <xdr:sp macro="[0]!validar_itens_cadastrados" textlink="">
        <xdr:nvSpPr>
          <xdr:cNvPr id="43" name="Retângulo 4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C93CCA8-C916-3030-DF28-8B7C6AD683E3}"/>
              </a:ext>
            </a:extLst>
          </xdr:cNvPr>
          <xdr:cNvSpPr/>
        </xdr:nvSpPr>
        <xdr:spPr>
          <a:xfrm>
            <a:off x="5810250" y="1714500"/>
            <a:ext cx="2381250" cy="819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rgbClr val="FFFF00"/>
                </a:solidFill>
              </a:rPr>
              <a:t>Validar itens cadastrados</a:t>
            </a:r>
            <a:r>
              <a:rPr lang="pt-BR" sz="2000" b="1" baseline="0">
                <a:solidFill>
                  <a:srgbClr val="FFFF00"/>
                </a:solidFill>
              </a:rPr>
              <a:t> no CV</a:t>
            </a:r>
            <a:endParaRPr lang="pt-BR" sz="20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15</xdr:col>
      <xdr:colOff>152400</xdr:colOff>
      <xdr:row>19</xdr:row>
      <xdr:rowOff>95251</xdr:rowOff>
    </xdr:from>
    <xdr:to>
      <xdr:col>22</xdr:col>
      <xdr:colOff>47625</xdr:colOff>
      <xdr:row>26</xdr:row>
      <xdr:rowOff>28575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21765DA9-E195-449F-8718-3AC4EBB5C6D6}"/>
            </a:ext>
          </a:extLst>
        </xdr:cNvPr>
        <xdr:cNvGrpSpPr/>
      </xdr:nvGrpSpPr>
      <xdr:grpSpPr>
        <a:xfrm>
          <a:off x="9296400" y="3714751"/>
          <a:ext cx="4162425" cy="1266824"/>
          <a:chOff x="4533900" y="1438276"/>
          <a:chExt cx="4162425" cy="1266824"/>
        </a:xfrm>
      </xdr:grpSpPr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E44A7E28-909E-4546-F5E0-D8B17D78F39A}"/>
              </a:ext>
            </a:extLst>
          </xdr:cNvPr>
          <xdr:cNvGrpSpPr/>
        </xdr:nvGrpSpPr>
        <xdr:grpSpPr>
          <a:xfrm>
            <a:off x="4533900" y="1438276"/>
            <a:ext cx="4162425" cy="1266824"/>
            <a:chOff x="4229100" y="1323976"/>
            <a:chExt cx="4162425" cy="1266824"/>
          </a:xfrm>
        </xdr:grpSpPr>
        <xdr:sp macro="[0]!Módulo10.pushs" textlink="">
          <xdr:nvSpPr>
            <xdr:cNvPr id="50" name="Fluxograma: Terminação 49">
              <a:extLst>
                <a:ext uri="{FF2B5EF4-FFF2-40B4-BE49-F238E27FC236}">
                  <a16:creationId xmlns:a16="http://schemas.microsoft.com/office/drawing/2014/main" id="{C278FC18-A6B6-C50C-BC6F-82562D9AFEC6}"/>
                </a:ext>
              </a:extLst>
            </xdr:cNvPr>
            <xdr:cNvSpPr/>
          </xdr:nvSpPr>
          <xdr:spPr>
            <a:xfrm>
              <a:off x="4229100" y="1323976"/>
              <a:ext cx="4162425" cy="1266824"/>
            </a:xfrm>
            <a:prstGeom prst="flowChartTerminator">
              <a:avLst/>
            </a:prstGeom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600" b="1">
                <a:solidFill>
                  <a:srgbClr val="FFFF00"/>
                </a:solidFill>
              </a:endParaRPr>
            </a:p>
          </xdr:txBody>
        </xdr:sp>
        <xdr:sp macro="[0]!Módulo10.pushs" textlink="">
          <xdr:nvSpPr>
            <xdr:cNvPr id="51" name="Elipse 50">
              <a:extLst>
                <a:ext uri="{FF2B5EF4-FFF2-40B4-BE49-F238E27FC236}">
                  <a16:creationId xmlns:a16="http://schemas.microsoft.com/office/drawing/2014/main" id="{19A5BA7C-252C-8D17-7C8A-71F54AEEABFD}"/>
                </a:ext>
              </a:extLst>
            </xdr:cNvPr>
            <xdr:cNvSpPr/>
          </xdr:nvSpPr>
          <xdr:spPr>
            <a:xfrm>
              <a:off x="4324350" y="1415576"/>
              <a:ext cx="1085850" cy="1070448"/>
            </a:xfrm>
            <a:prstGeom prst="ellipse">
              <a:avLst/>
            </a:prstGeom>
            <a:solidFill>
              <a:srgbClr val="C0000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Módulo10.pushs">
          <xdr:nvPicPr>
            <xdr:cNvPr id="52" name="Gráfico 51" descr="Luzes acesas com preenchimento sólido">
              <a:extLst>
                <a:ext uri="{FF2B5EF4-FFF2-40B4-BE49-F238E27FC236}">
                  <a16:creationId xmlns:a16="http://schemas.microsoft.com/office/drawing/2014/main" id="{0461FB05-3819-6DDF-7A65-83736F7AA8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rcRect/>
            <a:stretch/>
          </xdr:blipFill>
          <xdr:spPr>
            <a:xfrm>
              <a:off x="4486275" y="1571625"/>
              <a:ext cx="704850" cy="704850"/>
            </a:xfrm>
            <a:prstGeom prst="rect">
              <a:avLst/>
            </a:prstGeom>
          </xdr:spPr>
        </xdr:pic>
      </xdr:grpSp>
      <xdr:sp macro="[0]!Módulo10.pushs" textlink="">
        <xdr:nvSpPr>
          <xdr:cNvPr id="49" name="Retângulo 4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39E3946C-C000-73AC-957C-2CFC1C6A5C23}"/>
              </a:ext>
            </a:extLst>
          </xdr:cNvPr>
          <xdr:cNvSpPr/>
        </xdr:nvSpPr>
        <xdr:spPr>
          <a:xfrm>
            <a:off x="5810250" y="1714500"/>
            <a:ext cx="2381250" cy="819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rgbClr val="FFFF00"/>
                </a:solidFill>
              </a:rPr>
              <a:t>Consultar</a:t>
            </a:r>
            <a:r>
              <a:rPr lang="pt-BR" sz="2000" b="1" baseline="0">
                <a:solidFill>
                  <a:srgbClr val="FFFF00"/>
                </a:solidFill>
              </a:rPr>
              <a:t>/Cadastrar PUSHS</a:t>
            </a:r>
            <a:endParaRPr lang="pt-BR" sz="20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11</xdr:col>
      <xdr:colOff>352425</xdr:colOff>
      <xdr:row>28</xdr:row>
      <xdr:rowOff>57151</xdr:rowOff>
    </xdr:from>
    <xdr:to>
      <xdr:col>18</xdr:col>
      <xdr:colOff>247650</xdr:colOff>
      <xdr:row>34</xdr:row>
      <xdr:rowOff>180975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9483D75-DC09-4693-880E-DC088710DA09}"/>
            </a:ext>
          </a:extLst>
        </xdr:cNvPr>
        <xdr:cNvGrpSpPr/>
      </xdr:nvGrpSpPr>
      <xdr:grpSpPr>
        <a:xfrm>
          <a:off x="7058025" y="5391151"/>
          <a:ext cx="4162425" cy="1266824"/>
          <a:chOff x="4533900" y="1438276"/>
          <a:chExt cx="4162425" cy="1266824"/>
        </a:xfrm>
      </xdr:grpSpPr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920D9AC7-F997-530F-A536-873E3C25762B}"/>
              </a:ext>
            </a:extLst>
          </xdr:cNvPr>
          <xdr:cNvGrpSpPr/>
        </xdr:nvGrpSpPr>
        <xdr:grpSpPr>
          <a:xfrm>
            <a:off x="4533900" y="1438276"/>
            <a:ext cx="4162425" cy="1266824"/>
            <a:chOff x="4229100" y="1323976"/>
            <a:chExt cx="4162425" cy="1266824"/>
          </a:xfrm>
        </xdr:grpSpPr>
        <xdr:sp macro="[0]!SelecionarAbaRapido" textlink="">
          <xdr:nvSpPr>
            <xdr:cNvPr id="56" name="Fluxograma: Terminação 55">
              <a:extLst>
                <a:ext uri="{FF2B5EF4-FFF2-40B4-BE49-F238E27FC236}">
                  <a16:creationId xmlns:a16="http://schemas.microsoft.com/office/drawing/2014/main" id="{53EF9461-DF40-E147-30E6-7F244323CB01}"/>
                </a:ext>
              </a:extLst>
            </xdr:cNvPr>
            <xdr:cNvSpPr/>
          </xdr:nvSpPr>
          <xdr:spPr>
            <a:xfrm>
              <a:off x="4229100" y="1323976"/>
              <a:ext cx="4162425" cy="1266824"/>
            </a:xfrm>
            <a:prstGeom prst="flowChartTerminator">
              <a:avLst/>
            </a:prstGeom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hardEdge"/>
            </a:sp3d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600" b="1">
                <a:solidFill>
                  <a:srgbClr val="FFFF00"/>
                </a:solidFill>
              </a:endParaRPr>
            </a:p>
          </xdr:txBody>
        </xdr:sp>
        <xdr:sp macro="[0]!SelecionarAbaRapido" textlink="">
          <xdr:nvSpPr>
            <xdr:cNvPr id="57" name="Elipse 56">
              <a:extLst>
                <a:ext uri="{FF2B5EF4-FFF2-40B4-BE49-F238E27FC236}">
                  <a16:creationId xmlns:a16="http://schemas.microsoft.com/office/drawing/2014/main" id="{A96E1B1E-372F-A4D3-911F-357536F67FC4}"/>
                </a:ext>
              </a:extLst>
            </xdr:cNvPr>
            <xdr:cNvSpPr/>
          </xdr:nvSpPr>
          <xdr:spPr>
            <a:xfrm>
              <a:off x="4324350" y="1415576"/>
              <a:ext cx="1085850" cy="1070448"/>
            </a:xfrm>
            <a:prstGeom prst="ellipse">
              <a:avLst/>
            </a:prstGeom>
            <a:solidFill>
              <a:srgbClr val="C0000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SelecionarAbaRapido">
          <xdr:nvPicPr>
            <xdr:cNvPr id="58" name="Gráfico 57" descr="Jornal com preenchimento sólido">
              <a:extLst>
                <a:ext uri="{FF2B5EF4-FFF2-40B4-BE49-F238E27FC236}">
                  <a16:creationId xmlns:a16="http://schemas.microsoft.com/office/drawing/2014/main" id="{990623E8-FCFE-4AB6-7D0A-453E43C41D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rcRect/>
            <a:stretch/>
          </xdr:blipFill>
          <xdr:spPr>
            <a:xfrm>
              <a:off x="4486275" y="1571625"/>
              <a:ext cx="704850" cy="704850"/>
            </a:xfrm>
            <a:prstGeom prst="rect">
              <a:avLst/>
            </a:prstGeom>
          </xdr:spPr>
        </xdr:pic>
      </xdr:grpSp>
      <xdr:sp macro="[0]!SelecionarAbaRapido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1B5E1094-2A51-1574-1092-A29F99E91AE3}"/>
              </a:ext>
            </a:extLst>
          </xdr:cNvPr>
          <xdr:cNvSpPr/>
        </xdr:nvSpPr>
        <xdr:spPr>
          <a:xfrm>
            <a:off x="5810249" y="1714500"/>
            <a:ext cx="2524125" cy="819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rgbClr val="FFFF00"/>
                </a:solidFill>
              </a:rPr>
              <a:t>Consultar</a:t>
            </a:r>
            <a:r>
              <a:rPr lang="pt-BR" sz="2000" b="1" baseline="0">
                <a:solidFill>
                  <a:srgbClr val="FFFF00"/>
                </a:solidFill>
              </a:rPr>
              <a:t> dados Clube de um tabloide</a:t>
            </a:r>
            <a:endParaRPr lang="pt-BR" sz="2000" b="1">
              <a:solidFill>
                <a:srgbClr val="FFFF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0</xdr:row>
      <xdr:rowOff>28574</xdr:rowOff>
    </xdr:from>
    <xdr:to>
      <xdr:col>11</xdr:col>
      <xdr:colOff>323850</xdr:colOff>
      <xdr:row>0</xdr:row>
      <xdr:rowOff>695325</xdr:rowOff>
    </xdr:to>
    <xdr:sp macro="[0]!CriarTabloideAPartirD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1E20359-2631-4F82-84B5-8BC54B41421E}"/>
            </a:ext>
          </a:extLst>
        </xdr:cNvPr>
        <xdr:cNvSpPr/>
      </xdr:nvSpPr>
      <xdr:spPr>
        <a:xfrm>
          <a:off x="14316075" y="28574"/>
          <a:ext cx="3143250" cy="666751"/>
        </a:xfrm>
        <a:prstGeom prst="roundRect">
          <a:avLst/>
        </a:prstGeom>
        <a:solidFill>
          <a:srgbClr val="CCFFCC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Clique</a:t>
          </a:r>
          <a:r>
            <a:rPr lang="pt-BR" sz="1200" b="1" baseline="0">
              <a:solidFill>
                <a:schemeClr val="tx1"/>
              </a:solidFill>
            </a:rPr>
            <a:t> aqui para:</a:t>
          </a:r>
        </a:p>
        <a:p>
          <a:pPr algn="ctr"/>
          <a:r>
            <a:rPr lang="pt-BR" sz="1200" b="1" baseline="0">
              <a:solidFill>
                <a:schemeClr val="tx1"/>
              </a:solidFill>
            </a:rPr>
            <a:t>Gerar planilha da semana</a:t>
          </a:r>
        </a:p>
      </xdr:txBody>
    </xdr:sp>
    <xdr:clientData/>
  </xdr:twoCellAnchor>
  <xdr:twoCellAnchor>
    <xdr:from>
      <xdr:col>8</xdr:col>
      <xdr:colOff>133350</xdr:colOff>
      <xdr:row>1</xdr:row>
      <xdr:rowOff>38100</xdr:rowOff>
    </xdr:from>
    <xdr:to>
      <xdr:col>10</xdr:col>
      <xdr:colOff>152400</xdr:colOff>
      <xdr:row>8</xdr:row>
      <xdr:rowOff>19050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8866358-1D09-C888-CE37-9D41D04C3CBF}"/>
            </a:ext>
          </a:extLst>
        </xdr:cNvPr>
        <xdr:cNvGrpSpPr/>
      </xdr:nvGrpSpPr>
      <xdr:grpSpPr>
        <a:xfrm>
          <a:off x="16135350" y="447675"/>
          <a:ext cx="1238250" cy="1314450"/>
          <a:chOff x="15440025" y="752475"/>
          <a:chExt cx="1238250" cy="1314450"/>
        </a:xfrm>
      </xdr:grpSpPr>
      <xdr:sp macro="[0]!ocultaraba_CLT2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49B9318-FC5D-D500-E0B2-CD409935A730}"/>
              </a:ext>
            </a:extLst>
          </xdr:cNvPr>
          <xdr:cNvSpPr txBox="1"/>
        </xdr:nvSpPr>
        <xdr:spPr>
          <a:xfrm>
            <a:off x="15440025" y="1533525"/>
            <a:ext cx="1238250" cy="5334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rgbClr val="C00000"/>
                </a:solidFill>
              </a:rPr>
              <a:t>Retornar</a:t>
            </a:r>
            <a:r>
              <a:rPr lang="pt-BR" sz="1100" b="1" baseline="0">
                <a:solidFill>
                  <a:srgbClr val="C00000"/>
                </a:solidFill>
              </a:rPr>
              <a:t> para o MENU</a:t>
            </a:r>
            <a:endParaRPr lang="pt-BR" sz="1100" b="1">
              <a:solidFill>
                <a:srgbClr val="C00000"/>
              </a:solidFill>
            </a:endParaRPr>
          </a:p>
        </xdr:txBody>
      </xdr:sp>
      <xdr:pic macro="[0]!ocultaraba_CLT2">
        <xdr:nvPicPr>
          <xdr:cNvPr id="4" name="Gráfico 3" descr="Seta: retorno na horizontal com preenchimento sólido">
            <a:extLst>
              <a:ext uri="{FF2B5EF4-FFF2-40B4-BE49-F238E27FC236}">
                <a16:creationId xmlns:a16="http://schemas.microsoft.com/office/drawing/2014/main" id="{1EFB7AAB-8CFD-37AB-5487-D9F5D4290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573375" y="752475"/>
            <a:ext cx="914400" cy="914400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638174</xdr:colOff>
      <xdr:row>0</xdr:row>
      <xdr:rowOff>23855</xdr:rowOff>
    </xdr:from>
    <xdr:to>
      <xdr:col>6</xdr:col>
      <xdr:colOff>2819399</xdr:colOff>
      <xdr:row>1</xdr:row>
      <xdr:rowOff>21337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D7155D98-7BFD-47D2-B93A-DD3714F0C933}"/>
            </a:ext>
          </a:extLst>
        </xdr:cNvPr>
        <xdr:cNvGrpSpPr/>
      </xdr:nvGrpSpPr>
      <xdr:grpSpPr>
        <a:xfrm>
          <a:off x="10525124" y="23855"/>
          <a:ext cx="2181225" cy="483257"/>
          <a:chOff x="15573375" y="796132"/>
          <a:chExt cx="4413275" cy="884409"/>
        </a:xfrm>
      </xdr:grpSpPr>
      <xdr:sp macro="[0]!GerarRelatorioPesaveisECervejas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FD5A56E-1E0C-C497-36F6-AB0B590E36D8}"/>
              </a:ext>
            </a:extLst>
          </xdr:cNvPr>
          <xdr:cNvSpPr txBox="1"/>
        </xdr:nvSpPr>
        <xdr:spPr>
          <a:xfrm>
            <a:off x="16532598" y="976684"/>
            <a:ext cx="3454052" cy="703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solidFill>
                  <a:srgbClr val="C00000"/>
                </a:solidFill>
              </a:rPr>
              <a:t>Relatório</a:t>
            </a:r>
            <a:r>
              <a:rPr lang="pt-BR" sz="1200" b="1" baseline="0">
                <a:solidFill>
                  <a:srgbClr val="C00000"/>
                </a:solidFill>
              </a:rPr>
              <a:t> conversões</a:t>
            </a:r>
            <a:endParaRPr lang="pt-BR" sz="1200" b="1">
              <a:solidFill>
                <a:srgbClr val="C00000"/>
              </a:solidFill>
            </a:endParaRPr>
          </a:p>
        </xdr:txBody>
      </xdr:sp>
      <xdr:pic macro="[0]!GerarRelatorioPesaveisECervejas">
        <xdr:nvPicPr>
          <xdr:cNvPr id="10" name="Gráfico 9" descr="Aviso com preenchimento sólido">
            <a:extLst>
              <a:ext uri="{FF2B5EF4-FFF2-40B4-BE49-F238E27FC236}">
                <a16:creationId xmlns:a16="http://schemas.microsoft.com/office/drawing/2014/main" id="{E6823A87-8AA5-4323-7850-8358E61DFD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573375" y="796132"/>
            <a:ext cx="876787" cy="79306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  <xdr:twoCellAnchor>
    <xdr:from>
      <xdr:col>6</xdr:col>
      <xdr:colOff>3162300</xdr:colOff>
      <xdr:row>0</xdr:row>
      <xdr:rowOff>9525</xdr:rowOff>
    </xdr:from>
    <xdr:to>
      <xdr:col>7</xdr:col>
      <xdr:colOff>1885949</xdr:colOff>
      <xdr:row>1</xdr:row>
      <xdr:rowOff>49912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93B9949-C016-9CE6-C6EC-4F2421E3FA4E}"/>
            </a:ext>
          </a:extLst>
        </xdr:cNvPr>
        <xdr:cNvGrpSpPr/>
      </xdr:nvGrpSpPr>
      <xdr:grpSpPr>
        <a:xfrm>
          <a:off x="13049250" y="9525"/>
          <a:ext cx="2028824" cy="526162"/>
          <a:chOff x="13049250" y="9525"/>
          <a:chExt cx="2028824" cy="526162"/>
        </a:xfrm>
      </xdr:grpSpPr>
      <xdr:sp macro="[0]!separar_plan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D7EC9259-708A-E879-A138-A1B73B7B021C}"/>
              </a:ext>
            </a:extLst>
          </xdr:cNvPr>
          <xdr:cNvSpPr txBox="1"/>
        </xdr:nvSpPr>
        <xdr:spPr>
          <a:xfrm>
            <a:off x="13370937" y="132678"/>
            <a:ext cx="1707137" cy="4030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rgbClr val="C00000"/>
                </a:solidFill>
              </a:rPr>
              <a:t>Separar</a:t>
            </a:r>
            <a:r>
              <a:rPr lang="pt-BR" sz="1100" b="1" baseline="0">
                <a:solidFill>
                  <a:srgbClr val="C00000"/>
                </a:solidFill>
              </a:rPr>
              <a:t> planilha envio</a:t>
            </a:r>
            <a:endParaRPr lang="pt-BR" sz="1100" b="1">
              <a:solidFill>
                <a:srgbClr val="C00000"/>
              </a:solidFill>
            </a:endParaRPr>
          </a:p>
        </xdr:txBody>
      </xdr:sp>
      <xdr:pic macro="[0]!separar_plan">
        <xdr:nvPicPr>
          <xdr:cNvPr id="15" name="Gráfico 14" descr="Janela do navegador com preenchimento sólido">
            <a:extLst>
              <a:ext uri="{FF2B5EF4-FFF2-40B4-BE49-F238E27FC236}">
                <a16:creationId xmlns:a16="http://schemas.microsoft.com/office/drawing/2014/main" id="{A8697B6E-40C1-D0E6-9004-E18AB858FA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049250" y="9525"/>
            <a:ext cx="504825" cy="5048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565055</xdr:colOff>
      <xdr:row>0</xdr:row>
      <xdr:rowOff>0</xdr:rowOff>
    </xdr:from>
    <xdr:to>
      <xdr:col>7</xdr:col>
      <xdr:colOff>581025</xdr:colOff>
      <xdr:row>0</xdr:row>
      <xdr:rowOff>619125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09093B-5CA7-4979-915F-AFAE8201BA19}"/>
            </a:ext>
          </a:extLst>
        </xdr:cNvPr>
        <xdr:cNvGrpSpPr/>
      </xdr:nvGrpSpPr>
      <xdr:grpSpPr>
        <a:xfrm>
          <a:off x="13957205" y="0"/>
          <a:ext cx="1844770" cy="619125"/>
          <a:chOff x="15573375" y="752475"/>
          <a:chExt cx="3526765" cy="928066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69BB7907-1749-1528-6E66-99861E3293BC}"/>
              </a:ext>
            </a:extLst>
          </xdr:cNvPr>
          <xdr:cNvSpPr txBox="1"/>
        </xdr:nvSpPr>
        <xdr:spPr>
          <a:xfrm>
            <a:off x="16532597" y="976684"/>
            <a:ext cx="2567543" cy="70385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rgbClr val="C00000"/>
                </a:solidFill>
              </a:rPr>
              <a:t>Retornar</a:t>
            </a:r>
            <a:r>
              <a:rPr lang="pt-BR" sz="1100" b="1" baseline="0">
                <a:solidFill>
                  <a:srgbClr val="C00000"/>
                </a:solidFill>
              </a:rPr>
              <a:t> para o MENU</a:t>
            </a:r>
            <a:endParaRPr lang="pt-BR" sz="1100" b="1">
              <a:solidFill>
                <a:srgbClr val="C00000"/>
              </a:solidFill>
            </a:endParaRPr>
          </a:p>
        </xdr:txBody>
      </xdr:sp>
      <xdr:pic>
        <xdr:nvPicPr>
          <xdr:cNvPr id="4" name="Gráfico 3" descr="Seta: retorno na horizontal com preenchimento sólido">
            <a:extLst>
              <a:ext uri="{FF2B5EF4-FFF2-40B4-BE49-F238E27FC236}">
                <a16:creationId xmlns:a16="http://schemas.microsoft.com/office/drawing/2014/main" id="{77A1C2E2-E641-01D0-278D-197571C2B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5573375" y="752475"/>
            <a:ext cx="914400" cy="914400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638174</xdr:colOff>
      <xdr:row>0</xdr:row>
      <xdr:rowOff>0</xdr:rowOff>
    </xdr:from>
    <xdr:to>
      <xdr:col>6</xdr:col>
      <xdr:colOff>2819399</xdr:colOff>
      <xdr:row>1</xdr:row>
      <xdr:rowOff>21337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7E9FE2-0FA5-4A4C-8836-13D7A6E5B8D7}"/>
            </a:ext>
          </a:extLst>
        </xdr:cNvPr>
        <xdr:cNvGrpSpPr/>
      </xdr:nvGrpSpPr>
      <xdr:grpSpPr>
        <a:xfrm>
          <a:off x="10525124" y="0"/>
          <a:ext cx="2181225" cy="507112"/>
          <a:chOff x="15573375" y="752475"/>
          <a:chExt cx="4413275" cy="928066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1881C0D3-0D24-0828-042C-6A018D25C601}"/>
              </a:ext>
            </a:extLst>
          </xdr:cNvPr>
          <xdr:cNvSpPr txBox="1"/>
        </xdr:nvSpPr>
        <xdr:spPr>
          <a:xfrm>
            <a:off x="16532598" y="976684"/>
            <a:ext cx="3454052" cy="703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rgbClr val="C00000"/>
                </a:solidFill>
              </a:rPr>
              <a:t>Retornar</a:t>
            </a:r>
            <a:r>
              <a:rPr lang="pt-BR" sz="1100" b="1" baseline="0">
                <a:solidFill>
                  <a:srgbClr val="C00000"/>
                </a:solidFill>
              </a:rPr>
              <a:t> para o MENU</a:t>
            </a:r>
            <a:endParaRPr lang="pt-BR" sz="1100" b="1">
              <a:solidFill>
                <a:srgbClr val="C00000"/>
              </a:solidFill>
            </a:endParaRPr>
          </a:p>
        </xdr:txBody>
      </xdr:sp>
      <xdr:pic>
        <xdr:nvPicPr>
          <xdr:cNvPr id="4" name="Gráfico 3" descr="Seta: retorno na horizontal com preenchimento sólido">
            <a:extLst>
              <a:ext uri="{FF2B5EF4-FFF2-40B4-BE49-F238E27FC236}">
                <a16:creationId xmlns:a16="http://schemas.microsoft.com/office/drawing/2014/main" id="{3985C71A-6036-6E74-EE39-B14403FC2F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5573375" y="752475"/>
            <a:ext cx="914400" cy="914400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  <xdr:twoCellAnchor>
    <xdr:from>
      <xdr:col>6</xdr:col>
      <xdr:colOff>3162300</xdr:colOff>
      <xdr:row>0</xdr:row>
      <xdr:rowOff>9525</xdr:rowOff>
    </xdr:from>
    <xdr:to>
      <xdr:col>7</xdr:col>
      <xdr:colOff>1885949</xdr:colOff>
      <xdr:row>1</xdr:row>
      <xdr:rowOff>49912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42F65E5-CC72-4747-B135-2C7F9297A61E}"/>
            </a:ext>
          </a:extLst>
        </xdr:cNvPr>
        <xdr:cNvGrpSpPr/>
      </xdr:nvGrpSpPr>
      <xdr:grpSpPr>
        <a:xfrm>
          <a:off x="13049250" y="9525"/>
          <a:ext cx="2028824" cy="526162"/>
          <a:chOff x="13049250" y="9525"/>
          <a:chExt cx="2028824" cy="526162"/>
        </a:xfrm>
      </xdr:grpSpPr>
      <xdr:sp macro="[0]!separar_plan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865476D5-EA69-BFF8-C73B-2B0AD01F7684}"/>
              </a:ext>
            </a:extLst>
          </xdr:cNvPr>
          <xdr:cNvSpPr txBox="1"/>
        </xdr:nvSpPr>
        <xdr:spPr>
          <a:xfrm>
            <a:off x="13370937" y="132678"/>
            <a:ext cx="1707137" cy="4030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>
                <a:solidFill>
                  <a:srgbClr val="C00000"/>
                </a:solidFill>
              </a:rPr>
              <a:t>Separar</a:t>
            </a:r>
            <a:r>
              <a:rPr lang="pt-BR" sz="1100" b="1" baseline="0">
                <a:solidFill>
                  <a:srgbClr val="C00000"/>
                </a:solidFill>
              </a:rPr>
              <a:t> planilha envio</a:t>
            </a:r>
            <a:endParaRPr lang="pt-BR" sz="1100" b="1">
              <a:solidFill>
                <a:srgbClr val="C00000"/>
              </a:solidFill>
            </a:endParaRPr>
          </a:p>
        </xdr:txBody>
      </xdr:sp>
      <xdr:pic macro="[0]!separar_plan">
        <xdr:nvPicPr>
          <xdr:cNvPr id="7" name="Gráfico 6" descr="Janela do navegador com preenchimento sólido">
            <a:extLst>
              <a:ext uri="{FF2B5EF4-FFF2-40B4-BE49-F238E27FC236}">
                <a16:creationId xmlns:a16="http://schemas.microsoft.com/office/drawing/2014/main" id="{A609AD58-DD46-5839-4BD8-3E1A2D5662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049250" y="9525"/>
            <a:ext cx="504825" cy="504825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E8E4A-EFE9-4D91-A337-158C6BEBEA06}">
  <sheetPr codeName="Planilha1">
    <tabColor theme="1"/>
  </sheetPr>
  <dimension ref="A1:AF64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/>
  <sheetData>
    <row r="1" spans="1:32">
      <c r="A1" s="114"/>
      <c r="B1" s="114"/>
      <c r="C1" s="114"/>
      <c r="D1" s="114"/>
      <c r="E1" s="114"/>
      <c r="F1" s="114"/>
      <c r="G1" s="11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14"/>
      <c r="Y1" s="114"/>
      <c r="Z1" s="114"/>
      <c r="AA1" s="114"/>
      <c r="AB1" s="114"/>
      <c r="AC1" s="114"/>
      <c r="AD1" s="114"/>
      <c r="AE1" s="114"/>
      <c r="AF1" s="114"/>
    </row>
    <row r="2" spans="1:32">
      <c r="A2" s="114"/>
      <c r="B2" s="114"/>
      <c r="C2" s="114"/>
      <c r="D2" s="114"/>
      <c r="E2" s="114"/>
      <c r="F2" s="114"/>
      <c r="G2" s="11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>
      <c r="A3" s="114"/>
      <c r="B3" s="114"/>
      <c r="C3" s="114"/>
      <c r="D3" s="114"/>
      <c r="E3" s="114"/>
      <c r="F3" s="114"/>
      <c r="G3" s="11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14"/>
      <c r="Y3" s="114"/>
      <c r="Z3" s="114"/>
      <c r="AA3" s="114"/>
      <c r="AB3" s="114"/>
      <c r="AC3" s="114"/>
      <c r="AD3" s="114"/>
      <c r="AE3" s="114"/>
      <c r="AF3" s="114"/>
    </row>
    <row r="4" spans="1:32">
      <c r="A4" s="114"/>
      <c r="B4" s="114"/>
      <c r="C4" s="114"/>
      <c r="D4" s="114"/>
      <c r="E4" s="114"/>
      <c r="F4" s="114"/>
      <c r="G4" s="11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14"/>
      <c r="Y4" s="114"/>
      <c r="Z4" s="114"/>
      <c r="AA4" s="114"/>
      <c r="AB4" s="114"/>
      <c r="AC4" s="114"/>
      <c r="AD4" s="114"/>
      <c r="AE4" s="114"/>
      <c r="AF4" s="114"/>
    </row>
    <row r="5" spans="1:32">
      <c r="A5" s="114"/>
      <c r="B5" s="114"/>
      <c r="C5" s="114"/>
      <c r="D5" s="114"/>
      <c r="E5" s="114"/>
      <c r="F5" s="114"/>
      <c r="G5" s="11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14"/>
      <c r="Y5" s="114"/>
      <c r="Z5" s="114"/>
      <c r="AA5" s="114"/>
      <c r="AB5" s="114"/>
      <c r="AC5" s="114"/>
      <c r="AD5" s="114"/>
      <c r="AE5" s="114"/>
      <c r="AF5" s="114"/>
    </row>
    <row r="6" spans="1:32">
      <c r="A6" s="114"/>
      <c r="B6" s="114"/>
      <c r="C6" s="114"/>
      <c r="D6" s="114"/>
      <c r="E6" s="114"/>
      <c r="F6" s="114"/>
      <c r="G6" s="11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14"/>
      <c r="Y6" s="114"/>
      <c r="Z6" s="114"/>
      <c r="AA6" s="114"/>
      <c r="AB6" s="114"/>
      <c r="AC6" s="114"/>
      <c r="AD6" s="114"/>
      <c r="AE6" s="114"/>
      <c r="AF6" s="114"/>
    </row>
    <row r="7" spans="1:32">
      <c r="A7" s="114"/>
      <c r="B7" s="114"/>
      <c r="C7" s="114"/>
      <c r="D7" s="114"/>
      <c r="E7" s="114"/>
      <c r="F7" s="114"/>
      <c r="G7" s="11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14"/>
      <c r="Y7" s="114"/>
      <c r="Z7" s="114"/>
      <c r="AA7" s="114"/>
      <c r="AB7" s="114"/>
      <c r="AC7" s="114"/>
      <c r="AD7" s="114"/>
      <c r="AE7" s="114"/>
      <c r="AF7" s="114"/>
    </row>
    <row r="8" spans="1:32">
      <c r="A8" s="114"/>
      <c r="B8" s="114"/>
      <c r="C8" s="114"/>
      <c r="D8" s="114"/>
      <c r="E8" s="114"/>
      <c r="F8" s="114"/>
      <c r="G8" s="11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14"/>
      <c r="Y8" s="114"/>
      <c r="Z8" s="114"/>
      <c r="AA8" s="114"/>
      <c r="AB8" s="114"/>
      <c r="AC8" s="114"/>
      <c r="AD8" s="114"/>
      <c r="AE8" s="114"/>
      <c r="AF8" s="114"/>
    </row>
    <row r="9" spans="1:32">
      <c r="A9" s="114"/>
      <c r="B9" s="114"/>
      <c r="C9" s="114"/>
      <c r="D9" s="114"/>
      <c r="E9" s="114"/>
      <c r="F9" s="114"/>
      <c r="G9" s="11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14"/>
      <c r="Y9" s="114"/>
      <c r="Z9" s="114"/>
      <c r="AA9" s="114"/>
      <c r="AB9" s="114"/>
      <c r="AC9" s="114"/>
      <c r="AD9" s="114"/>
      <c r="AE9" s="114"/>
      <c r="AF9" s="114"/>
    </row>
    <row r="10" spans="1:32">
      <c r="A10" s="114"/>
      <c r="B10" s="114"/>
      <c r="C10" s="114"/>
      <c r="D10" s="114"/>
      <c r="E10" s="114"/>
      <c r="F10" s="114"/>
      <c r="G10" s="11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14"/>
      <c r="Y10" s="114"/>
      <c r="Z10" s="114"/>
      <c r="AA10" s="114"/>
      <c r="AB10" s="114"/>
      <c r="AC10" s="114"/>
      <c r="AD10" s="114"/>
      <c r="AE10" s="114"/>
      <c r="AF10" s="114"/>
    </row>
    <row r="11" spans="1:32">
      <c r="A11" s="114"/>
      <c r="B11" s="114"/>
      <c r="C11" s="114"/>
      <c r="D11" s="114"/>
      <c r="E11" s="114"/>
      <c r="F11" s="114"/>
      <c r="G11" s="11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14"/>
      <c r="Y11" s="114"/>
      <c r="Z11" s="114"/>
      <c r="AA11" s="114"/>
      <c r="AB11" s="114"/>
      <c r="AC11" s="114"/>
      <c r="AD11" s="114"/>
      <c r="AE11" s="114"/>
      <c r="AF11" s="114"/>
    </row>
    <row r="12" spans="1:32">
      <c r="A12" s="114"/>
      <c r="B12" s="114"/>
      <c r="C12" s="114"/>
      <c r="D12" s="114"/>
      <c r="E12" s="114"/>
      <c r="F12" s="114"/>
      <c r="G12" s="11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14"/>
      <c r="Y12" s="114"/>
      <c r="Z12" s="114"/>
      <c r="AA12" s="114"/>
      <c r="AB12" s="114"/>
      <c r="AC12" s="114"/>
      <c r="AD12" s="114"/>
      <c r="AE12" s="114"/>
      <c r="AF12" s="114"/>
    </row>
    <row r="13" spans="1:32">
      <c r="A13" s="114"/>
      <c r="B13" s="114"/>
      <c r="C13" s="114"/>
      <c r="D13" s="114"/>
      <c r="E13" s="114"/>
      <c r="F13" s="114"/>
      <c r="G13" s="11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14"/>
      <c r="Y13" s="114"/>
      <c r="Z13" s="114"/>
      <c r="AA13" s="114"/>
      <c r="AB13" s="114"/>
      <c r="AC13" s="114"/>
      <c r="AD13" s="114"/>
      <c r="AE13" s="114"/>
      <c r="AF13" s="114"/>
    </row>
    <row r="14" spans="1:32">
      <c r="A14" s="114"/>
      <c r="B14" s="114"/>
      <c r="C14" s="114"/>
      <c r="D14" s="114"/>
      <c r="E14" s="114"/>
      <c r="F14" s="114"/>
      <c r="G14" s="11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14"/>
      <c r="Y14" s="114"/>
      <c r="Z14" s="114"/>
      <c r="AA14" s="114"/>
      <c r="AB14" s="114"/>
      <c r="AC14" s="114"/>
      <c r="AD14" s="114"/>
      <c r="AE14" s="114"/>
      <c r="AF14" s="114"/>
    </row>
    <row r="15" spans="1:32">
      <c r="A15" s="114"/>
      <c r="B15" s="114"/>
      <c r="C15" s="114"/>
      <c r="D15" s="114"/>
      <c r="E15" s="114"/>
      <c r="F15" s="114"/>
      <c r="G15" s="11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14"/>
      <c r="Y15" s="114"/>
      <c r="Z15" s="114"/>
      <c r="AA15" s="114"/>
      <c r="AB15" s="114"/>
      <c r="AC15" s="114"/>
      <c r="AD15" s="114"/>
      <c r="AE15" s="114"/>
      <c r="AF15" s="114"/>
    </row>
    <row r="16" spans="1:32">
      <c r="A16" s="114"/>
      <c r="B16" s="114"/>
      <c r="C16" s="114"/>
      <c r="D16" s="114"/>
      <c r="E16" s="114"/>
      <c r="F16" s="114"/>
      <c r="G16" s="11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14"/>
      <c r="Y16" s="114"/>
      <c r="Z16" s="114"/>
      <c r="AA16" s="114"/>
      <c r="AB16" s="114"/>
      <c r="AC16" s="114"/>
      <c r="AD16" s="114"/>
      <c r="AE16" s="114"/>
      <c r="AF16" s="114"/>
    </row>
    <row r="17" spans="1:32">
      <c r="A17" s="114"/>
      <c r="B17" s="114"/>
      <c r="C17" s="114"/>
      <c r="D17" s="114"/>
      <c r="E17" s="114"/>
      <c r="F17" s="114"/>
      <c r="G17" s="11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14"/>
      <c r="Y17" s="114"/>
      <c r="Z17" s="114"/>
      <c r="AA17" s="114"/>
      <c r="AB17" s="114"/>
      <c r="AC17" s="114"/>
      <c r="AD17" s="114"/>
      <c r="AE17" s="114"/>
      <c r="AF17" s="114"/>
    </row>
    <row r="18" spans="1:32">
      <c r="A18" s="114"/>
      <c r="B18" s="114"/>
      <c r="C18" s="114"/>
      <c r="D18" s="114"/>
      <c r="E18" s="114"/>
      <c r="F18" s="114"/>
      <c r="G18" s="11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14"/>
      <c r="Y18" s="114"/>
      <c r="Z18" s="114"/>
      <c r="AA18" s="114"/>
      <c r="AB18" s="114"/>
      <c r="AC18" s="114"/>
      <c r="AD18" s="114"/>
      <c r="AE18" s="114"/>
      <c r="AF18" s="114"/>
    </row>
    <row r="19" spans="1:32">
      <c r="A19" s="114"/>
      <c r="B19" s="114"/>
      <c r="C19" s="114"/>
      <c r="D19" s="114"/>
      <c r="E19" s="114"/>
      <c r="F19" s="114"/>
      <c r="G19" s="11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14"/>
      <c r="Y19" s="114"/>
      <c r="Z19" s="114"/>
      <c r="AA19" s="114"/>
      <c r="AB19" s="114"/>
      <c r="AC19" s="114"/>
      <c r="AD19" s="114"/>
      <c r="AE19" s="114"/>
      <c r="AF19" s="114"/>
    </row>
    <row r="20" spans="1:32">
      <c r="A20" s="114"/>
      <c r="B20" s="114"/>
      <c r="C20" s="114"/>
      <c r="D20" s="114"/>
      <c r="E20" s="114"/>
      <c r="F20" s="114"/>
      <c r="G20" s="11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14"/>
      <c r="Y20" s="114"/>
      <c r="Z20" s="114"/>
      <c r="AA20" s="114"/>
      <c r="AB20" s="114"/>
      <c r="AC20" s="114"/>
      <c r="AD20" s="114"/>
      <c r="AE20" s="114"/>
      <c r="AF20" s="114"/>
    </row>
    <row r="21" spans="1:32">
      <c r="A21" s="114"/>
      <c r="B21" s="114"/>
      <c r="C21" s="114"/>
      <c r="D21" s="114"/>
      <c r="E21" s="114"/>
      <c r="F21" s="114"/>
      <c r="G21" s="11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  <c r="W21" s="164"/>
      <c r="X21" s="114"/>
      <c r="Y21" s="114"/>
      <c r="Z21" s="114"/>
      <c r="AA21" s="114"/>
      <c r="AB21" s="114"/>
      <c r="AC21" s="114"/>
      <c r="AD21" s="114"/>
      <c r="AE21" s="114"/>
      <c r="AF21" s="114"/>
    </row>
    <row r="22" spans="1:32">
      <c r="A22" s="114"/>
      <c r="B22" s="114"/>
      <c r="C22" s="114"/>
      <c r="D22" s="114"/>
      <c r="E22" s="114"/>
      <c r="F22" s="114"/>
      <c r="G22" s="11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14"/>
      <c r="Y22" s="114"/>
      <c r="Z22" s="114"/>
      <c r="AA22" s="114"/>
      <c r="AB22" s="114"/>
      <c r="AC22" s="114"/>
      <c r="AD22" s="114"/>
      <c r="AE22" s="114"/>
      <c r="AF22" s="114"/>
    </row>
    <row r="23" spans="1:32">
      <c r="A23" s="114"/>
      <c r="B23" s="114"/>
      <c r="C23" s="114"/>
      <c r="D23" s="114"/>
      <c r="E23" s="114"/>
      <c r="F23" s="114"/>
      <c r="G23" s="11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14"/>
      <c r="Y23" s="114"/>
      <c r="Z23" s="114"/>
      <c r="AA23" s="114"/>
      <c r="AB23" s="114"/>
      <c r="AC23" s="114"/>
      <c r="AD23" s="114"/>
      <c r="AE23" s="114"/>
      <c r="AF23" s="114"/>
    </row>
    <row r="24" spans="1:32">
      <c r="A24" s="114"/>
      <c r="B24" s="114"/>
      <c r="C24" s="114"/>
      <c r="D24" s="114"/>
      <c r="E24" s="114"/>
      <c r="F24" s="114"/>
      <c r="G24" s="11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14"/>
      <c r="Y24" s="114"/>
      <c r="Z24" s="114"/>
      <c r="AA24" s="114"/>
      <c r="AB24" s="114"/>
      <c r="AC24" s="114"/>
      <c r="AD24" s="114"/>
      <c r="AE24" s="114"/>
      <c r="AF24" s="114"/>
    </row>
    <row r="25" spans="1:32">
      <c r="A25" s="114"/>
      <c r="B25" s="114"/>
      <c r="C25" s="114"/>
      <c r="D25" s="114"/>
      <c r="E25" s="114"/>
      <c r="F25" s="114"/>
      <c r="G25" s="11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14"/>
      <c r="Y25" s="114"/>
      <c r="Z25" s="114"/>
      <c r="AA25" s="114"/>
      <c r="AB25" s="114"/>
      <c r="AC25" s="114"/>
      <c r="AD25" s="114"/>
      <c r="AE25" s="114"/>
      <c r="AF25" s="114"/>
    </row>
    <row r="26" spans="1:32">
      <c r="A26" s="114"/>
      <c r="B26" s="114"/>
      <c r="C26" s="114"/>
      <c r="D26" s="114"/>
      <c r="E26" s="114"/>
      <c r="F26" s="114"/>
      <c r="G26" s="11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14"/>
      <c r="Y26" s="114"/>
      <c r="Z26" s="114"/>
      <c r="AA26" s="114"/>
      <c r="AB26" s="114"/>
      <c r="AC26" s="114"/>
      <c r="AD26" s="114"/>
      <c r="AE26" s="114"/>
      <c r="AF26" s="114"/>
    </row>
    <row r="27" spans="1:32">
      <c r="A27" s="114"/>
      <c r="B27" s="114"/>
      <c r="C27" s="114"/>
      <c r="D27" s="114"/>
      <c r="E27" s="114"/>
      <c r="F27" s="114"/>
      <c r="G27" s="11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14"/>
      <c r="Y27" s="114"/>
      <c r="Z27" s="114"/>
      <c r="AA27" s="114"/>
      <c r="AB27" s="114"/>
      <c r="AC27" s="114"/>
      <c r="AD27" s="114"/>
      <c r="AE27" s="114"/>
      <c r="AF27" s="114"/>
    </row>
    <row r="28" spans="1:32">
      <c r="A28" s="114"/>
      <c r="B28" s="114"/>
      <c r="C28" s="114"/>
      <c r="D28" s="114"/>
      <c r="E28" s="114"/>
      <c r="F28" s="114"/>
      <c r="G28" s="11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14"/>
      <c r="Y28" s="114"/>
      <c r="Z28" s="114"/>
      <c r="AA28" s="114"/>
      <c r="AB28" s="114"/>
      <c r="AC28" s="114"/>
      <c r="AD28" s="114"/>
      <c r="AE28" s="114"/>
      <c r="AF28" s="114"/>
    </row>
    <row r="29" spans="1:32">
      <c r="A29" s="114"/>
      <c r="B29" s="114"/>
      <c r="C29" s="114"/>
      <c r="D29" s="114"/>
      <c r="E29" s="114"/>
      <c r="F29" s="114"/>
      <c r="G29" s="11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14"/>
      <c r="Y29" s="114"/>
      <c r="Z29" s="114"/>
      <c r="AA29" s="114"/>
      <c r="AB29" s="114"/>
      <c r="AC29" s="114"/>
      <c r="AD29" s="114"/>
      <c r="AE29" s="114"/>
      <c r="AF29" s="114"/>
    </row>
    <row r="30" spans="1:32">
      <c r="A30" s="114"/>
      <c r="B30" s="114"/>
      <c r="C30" s="114"/>
      <c r="D30" s="114"/>
      <c r="E30" s="114"/>
      <c r="F30" s="114"/>
      <c r="G30" s="11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14"/>
      <c r="Y30" s="114"/>
      <c r="Z30" s="114"/>
      <c r="AA30" s="114"/>
      <c r="AB30" s="114"/>
      <c r="AC30" s="114"/>
      <c r="AD30" s="114"/>
      <c r="AE30" s="114"/>
      <c r="AF30" s="114"/>
    </row>
    <row r="31" spans="1:32">
      <c r="A31" s="114"/>
      <c r="B31" s="114"/>
      <c r="C31" s="114"/>
      <c r="D31" s="114"/>
      <c r="E31" s="114"/>
      <c r="F31" s="114"/>
      <c r="G31" s="11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14"/>
      <c r="Y31" s="114"/>
      <c r="Z31" s="114"/>
      <c r="AA31" s="114"/>
      <c r="AB31" s="114"/>
      <c r="AC31" s="114"/>
      <c r="AD31" s="114"/>
      <c r="AE31" s="114"/>
      <c r="AF31" s="114"/>
    </row>
    <row r="32" spans="1:32">
      <c r="A32" s="114"/>
      <c r="B32" s="114"/>
      <c r="C32" s="114"/>
      <c r="D32" s="114"/>
      <c r="E32" s="114"/>
      <c r="F32" s="114"/>
      <c r="G32" s="11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14"/>
      <c r="Y32" s="114"/>
      <c r="Z32" s="114"/>
      <c r="AA32" s="114"/>
      <c r="AB32" s="114"/>
      <c r="AC32" s="114"/>
      <c r="AD32" s="114"/>
      <c r="AE32" s="114"/>
      <c r="AF32" s="114"/>
    </row>
    <row r="33" spans="1:32">
      <c r="A33" s="114"/>
      <c r="B33" s="114"/>
      <c r="C33" s="114"/>
      <c r="D33" s="114"/>
      <c r="E33" s="114"/>
      <c r="F33" s="114"/>
      <c r="G33" s="11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14"/>
      <c r="Y33" s="114"/>
      <c r="Z33" s="114"/>
      <c r="AA33" s="114"/>
      <c r="AB33" s="114"/>
      <c r="AC33" s="114"/>
      <c r="AD33" s="114"/>
      <c r="AE33" s="114"/>
      <c r="AF33" s="114"/>
    </row>
    <row r="34" spans="1:32">
      <c r="A34" s="114"/>
      <c r="B34" s="114"/>
      <c r="C34" s="114"/>
      <c r="D34" s="114"/>
      <c r="E34" s="114"/>
      <c r="F34" s="114"/>
      <c r="G34" s="11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14"/>
      <c r="Y34" s="114"/>
      <c r="Z34" s="114"/>
      <c r="AA34" s="114"/>
      <c r="AB34" s="114"/>
      <c r="AC34" s="114"/>
      <c r="AD34" s="114"/>
      <c r="AE34" s="114"/>
      <c r="AF34" s="114"/>
    </row>
    <row r="35" spans="1:32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</row>
    <row r="36" spans="1:32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</row>
    <row r="37" spans="1:32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</row>
    <row r="38" spans="1:32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</row>
    <row r="39" spans="1:32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</row>
    <row r="40" spans="1:32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</row>
    <row r="41" spans="1:32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</row>
    <row r="42" spans="1:32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</row>
    <row r="43" spans="1:32">
      <c r="A43" s="114"/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</row>
    <row r="44" spans="1:32">
      <c r="A44" s="114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</row>
    <row r="45" spans="1:32">
      <c r="A45" s="114"/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</row>
    <row r="46" spans="1:32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</row>
    <row r="47" spans="1:32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</row>
    <row r="48" spans="1:32">
      <c r="A48" s="114"/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</row>
    <row r="49" spans="1:32">
      <c r="A49" s="114"/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</row>
    <row r="50" spans="1:32">
      <c r="A50" s="114"/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</row>
    <row r="51" spans="1:32">
      <c r="A51" s="114"/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</row>
    <row r="52" spans="1:32">
      <c r="A52" s="114"/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</row>
    <row r="53" spans="1:32">
      <c r="A53" s="114"/>
      <c r="B53" s="114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</row>
    <row r="54" spans="1:32">
      <c r="A54" s="114"/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</row>
    <row r="55" spans="1:32">
      <c r="A55" s="114"/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</row>
    <row r="56" spans="1:32">
      <c r="A56" s="114"/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</row>
    <row r="57" spans="1:32">
      <c r="A57" s="114"/>
      <c r="B57" s="114"/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</row>
    <row r="58" spans="1:32">
      <c r="A58" s="114"/>
      <c r="B58" s="114"/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</row>
    <row r="59" spans="1:32">
      <c r="A59" s="114"/>
      <c r="B59" s="114"/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</row>
    <row r="60" spans="1:32">
      <c r="A60" s="114"/>
      <c r="B60" s="114"/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</row>
    <row r="61" spans="1:32">
      <c r="A61" s="114"/>
      <c r="B61" s="114"/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</row>
    <row r="62" spans="1:32">
      <c r="A62" s="114"/>
      <c r="B62" s="114"/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</row>
    <row r="63" spans="1:32">
      <c r="A63" s="114"/>
      <c r="B63" s="114"/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</row>
    <row r="64" spans="1:32">
      <c r="A64" s="114"/>
      <c r="B64" s="114"/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</row>
  </sheetData>
  <sheetProtection sheet="1" scenarios="1"/>
  <mergeCells count="1">
    <mergeCell ref="H1:W3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C4B4B-2803-4239-85E3-40BCE209C6E5}">
  <sheetPr codeName="Planilha267">
    <tabColor rgb="FFFFC000"/>
  </sheetPr>
  <dimension ref="A1:JDM299"/>
  <sheetViews>
    <sheetView showGridLines="0" zoomScaleNormal="100" workbookViewId="0">
      <pane ySplit="1" topLeftCell="A2" activePane="bottomLeft" state="frozen"/>
      <selection pane="bottomLeft" activeCell="F3" sqref="F3"/>
    </sheetView>
  </sheetViews>
  <sheetFormatPr defaultRowHeight="15"/>
  <cols>
    <col min="1" max="1" width="10.85546875" style="1" customWidth="1"/>
    <col min="2" max="2" width="40.28515625" style="3" bestFit="1" customWidth="1"/>
    <col min="3" max="3" width="120.85546875" style="2" customWidth="1"/>
    <col min="4" max="4" width="23.28515625" style="3" bestFit="1" customWidth="1"/>
    <col min="5" max="5" width="10.7109375" style="5" customWidth="1"/>
    <col min="6" max="6" width="15.7109375" style="5" customWidth="1"/>
  </cols>
  <sheetData>
    <row r="1" spans="1:11 6877:6877" ht="32.25" thickBot="1">
      <c r="A1" s="36" t="s">
        <v>149</v>
      </c>
      <c r="B1" s="32" t="s">
        <v>150</v>
      </c>
      <c r="C1" s="33" t="s">
        <v>151</v>
      </c>
      <c r="D1" s="33" t="s">
        <v>0</v>
      </c>
      <c r="E1" s="83" t="s">
        <v>1</v>
      </c>
      <c r="F1" s="83" t="s">
        <v>2</v>
      </c>
      <c r="JDM1" t="s">
        <v>1067</v>
      </c>
    </row>
    <row r="2" spans="1:11 6877:6877">
      <c r="A2" s="131" t="s">
        <v>1067</v>
      </c>
      <c r="B2" s="133" t="s">
        <v>3808</v>
      </c>
      <c r="C2" s="126" t="s">
        <v>3643</v>
      </c>
      <c r="D2" s="17" t="s">
        <v>816</v>
      </c>
      <c r="E2" s="92">
        <v>2.4900000000000002</v>
      </c>
      <c r="F2" s="93">
        <v>1.99</v>
      </c>
    </row>
    <row r="3" spans="1:11 6877:6877">
      <c r="A3" s="132" t="s">
        <v>1067</v>
      </c>
      <c r="B3" s="133" t="s">
        <v>3808</v>
      </c>
      <c r="C3" s="127" t="s">
        <v>1092</v>
      </c>
      <c r="D3" s="17" t="s">
        <v>12</v>
      </c>
      <c r="E3" s="84">
        <v>18.989999999999998</v>
      </c>
      <c r="F3" s="94">
        <v>16.989999999999998</v>
      </c>
      <c r="H3" s="165"/>
      <c r="I3" s="165"/>
      <c r="J3" s="165"/>
      <c r="K3" s="165"/>
    </row>
    <row r="4" spans="1:11 6877:6877">
      <c r="A4" s="132" t="s">
        <v>1067</v>
      </c>
      <c r="B4" s="133" t="s">
        <v>3808</v>
      </c>
      <c r="C4" s="127" t="s">
        <v>1280</v>
      </c>
      <c r="D4" s="17" t="s">
        <v>875</v>
      </c>
      <c r="E4" s="84">
        <v>3.59</v>
      </c>
      <c r="F4" s="94">
        <v>2.99</v>
      </c>
      <c r="H4" s="165"/>
      <c r="I4" s="165"/>
      <c r="J4" s="165"/>
      <c r="K4" s="165"/>
    </row>
    <row r="5" spans="1:11 6877:6877">
      <c r="A5" s="132" t="s">
        <v>1067</v>
      </c>
      <c r="B5" s="133" t="s">
        <v>3808</v>
      </c>
      <c r="C5" s="127" t="s">
        <v>2747</v>
      </c>
      <c r="D5" s="17" t="s">
        <v>8</v>
      </c>
      <c r="E5" s="84">
        <v>3.99</v>
      </c>
      <c r="F5" s="94">
        <v>3.49</v>
      </c>
      <c r="H5" s="165"/>
      <c r="I5" s="165"/>
      <c r="J5" s="165"/>
      <c r="K5" s="165"/>
    </row>
    <row r="6" spans="1:11 6877:6877">
      <c r="A6" s="132" t="s">
        <v>1067</v>
      </c>
      <c r="B6" s="133" t="s">
        <v>3808</v>
      </c>
      <c r="C6" s="127" t="s">
        <v>116</v>
      </c>
      <c r="D6" s="17" t="s">
        <v>875</v>
      </c>
      <c r="E6" s="84">
        <v>25.99</v>
      </c>
      <c r="F6" s="94">
        <v>23.99</v>
      </c>
      <c r="H6" s="165"/>
      <c r="I6" s="165"/>
      <c r="J6" s="165"/>
      <c r="K6" s="165"/>
    </row>
    <row r="7" spans="1:11 6877:6877">
      <c r="A7" s="132" t="s">
        <v>1067</v>
      </c>
      <c r="B7" s="133" t="s">
        <v>3808</v>
      </c>
      <c r="C7" s="127" t="s">
        <v>2910</v>
      </c>
      <c r="D7" s="17" t="s">
        <v>12</v>
      </c>
      <c r="E7" s="84">
        <v>16.989999999999998</v>
      </c>
      <c r="F7" s="94">
        <v>14.99</v>
      </c>
      <c r="H7" s="165"/>
      <c r="I7" s="165"/>
      <c r="J7" s="165"/>
      <c r="K7" s="165"/>
    </row>
    <row r="8" spans="1:11 6877:6877">
      <c r="A8" s="132" t="s">
        <v>1067</v>
      </c>
      <c r="B8" s="133" t="s">
        <v>3808</v>
      </c>
      <c r="C8" s="127" t="s">
        <v>3660</v>
      </c>
      <c r="D8" s="17" t="s">
        <v>11</v>
      </c>
      <c r="E8" s="84">
        <v>15.99</v>
      </c>
      <c r="F8" s="94">
        <v>13.99</v>
      </c>
      <c r="H8" s="165"/>
      <c r="I8" s="165"/>
      <c r="J8" s="165"/>
      <c r="K8" s="165"/>
    </row>
    <row r="9" spans="1:11 6877:6877">
      <c r="A9" s="132" t="s">
        <v>1067</v>
      </c>
      <c r="B9" s="133" t="s">
        <v>3808</v>
      </c>
      <c r="C9" s="127" t="s">
        <v>3530</v>
      </c>
      <c r="D9" s="17" t="s">
        <v>11</v>
      </c>
      <c r="E9" s="84">
        <v>15.99</v>
      </c>
      <c r="F9" s="94">
        <v>12.99</v>
      </c>
      <c r="H9" s="165"/>
      <c r="I9" s="165"/>
      <c r="J9" s="165"/>
      <c r="K9" s="165"/>
    </row>
    <row r="10" spans="1:11 6877:6877">
      <c r="A10" s="132" t="s">
        <v>1067</v>
      </c>
      <c r="B10" s="133" t="s">
        <v>3808</v>
      </c>
      <c r="C10" s="127" t="s">
        <v>88</v>
      </c>
      <c r="D10" s="17" t="s">
        <v>11</v>
      </c>
      <c r="E10" s="84">
        <v>23.9</v>
      </c>
      <c r="F10" s="94">
        <v>19.899999999999999</v>
      </c>
    </row>
    <row r="11" spans="1:11 6877:6877">
      <c r="A11" s="132" t="s">
        <v>1067</v>
      </c>
      <c r="B11" s="133" t="s">
        <v>3808</v>
      </c>
      <c r="C11" s="127" t="s">
        <v>3481</v>
      </c>
      <c r="D11" s="17" t="s">
        <v>11</v>
      </c>
      <c r="E11" s="84">
        <v>9.49</v>
      </c>
      <c r="F11" s="94">
        <v>8.49</v>
      </c>
    </row>
    <row r="12" spans="1:11 6877:6877">
      <c r="A12" s="132" t="s">
        <v>1067</v>
      </c>
      <c r="B12" s="133" t="s">
        <v>3808</v>
      </c>
      <c r="C12" s="127" t="s">
        <v>3695</v>
      </c>
      <c r="D12" s="17" t="s">
        <v>11</v>
      </c>
      <c r="E12" s="84">
        <v>12.99</v>
      </c>
      <c r="F12" s="94">
        <v>10.99</v>
      </c>
    </row>
    <row r="13" spans="1:11 6877:6877">
      <c r="A13" s="132" t="s">
        <v>1067</v>
      </c>
      <c r="B13" s="133" t="s">
        <v>3808</v>
      </c>
      <c r="C13" s="127" t="s">
        <v>2046</v>
      </c>
      <c r="D13" s="17" t="s">
        <v>12</v>
      </c>
      <c r="E13" s="84">
        <v>6.99</v>
      </c>
      <c r="F13" s="94">
        <v>5.99</v>
      </c>
    </row>
    <row r="14" spans="1:11 6877:6877">
      <c r="A14" s="132" t="s">
        <v>1067</v>
      </c>
      <c r="B14" s="133" t="s">
        <v>3808</v>
      </c>
      <c r="C14" s="127" t="s">
        <v>3809</v>
      </c>
      <c r="D14" s="17" t="s">
        <v>11</v>
      </c>
      <c r="E14" s="84">
        <v>12.99</v>
      </c>
      <c r="F14" s="94">
        <v>9.99</v>
      </c>
    </row>
    <row r="15" spans="1:11 6877:6877">
      <c r="A15" s="132" t="s">
        <v>1067</v>
      </c>
      <c r="B15" s="133" t="s">
        <v>3808</v>
      </c>
      <c r="C15" s="127" t="s">
        <v>2275</v>
      </c>
      <c r="D15" s="17" t="s">
        <v>489</v>
      </c>
      <c r="E15" s="84">
        <v>19.989999999999998</v>
      </c>
      <c r="F15" s="94">
        <v>17.989999999999998</v>
      </c>
    </row>
    <row r="16" spans="1:11 6877:6877">
      <c r="A16" s="132" t="s">
        <v>1067</v>
      </c>
      <c r="B16" s="133" t="s">
        <v>3808</v>
      </c>
      <c r="C16" s="127" t="s">
        <v>2541</v>
      </c>
      <c r="D16" s="17" t="s">
        <v>12</v>
      </c>
      <c r="E16" s="84">
        <v>6.99</v>
      </c>
      <c r="F16" s="94">
        <v>5.99</v>
      </c>
    </row>
    <row r="17" spans="1:6 6877:6877">
      <c r="A17" s="132" t="s">
        <v>1067</v>
      </c>
      <c r="B17" s="133" t="s">
        <v>3808</v>
      </c>
      <c r="C17" s="127" t="s">
        <v>3295</v>
      </c>
      <c r="D17" s="17" t="s">
        <v>1138</v>
      </c>
      <c r="E17" s="84">
        <v>7.99</v>
      </c>
      <c r="F17" s="94">
        <v>6.99</v>
      </c>
    </row>
    <row r="18" spans="1:6 6877:6877">
      <c r="A18" s="132" t="s">
        <v>1067</v>
      </c>
      <c r="B18" s="133" t="s">
        <v>3808</v>
      </c>
      <c r="C18" s="127" t="s">
        <v>3806</v>
      </c>
      <c r="D18" s="17" t="s">
        <v>1673</v>
      </c>
      <c r="E18" s="84">
        <v>47.88</v>
      </c>
      <c r="F18" s="94">
        <v>45.48</v>
      </c>
    </row>
    <row r="19" spans="1:6 6877:6877">
      <c r="A19" s="132" t="s">
        <v>1067</v>
      </c>
      <c r="B19" s="133" t="s">
        <v>3808</v>
      </c>
      <c r="C19" s="127" t="s">
        <v>3596</v>
      </c>
      <c r="D19" s="17" t="s">
        <v>1138</v>
      </c>
      <c r="E19" s="84">
        <v>5.99</v>
      </c>
      <c r="F19" s="94">
        <v>4.99</v>
      </c>
    </row>
    <row r="20" spans="1:6 6877:6877">
      <c r="A20" s="132" t="s">
        <v>1067</v>
      </c>
      <c r="B20" s="133" t="s">
        <v>3808</v>
      </c>
      <c r="C20" s="127" t="s">
        <v>2908</v>
      </c>
      <c r="D20" s="17" t="s">
        <v>1669</v>
      </c>
      <c r="E20" s="84">
        <v>2.39</v>
      </c>
      <c r="F20" s="94">
        <v>2.19</v>
      </c>
    </row>
    <row r="21" spans="1:6 6877:6877">
      <c r="A21" s="132" t="s">
        <v>1067</v>
      </c>
      <c r="B21" s="133" t="s">
        <v>3808</v>
      </c>
      <c r="C21" s="127" t="s">
        <v>2785</v>
      </c>
      <c r="D21" s="17" t="s">
        <v>1138</v>
      </c>
      <c r="E21" s="84">
        <v>4.59</v>
      </c>
      <c r="F21" s="94">
        <v>3.99</v>
      </c>
    </row>
    <row r="22" spans="1:6 6877:6877">
      <c r="A22" s="132" t="s">
        <v>1067</v>
      </c>
      <c r="B22" s="133" t="s">
        <v>3808</v>
      </c>
      <c r="C22" s="127" t="s">
        <v>3282</v>
      </c>
      <c r="D22" s="17" t="s">
        <v>11</v>
      </c>
      <c r="E22" s="84">
        <v>159.9</v>
      </c>
      <c r="F22" s="94">
        <v>129.9</v>
      </c>
    </row>
    <row r="23" spans="1:6 6877:6877">
      <c r="A23" s="132" t="s">
        <v>1067</v>
      </c>
      <c r="B23" s="133" t="s">
        <v>3808</v>
      </c>
      <c r="C23" s="127" t="s">
        <v>3329</v>
      </c>
      <c r="D23" s="17" t="s">
        <v>11</v>
      </c>
      <c r="E23" s="84">
        <v>179</v>
      </c>
      <c r="F23" s="94">
        <v>139.9</v>
      </c>
    </row>
    <row r="24" spans="1:6 6877:6877">
      <c r="A24" s="132" t="s">
        <v>1067</v>
      </c>
      <c r="B24" s="133" t="s">
        <v>3808</v>
      </c>
      <c r="C24" s="127" t="s">
        <v>3278</v>
      </c>
      <c r="D24" s="17" t="s">
        <v>941</v>
      </c>
      <c r="E24" s="84">
        <v>95.9</v>
      </c>
      <c r="F24" s="94">
        <v>85.9</v>
      </c>
    </row>
    <row r="25" spans="1:6 6877:6877">
      <c r="A25" s="132" t="s">
        <v>1067</v>
      </c>
      <c r="B25" s="133" t="s">
        <v>3808</v>
      </c>
      <c r="C25" s="127" t="s">
        <v>1462</v>
      </c>
      <c r="D25" s="17" t="s">
        <v>941</v>
      </c>
      <c r="E25" s="84">
        <v>35.9</v>
      </c>
      <c r="F25" s="94">
        <v>32.9</v>
      </c>
      <c r="JDM25" t="s">
        <v>3404</v>
      </c>
    </row>
    <row r="26" spans="1:6 6877:6877">
      <c r="A26" s="132" t="s">
        <v>1067</v>
      </c>
      <c r="B26" s="133" t="s">
        <v>3808</v>
      </c>
      <c r="C26" s="127" t="s">
        <v>3480</v>
      </c>
      <c r="D26" s="17" t="s">
        <v>12</v>
      </c>
      <c r="E26" s="84">
        <v>32.9</v>
      </c>
      <c r="F26" s="94">
        <v>28.9</v>
      </c>
    </row>
    <row r="27" spans="1:6 6877:6877">
      <c r="A27" s="132" t="s">
        <v>1067</v>
      </c>
      <c r="B27" s="133" t="s">
        <v>3808</v>
      </c>
      <c r="C27" s="127" t="s">
        <v>3240</v>
      </c>
      <c r="D27" s="17" t="s">
        <v>11</v>
      </c>
      <c r="E27" s="84">
        <v>21.9</v>
      </c>
      <c r="F27" s="94">
        <v>18.899999999999999</v>
      </c>
    </row>
    <row r="28" spans="1:6 6877:6877">
      <c r="A28" s="132" t="s">
        <v>1067</v>
      </c>
      <c r="B28" s="133" t="s">
        <v>3808</v>
      </c>
      <c r="C28" s="127" t="s">
        <v>2302</v>
      </c>
      <c r="D28" s="17" t="s">
        <v>11</v>
      </c>
      <c r="E28" s="84">
        <v>79.900000000000006</v>
      </c>
      <c r="F28" s="94">
        <v>69.900000000000006</v>
      </c>
    </row>
    <row r="29" spans="1:6 6877:6877">
      <c r="A29" s="134" t="s">
        <v>3404</v>
      </c>
      <c r="B29" s="81" t="s">
        <v>3808</v>
      </c>
      <c r="C29" s="71" t="s">
        <v>3440</v>
      </c>
      <c r="D29" s="90" t="s">
        <v>12</v>
      </c>
      <c r="E29" s="91">
        <v>26.99</v>
      </c>
      <c r="F29" s="95">
        <v>24.99</v>
      </c>
    </row>
    <row r="30" spans="1:6 6877:6877">
      <c r="A30" s="134" t="s">
        <v>3404</v>
      </c>
      <c r="B30" s="81" t="s">
        <v>3808</v>
      </c>
      <c r="C30" s="71" t="s">
        <v>1092</v>
      </c>
      <c r="D30" s="90" t="s">
        <v>12</v>
      </c>
      <c r="E30" s="91">
        <v>18.989999999999998</v>
      </c>
      <c r="F30" s="95">
        <v>16.989999999999998</v>
      </c>
    </row>
    <row r="31" spans="1:6 6877:6877">
      <c r="A31" s="134" t="s">
        <v>3404</v>
      </c>
      <c r="B31" s="81" t="s">
        <v>3808</v>
      </c>
      <c r="C31" s="71" t="s">
        <v>1280</v>
      </c>
      <c r="D31" s="90" t="s">
        <v>875</v>
      </c>
      <c r="E31" s="91">
        <v>3.59</v>
      </c>
      <c r="F31" s="95">
        <v>2.99</v>
      </c>
    </row>
    <row r="32" spans="1:6 6877:6877">
      <c r="A32" s="134" t="s">
        <v>3404</v>
      </c>
      <c r="B32" s="81" t="s">
        <v>3808</v>
      </c>
      <c r="C32" s="71" t="s">
        <v>116</v>
      </c>
      <c r="D32" s="90" t="s">
        <v>875</v>
      </c>
      <c r="E32" s="91">
        <v>25.99</v>
      </c>
      <c r="F32" s="95">
        <v>23.99</v>
      </c>
    </row>
    <row r="33" spans="1:6">
      <c r="A33" s="134" t="s">
        <v>3404</v>
      </c>
      <c r="B33" s="81" t="s">
        <v>3808</v>
      </c>
      <c r="C33" s="71" t="s">
        <v>3660</v>
      </c>
      <c r="D33" s="90" t="s">
        <v>11</v>
      </c>
      <c r="E33" s="91">
        <v>15.99</v>
      </c>
      <c r="F33" s="95">
        <v>13.99</v>
      </c>
    </row>
    <row r="34" spans="1:6">
      <c r="A34" s="134" t="s">
        <v>3404</v>
      </c>
      <c r="B34" s="81" t="s">
        <v>3808</v>
      </c>
      <c r="C34" s="71" t="s">
        <v>3530</v>
      </c>
      <c r="D34" s="90" t="s">
        <v>11</v>
      </c>
      <c r="E34" s="91">
        <v>15.99</v>
      </c>
      <c r="F34" s="95">
        <v>12.99</v>
      </c>
    </row>
    <row r="35" spans="1:6">
      <c r="A35" s="134" t="s">
        <v>3404</v>
      </c>
      <c r="B35" s="81" t="s">
        <v>3808</v>
      </c>
      <c r="C35" s="71" t="s">
        <v>2275</v>
      </c>
      <c r="D35" s="90" t="s">
        <v>489</v>
      </c>
      <c r="E35" s="91">
        <v>19.989999999999998</v>
      </c>
      <c r="F35" s="95">
        <v>17.989999999999998</v>
      </c>
    </row>
    <row r="36" spans="1:6">
      <c r="A36" s="134" t="s">
        <v>3404</v>
      </c>
      <c r="B36" s="81" t="s">
        <v>3808</v>
      </c>
      <c r="C36" s="71" t="s">
        <v>3695</v>
      </c>
      <c r="D36" s="90" t="s">
        <v>11</v>
      </c>
      <c r="E36" s="91">
        <v>12.99</v>
      </c>
      <c r="F36" s="95">
        <v>10.99</v>
      </c>
    </row>
    <row r="37" spans="1:6">
      <c r="A37" s="134" t="s">
        <v>3404</v>
      </c>
      <c r="B37" s="81" t="s">
        <v>3808</v>
      </c>
      <c r="C37" s="71" t="s">
        <v>3807</v>
      </c>
      <c r="D37" s="90" t="s">
        <v>941</v>
      </c>
      <c r="E37" s="91">
        <v>7.99</v>
      </c>
      <c r="F37" s="95">
        <v>6.99</v>
      </c>
    </row>
    <row r="38" spans="1:6">
      <c r="A38" s="134" t="s">
        <v>3404</v>
      </c>
      <c r="B38" s="81" t="s">
        <v>3808</v>
      </c>
      <c r="C38" s="71" t="s">
        <v>3405</v>
      </c>
      <c r="D38" s="90" t="s">
        <v>941</v>
      </c>
      <c r="E38" s="91">
        <v>21.9</v>
      </c>
      <c r="F38" s="95">
        <v>19.899999999999999</v>
      </c>
    </row>
    <row r="39" spans="1:6">
      <c r="A39" s="134" t="s">
        <v>3404</v>
      </c>
      <c r="B39" s="81" t="s">
        <v>3808</v>
      </c>
      <c r="C39" s="71" t="s">
        <v>3278</v>
      </c>
      <c r="D39" s="90" t="s">
        <v>941</v>
      </c>
      <c r="E39" s="91">
        <v>95.9</v>
      </c>
      <c r="F39" s="95">
        <v>85.9</v>
      </c>
    </row>
    <row r="40" spans="1:6">
      <c r="A40" s="134" t="s">
        <v>3404</v>
      </c>
      <c r="B40" s="81" t="s">
        <v>3808</v>
      </c>
      <c r="C40" s="71" t="s">
        <v>1462</v>
      </c>
      <c r="D40" s="90" t="s">
        <v>941</v>
      </c>
      <c r="E40" s="91">
        <v>35.9</v>
      </c>
      <c r="F40" s="95">
        <v>32.9</v>
      </c>
    </row>
    <row r="41" spans="1:6">
      <c r="A41" s="134" t="s">
        <v>3404</v>
      </c>
      <c r="B41" s="81" t="s">
        <v>3808</v>
      </c>
      <c r="C41" s="71" t="s">
        <v>3240</v>
      </c>
      <c r="D41" s="90" t="s">
        <v>11</v>
      </c>
      <c r="E41" s="91">
        <v>21.9</v>
      </c>
      <c r="F41" s="95">
        <v>18.899999999999999</v>
      </c>
    </row>
    <row r="42" spans="1:6">
      <c r="A42" s="134" t="s">
        <v>3404</v>
      </c>
      <c r="B42" s="81" t="s">
        <v>3808</v>
      </c>
      <c r="C42" s="71" t="s">
        <v>2541</v>
      </c>
      <c r="D42" s="90" t="s">
        <v>12</v>
      </c>
      <c r="E42" s="91">
        <v>6.99</v>
      </c>
      <c r="F42" s="95">
        <v>5.99</v>
      </c>
    </row>
    <row r="43" spans="1:6">
      <c r="A43" s="134"/>
      <c r="B43" s="81"/>
      <c r="C43" s="71"/>
      <c r="D43" s="90"/>
      <c r="E43" s="91"/>
      <c r="F43" s="95"/>
    </row>
    <row r="44" spans="1:6">
      <c r="A44" s="134"/>
      <c r="B44" s="81"/>
      <c r="C44" s="71"/>
      <c r="D44" s="90"/>
      <c r="E44" s="91"/>
      <c r="F44" s="95"/>
    </row>
    <row r="45" spans="1:6">
      <c r="A45" s="134"/>
      <c r="B45" s="81"/>
      <c r="C45" s="71"/>
      <c r="D45" s="90"/>
      <c r="E45" s="91"/>
      <c r="F45" s="95"/>
    </row>
    <row r="46" spans="1:6">
      <c r="A46" s="134"/>
      <c r="B46" s="81"/>
      <c r="C46" s="71"/>
      <c r="D46" s="90"/>
      <c r="E46" s="91"/>
      <c r="F46" s="95"/>
    </row>
    <row r="47" spans="1:6">
      <c r="A47" s="134"/>
      <c r="B47" s="81"/>
      <c r="C47" s="71"/>
      <c r="D47" s="90"/>
      <c r="E47" s="91"/>
      <c r="F47" s="95"/>
    </row>
    <row r="48" spans="1:6">
      <c r="A48" s="134"/>
      <c r="B48" s="81"/>
      <c r="C48" s="71"/>
      <c r="D48" s="90"/>
      <c r="E48" s="91"/>
      <c r="F48" s="95"/>
    </row>
    <row r="49" spans="1:6">
      <c r="A49" s="134"/>
      <c r="B49" s="81"/>
      <c r="C49" s="71"/>
      <c r="D49" s="90"/>
      <c r="E49" s="91"/>
      <c r="F49" s="95"/>
    </row>
    <row r="50" spans="1:6">
      <c r="A50" s="134"/>
      <c r="B50" s="81"/>
      <c r="C50" s="71"/>
      <c r="D50" s="90"/>
      <c r="E50" s="91"/>
      <c r="F50" s="95"/>
    </row>
    <row r="51" spans="1:6">
      <c r="A51" s="134"/>
      <c r="B51" s="81"/>
      <c r="C51" s="71"/>
      <c r="D51" s="90"/>
      <c r="E51" s="91"/>
      <c r="F51" s="95"/>
    </row>
    <row r="52" spans="1:6">
      <c r="A52" s="134"/>
      <c r="B52" s="81"/>
      <c r="C52" s="71"/>
      <c r="D52" s="90"/>
      <c r="E52" s="91"/>
      <c r="F52" s="95"/>
    </row>
    <row r="53" spans="1:6">
      <c r="A53" s="134"/>
      <c r="B53" s="81"/>
      <c r="C53" s="71"/>
      <c r="D53" s="90"/>
      <c r="E53" s="91"/>
      <c r="F53" s="95"/>
    </row>
    <row r="54" spans="1:6">
      <c r="A54" s="134"/>
      <c r="B54" s="81"/>
      <c r="C54" s="71"/>
      <c r="D54" s="90"/>
      <c r="E54" s="91"/>
      <c r="F54" s="95"/>
    </row>
    <row r="55" spans="1:6">
      <c r="A55" s="89"/>
      <c r="B55" s="81"/>
      <c r="C55" s="71"/>
      <c r="D55" s="90"/>
      <c r="E55" s="91"/>
      <c r="F55" s="95"/>
    </row>
    <row r="56" spans="1:6">
      <c r="A56" s="89"/>
      <c r="B56" s="81"/>
      <c r="C56" s="71"/>
      <c r="D56" s="90"/>
      <c r="E56" s="91"/>
      <c r="F56" s="95"/>
    </row>
    <row r="57" spans="1:6">
      <c r="A57" s="89"/>
      <c r="B57" s="81"/>
      <c r="C57" s="71"/>
      <c r="D57" s="90"/>
      <c r="E57" s="91"/>
      <c r="F57" s="95"/>
    </row>
    <row r="58" spans="1:6">
      <c r="A58" s="89"/>
      <c r="B58" s="81"/>
      <c r="C58" s="71"/>
      <c r="D58" s="90"/>
      <c r="E58" s="91"/>
      <c r="F58" s="95"/>
    </row>
    <row r="59" spans="1:6">
      <c r="A59" s="89"/>
      <c r="B59" s="81"/>
      <c r="C59" s="71"/>
      <c r="D59" s="90"/>
      <c r="E59" s="91"/>
      <c r="F59" s="95"/>
    </row>
    <row r="60" spans="1:6">
      <c r="A60" s="89"/>
      <c r="B60" s="81"/>
      <c r="C60" s="71"/>
      <c r="D60" s="90"/>
      <c r="E60" s="91"/>
      <c r="F60" s="95"/>
    </row>
    <row r="61" spans="1:6">
      <c r="A61" s="89"/>
      <c r="B61" s="81"/>
      <c r="C61" s="71"/>
      <c r="D61" s="90"/>
      <c r="E61" s="91"/>
      <c r="F61" s="95"/>
    </row>
    <row r="62" spans="1:6">
      <c r="A62" s="89"/>
      <c r="B62" s="81"/>
      <c r="C62" s="71"/>
      <c r="D62" s="90"/>
      <c r="E62" s="91"/>
      <c r="F62" s="95"/>
    </row>
    <row r="63" spans="1:6">
      <c r="A63" s="89"/>
      <c r="B63" s="81"/>
      <c r="C63" s="71"/>
      <c r="D63" s="90"/>
      <c r="E63" s="91"/>
      <c r="F63" s="95"/>
    </row>
    <row r="64" spans="1:6">
      <c r="A64" s="89"/>
      <c r="B64" s="81"/>
      <c r="C64" s="71"/>
      <c r="D64" s="90"/>
      <c r="E64" s="91"/>
      <c r="F64" s="95"/>
    </row>
    <row r="65" spans="1:6">
      <c r="A65" s="89"/>
      <c r="B65" s="81"/>
      <c r="C65" s="71"/>
      <c r="D65" s="90"/>
      <c r="E65" s="91"/>
      <c r="F65" s="95"/>
    </row>
    <row r="66" spans="1:6">
      <c r="A66" s="89"/>
      <c r="B66" s="81"/>
      <c r="C66" s="71"/>
      <c r="D66" s="90"/>
      <c r="E66" s="91"/>
      <c r="F66" s="95"/>
    </row>
    <row r="67" spans="1:6">
      <c r="A67" s="89"/>
      <c r="B67" s="81"/>
      <c r="C67" s="71"/>
      <c r="D67" s="90"/>
      <c r="E67" s="91"/>
      <c r="F67" s="95"/>
    </row>
    <row r="68" spans="1:6">
      <c r="A68" s="89"/>
      <c r="B68" s="81"/>
      <c r="C68" s="71"/>
      <c r="D68" s="90"/>
      <c r="E68" s="91"/>
      <c r="F68" s="95"/>
    </row>
    <row r="69" spans="1:6">
      <c r="A69" s="89"/>
      <c r="B69" s="81"/>
      <c r="C69" s="71"/>
      <c r="D69" s="90"/>
      <c r="E69" s="91"/>
      <c r="F69" s="95"/>
    </row>
    <row r="70" spans="1:6">
      <c r="A70" s="89"/>
      <c r="B70" s="81"/>
      <c r="C70" s="71"/>
      <c r="D70" s="90"/>
      <c r="E70" s="91"/>
      <c r="F70" s="95"/>
    </row>
    <row r="71" spans="1:6">
      <c r="A71" s="89"/>
      <c r="B71" s="81"/>
      <c r="C71" s="71"/>
      <c r="D71" s="90"/>
      <c r="E71" s="91"/>
      <c r="F71" s="95"/>
    </row>
    <row r="72" spans="1:6">
      <c r="A72" s="89"/>
      <c r="B72" s="81"/>
      <c r="C72" s="71"/>
      <c r="D72" s="90"/>
      <c r="E72" s="91"/>
      <c r="F72" s="95"/>
    </row>
    <row r="73" spans="1:6">
      <c r="A73" s="89"/>
      <c r="B73" s="81"/>
      <c r="C73" s="71"/>
      <c r="D73" s="90"/>
      <c r="E73" s="91"/>
      <c r="F73" s="95"/>
    </row>
    <row r="74" spans="1:6">
      <c r="A74" s="89"/>
      <c r="B74" s="81"/>
      <c r="C74" s="71"/>
      <c r="D74" s="90"/>
      <c r="E74" s="91"/>
      <c r="F74" s="95"/>
    </row>
    <row r="75" spans="1:6">
      <c r="A75" s="89"/>
      <c r="B75" s="81"/>
      <c r="C75" s="71"/>
      <c r="D75" s="90"/>
      <c r="E75" s="91"/>
      <c r="F75" s="95"/>
    </row>
    <row r="76" spans="1:6">
      <c r="A76" s="89"/>
      <c r="B76" s="81"/>
      <c r="C76" s="71"/>
      <c r="D76" s="90"/>
      <c r="E76" s="91"/>
      <c r="F76" s="95"/>
    </row>
    <row r="77" spans="1:6">
      <c r="A77" s="89"/>
      <c r="B77" s="81"/>
      <c r="C77" s="71"/>
      <c r="D77" s="90"/>
      <c r="E77" s="91"/>
      <c r="F77" s="95"/>
    </row>
    <row r="78" spans="1:6">
      <c r="A78" s="89"/>
      <c r="B78" s="81"/>
      <c r="C78" s="71"/>
      <c r="D78" s="90"/>
      <c r="E78" s="91"/>
      <c r="F78" s="95"/>
    </row>
    <row r="79" spans="1:6">
      <c r="A79" s="89"/>
      <c r="B79" s="81"/>
      <c r="C79" s="71"/>
      <c r="D79" s="90"/>
      <c r="E79" s="91"/>
      <c r="F79" s="95"/>
    </row>
    <row r="80" spans="1:6">
      <c r="A80" s="89"/>
      <c r="B80" s="81"/>
      <c r="C80" s="71"/>
      <c r="D80" s="90"/>
      <c r="E80" s="91"/>
      <c r="F80" s="95"/>
    </row>
    <row r="81" spans="1:6">
      <c r="A81" s="89"/>
      <c r="B81" s="81"/>
      <c r="C81" s="71"/>
      <c r="D81" s="90"/>
      <c r="E81" s="91"/>
      <c r="F81" s="95"/>
    </row>
    <row r="82" spans="1:6">
      <c r="A82" s="89"/>
      <c r="B82" s="81"/>
      <c r="C82" s="71"/>
      <c r="D82" s="90"/>
      <c r="E82" s="91"/>
      <c r="F82" s="95"/>
    </row>
    <row r="83" spans="1:6">
      <c r="A83" s="89"/>
      <c r="B83" s="81"/>
      <c r="C83" s="71"/>
      <c r="D83" s="90"/>
      <c r="E83" s="91"/>
      <c r="F83" s="95"/>
    </row>
    <row r="84" spans="1:6">
      <c r="A84" s="89"/>
      <c r="B84" s="81"/>
      <c r="C84" s="71"/>
      <c r="D84" s="90"/>
      <c r="E84" s="91"/>
      <c r="F84" s="95"/>
    </row>
    <row r="85" spans="1:6">
      <c r="A85" s="89"/>
      <c r="B85" s="81"/>
      <c r="C85" s="71"/>
      <c r="D85" s="90"/>
      <c r="E85" s="91"/>
      <c r="F85" s="95"/>
    </row>
    <row r="86" spans="1:6">
      <c r="A86" s="89"/>
      <c r="B86" s="81"/>
      <c r="C86" s="71"/>
      <c r="D86" s="90"/>
      <c r="E86" s="91"/>
      <c r="F86" s="95"/>
    </row>
    <row r="87" spans="1:6">
      <c r="A87" s="89"/>
      <c r="B87" s="81"/>
      <c r="C87" s="71"/>
      <c r="D87" s="90"/>
      <c r="E87" s="91"/>
      <c r="F87" s="95"/>
    </row>
    <row r="88" spans="1:6">
      <c r="A88" s="89"/>
      <c r="B88" s="81"/>
      <c r="C88" s="71"/>
      <c r="D88" s="90"/>
      <c r="E88" s="91"/>
      <c r="F88" s="95"/>
    </row>
    <row r="89" spans="1:6">
      <c r="A89" s="89"/>
      <c r="B89" s="81"/>
      <c r="C89" s="71"/>
      <c r="D89" s="90"/>
      <c r="E89" s="91"/>
      <c r="F89" s="95"/>
    </row>
    <row r="90" spans="1:6">
      <c r="A90" s="89"/>
      <c r="B90" s="81"/>
      <c r="C90" s="71"/>
      <c r="D90" s="90"/>
      <c r="E90" s="91"/>
      <c r="F90" s="95"/>
    </row>
    <row r="91" spans="1:6">
      <c r="A91" s="89"/>
      <c r="B91" s="81"/>
      <c r="C91" s="71"/>
      <c r="D91" s="90"/>
      <c r="E91" s="91"/>
      <c r="F91" s="95"/>
    </row>
    <row r="92" spans="1:6">
      <c r="A92" s="89"/>
      <c r="B92" s="81"/>
      <c r="C92" s="71"/>
      <c r="D92" s="90"/>
      <c r="E92" s="91"/>
      <c r="F92" s="95"/>
    </row>
    <row r="93" spans="1:6">
      <c r="A93" s="89"/>
      <c r="B93" s="81"/>
      <c r="C93" s="71"/>
      <c r="D93" s="90"/>
      <c r="E93" s="91"/>
      <c r="F93" s="95"/>
    </row>
    <row r="94" spans="1:6">
      <c r="A94" s="89"/>
      <c r="B94" s="81"/>
      <c r="C94" s="71"/>
      <c r="D94" s="90"/>
      <c r="E94" s="91"/>
      <c r="F94" s="95"/>
    </row>
    <row r="95" spans="1:6">
      <c r="A95" s="89"/>
      <c r="B95" s="81"/>
      <c r="C95" s="71"/>
      <c r="D95" s="90"/>
      <c r="E95" s="91"/>
      <c r="F95" s="95"/>
    </row>
    <row r="96" spans="1:6">
      <c r="A96" s="89"/>
      <c r="B96" s="81"/>
      <c r="C96" s="71"/>
      <c r="D96" s="90"/>
      <c r="E96" s="91"/>
      <c r="F96" s="95"/>
    </row>
    <row r="97" spans="1:6">
      <c r="A97" s="89"/>
      <c r="B97" s="81"/>
      <c r="C97" s="71"/>
      <c r="D97" s="90"/>
      <c r="E97" s="91"/>
      <c r="F97" s="95"/>
    </row>
    <row r="98" spans="1:6">
      <c r="A98" s="89"/>
      <c r="B98" s="81"/>
      <c r="C98" s="71"/>
      <c r="D98" s="90"/>
      <c r="E98" s="91"/>
      <c r="F98" s="95"/>
    </row>
    <row r="99" spans="1:6">
      <c r="A99" s="89"/>
      <c r="B99" s="81"/>
      <c r="C99" s="71"/>
      <c r="D99" s="90"/>
      <c r="E99" s="91"/>
      <c r="F99" s="95"/>
    </row>
    <row r="100" spans="1:6">
      <c r="A100" s="89"/>
      <c r="B100" s="81"/>
      <c r="C100" s="71"/>
      <c r="D100" s="90"/>
      <c r="E100" s="91"/>
      <c r="F100" s="95"/>
    </row>
    <row r="101" spans="1:6">
      <c r="A101" s="89"/>
      <c r="B101" s="81"/>
      <c r="C101" s="71"/>
      <c r="D101" s="90"/>
      <c r="E101" s="91"/>
      <c r="F101" s="95"/>
    </row>
    <row r="102" spans="1:6">
      <c r="A102" s="89"/>
      <c r="B102" s="81"/>
      <c r="C102" s="71"/>
      <c r="D102" s="90"/>
      <c r="E102" s="91"/>
      <c r="F102" s="95"/>
    </row>
    <row r="103" spans="1:6">
      <c r="A103" s="89"/>
      <c r="B103" s="81"/>
      <c r="C103" s="71"/>
      <c r="D103" s="90"/>
      <c r="E103" s="91"/>
      <c r="F103" s="95"/>
    </row>
    <row r="104" spans="1:6">
      <c r="A104" s="89"/>
      <c r="B104" s="81"/>
      <c r="C104" s="71"/>
      <c r="D104" s="90"/>
      <c r="E104" s="91"/>
      <c r="F104" s="95"/>
    </row>
    <row r="105" spans="1:6">
      <c r="A105" s="89"/>
      <c r="B105" s="81"/>
      <c r="C105" s="71"/>
      <c r="D105" s="90"/>
      <c r="E105" s="91"/>
      <c r="F105" s="95"/>
    </row>
    <row r="106" spans="1:6">
      <c r="A106" s="89"/>
      <c r="B106" s="81"/>
      <c r="C106" s="71"/>
      <c r="D106" s="90"/>
      <c r="E106" s="91"/>
      <c r="F106" s="95"/>
    </row>
    <row r="107" spans="1:6">
      <c r="A107" s="89"/>
      <c r="B107" s="81"/>
      <c r="C107" s="71"/>
      <c r="D107" s="90"/>
      <c r="E107" s="91"/>
      <c r="F107" s="95"/>
    </row>
    <row r="108" spans="1:6">
      <c r="A108" s="89"/>
      <c r="B108" s="81"/>
      <c r="C108" s="71"/>
      <c r="D108" s="90"/>
      <c r="E108" s="91"/>
      <c r="F108" s="95"/>
    </row>
    <row r="109" spans="1:6">
      <c r="A109" s="89"/>
      <c r="B109" s="81"/>
      <c r="C109" s="71"/>
      <c r="D109" s="90"/>
      <c r="E109" s="91"/>
      <c r="F109" s="95"/>
    </row>
    <row r="110" spans="1:6">
      <c r="A110" s="89"/>
      <c r="B110" s="81"/>
      <c r="C110" s="71"/>
      <c r="D110" s="90"/>
      <c r="E110" s="91"/>
      <c r="F110" s="95"/>
    </row>
    <row r="111" spans="1:6">
      <c r="A111" s="89"/>
      <c r="B111" s="81"/>
      <c r="C111" s="71"/>
      <c r="D111" s="90"/>
      <c r="E111" s="91"/>
      <c r="F111" s="95"/>
    </row>
    <row r="112" spans="1:6">
      <c r="A112" s="89"/>
      <c r="B112" s="81"/>
      <c r="C112" s="71"/>
      <c r="D112" s="90"/>
      <c r="E112" s="91"/>
      <c r="F112" s="95"/>
    </row>
    <row r="113" spans="1:6">
      <c r="A113" s="89"/>
      <c r="B113" s="81"/>
      <c r="C113" s="71"/>
      <c r="D113" s="90"/>
      <c r="E113" s="91"/>
      <c r="F113" s="95"/>
    </row>
    <row r="114" spans="1:6">
      <c r="A114" s="89"/>
      <c r="B114" s="81"/>
      <c r="C114" s="71"/>
      <c r="D114" s="90"/>
      <c r="E114" s="91"/>
      <c r="F114" s="95"/>
    </row>
    <row r="115" spans="1:6">
      <c r="A115" s="89"/>
      <c r="B115" s="81"/>
      <c r="C115" s="71"/>
      <c r="D115" s="90"/>
      <c r="E115" s="91"/>
      <c r="F115" s="95"/>
    </row>
    <row r="116" spans="1:6">
      <c r="A116" s="89"/>
      <c r="B116" s="81"/>
      <c r="C116" s="71"/>
      <c r="D116" s="90"/>
      <c r="E116" s="91"/>
      <c r="F116" s="95"/>
    </row>
    <row r="117" spans="1:6">
      <c r="A117" s="89"/>
      <c r="B117" s="81"/>
      <c r="C117" s="71"/>
      <c r="D117" s="90"/>
      <c r="E117" s="91"/>
      <c r="F117" s="95"/>
    </row>
    <row r="118" spans="1:6">
      <c r="A118" s="89"/>
      <c r="B118" s="81"/>
      <c r="C118" s="71"/>
      <c r="D118" s="90"/>
      <c r="E118" s="91"/>
      <c r="F118" s="95"/>
    </row>
    <row r="119" spans="1:6">
      <c r="A119" s="89"/>
      <c r="B119" s="81"/>
      <c r="C119" s="71"/>
      <c r="D119" s="90"/>
      <c r="E119" s="91"/>
      <c r="F119" s="95"/>
    </row>
    <row r="120" spans="1:6">
      <c r="A120" s="89"/>
      <c r="B120" s="81"/>
      <c r="C120" s="71"/>
      <c r="D120" s="90"/>
      <c r="E120" s="91"/>
      <c r="F120" s="95"/>
    </row>
    <row r="121" spans="1:6">
      <c r="A121" s="89"/>
      <c r="B121" s="81"/>
      <c r="C121" s="71"/>
      <c r="D121" s="90"/>
      <c r="E121" s="91"/>
      <c r="F121" s="95"/>
    </row>
    <row r="122" spans="1:6">
      <c r="A122" s="89"/>
      <c r="B122" s="81"/>
      <c r="C122" s="71"/>
      <c r="D122" s="90"/>
      <c r="E122" s="91"/>
      <c r="F122" s="95"/>
    </row>
    <row r="123" spans="1:6">
      <c r="A123" s="89"/>
      <c r="B123" s="81"/>
      <c r="C123" s="71"/>
      <c r="D123" s="90"/>
      <c r="E123" s="91"/>
      <c r="F123" s="95"/>
    </row>
    <row r="124" spans="1:6">
      <c r="A124" s="89"/>
      <c r="B124" s="81"/>
      <c r="C124" s="71"/>
      <c r="D124" s="90"/>
      <c r="E124" s="91"/>
      <c r="F124" s="95"/>
    </row>
    <row r="125" spans="1:6">
      <c r="A125" s="89"/>
      <c r="B125" s="81"/>
      <c r="C125" s="71"/>
      <c r="D125" s="90"/>
      <c r="E125" s="91"/>
      <c r="F125" s="95"/>
    </row>
    <row r="126" spans="1:6">
      <c r="A126" s="89"/>
      <c r="B126" s="81"/>
      <c r="C126" s="71"/>
      <c r="D126" s="90"/>
      <c r="E126" s="91"/>
      <c r="F126" s="95"/>
    </row>
    <row r="127" spans="1:6">
      <c r="A127" s="89"/>
      <c r="B127" s="81"/>
      <c r="C127" s="71"/>
      <c r="D127" s="90"/>
      <c r="E127" s="91"/>
      <c r="F127" s="95"/>
    </row>
    <row r="128" spans="1:6">
      <c r="A128" s="89"/>
      <c r="B128" s="81"/>
      <c r="C128" s="71"/>
      <c r="D128" s="90"/>
      <c r="E128" s="91"/>
      <c r="F128" s="95"/>
    </row>
    <row r="129" spans="1:6">
      <c r="A129" s="89"/>
      <c r="B129" s="81"/>
      <c r="C129" s="71"/>
      <c r="D129" s="90"/>
      <c r="E129" s="91"/>
      <c r="F129" s="95"/>
    </row>
    <row r="130" spans="1:6">
      <c r="A130" s="89"/>
      <c r="B130" s="81"/>
      <c r="C130" s="71"/>
      <c r="D130" s="90"/>
      <c r="E130" s="91"/>
      <c r="F130" s="95"/>
    </row>
    <row r="131" spans="1:6">
      <c r="A131" s="89"/>
      <c r="B131" s="81"/>
      <c r="C131" s="71"/>
      <c r="D131" s="90"/>
      <c r="E131" s="91"/>
      <c r="F131" s="95"/>
    </row>
    <row r="132" spans="1:6">
      <c r="A132" s="89"/>
      <c r="B132" s="81"/>
      <c r="C132" s="71"/>
      <c r="D132" s="90"/>
      <c r="E132" s="91"/>
      <c r="F132" s="95"/>
    </row>
    <row r="133" spans="1:6">
      <c r="A133" s="89"/>
      <c r="B133" s="81"/>
      <c r="C133" s="71"/>
      <c r="D133" s="90"/>
      <c r="E133" s="91"/>
      <c r="F133" s="95"/>
    </row>
    <row r="134" spans="1:6">
      <c r="A134" s="89"/>
      <c r="B134" s="81"/>
      <c r="C134" s="71"/>
      <c r="D134" s="90"/>
      <c r="E134" s="91"/>
      <c r="F134" s="95"/>
    </row>
    <row r="135" spans="1:6">
      <c r="A135" s="89"/>
      <c r="B135" s="81"/>
      <c r="C135" s="71"/>
      <c r="D135" s="90"/>
      <c r="E135" s="91"/>
      <c r="F135" s="95"/>
    </row>
    <row r="136" spans="1:6">
      <c r="A136" s="89"/>
      <c r="B136" s="81"/>
      <c r="C136" s="71"/>
      <c r="D136" s="90"/>
      <c r="E136" s="91"/>
      <c r="F136" s="95"/>
    </row>
    <row r="137" spans="1:6">
      <c r="A137" s="89"/>
      <c r="B137" s="81"/>
      <c r="C137" s="71"/>
      <c r="D137" s="90"/>
      <c r="E137" s="91"/>
      <c r="F137" s="95"/>
    </row>
    <row r="138" spans="1:6">
      <c r="A138" s="89"/>
      <c r="B138" s="81"/>
      <c r="C138" s="71"/>
      <c r="D138" s="90"/>
      <c r="E138" s="91"/>
      <c r="F138" s="95"/>
    </row>
    <row r="139" spans="1:6">
      <c r="A139" s="89"/>
      <c r="B139" s="81"/>
      <c r="C139" s="71"/>
      <c r="D139" s="90"/>
      <c r="E139" s="91"/>
      <c r="F139" s="95"/>
    </row>
    <row r="140" spans="1:6">
      <c r="A140" s="89"/>
      <c r="B140" s="81"/>
      <c r="C140" s="71"/>
      <c r="D140" s="90"/>
      <c r="E140" s="91"/>
      <c r="F140" s="95"/>
    </row>
    <row r="141" spans="1:6">
      <c r="A141" s="89"/>
      <c r="B141" s="81"/>
      <c r="C141" s="71"/>
      <c r="D141" s="90"/>
      <c r="E141" s="91"/>
      <c r="F141" s="95"/>
    </row>
    <row r="142" spans="1:6">
      <c r="A142" s="89"/>
      <c r="B142" s="81"/>
      <c r="C142" s="71"/>
      <c r="D142" s="90"/>
      <c r="E142" s="91"/>
      <c r="F142" s="95"/>
    </row>
    <row r="143" spans="1:6">
      <c r="A143" s="89"/>
      <c r="B143" s="81"/>
      <c r="C143" s="71"/>
      <c r="D143" s="90"/>
      <c r="E143" s="91"/>
      <c r="F143" s="95"/>
    </row>
    <row r="144" spans="1:6">
      <c r="A144" s="89"/>
      <c r="B144" s="81"/>
      <c r="C144" s="71"/>
      <c r="D144" s="90"/>
      <c r="E144" s="91"/>
      <c r="F144" s="95"/>
    </row>
    <row r="145" spans="1:6">
      <c r="A145" s="89"/>
      <c r="B145" s="81"/>
      <c r="C145" s="71"/>
      <c r="D145" s="90"/>
      <c r="E145" s="91"/>
      <c r="F145" s="95"/>
    </row>
    <row r="146" spans="1:6">
      <c r="A146" s="89"/>
      <c r="B146" s="81"/>
      <c r="C146" s="71"/>
      <c r="D146" s="90"/>
      <c r="E146" s="91"/>
      <c r="F146" s="95"/>
    </row>
    <row r="147" spans="1:6">
      <c r="A147" s="89"/>
      <c r="B147" s="81"/>
      <c r="C147" s="71"/>
      <c r="D147" s="90"/>
      <c r="E147" s="91"/>
      <c r="F147" s="95"/>
    </row>
    <row r="148" spans="1:6">
      <c r="A148" s="89"/>
      <c r="B148" s="81"/>
      <c r="C148" s="71"/>
      <c r="D148" s="90"/>
      <c r="E148" s="91"/>
      <c r="F148" s="95"/>
    </row>
    <row r="149" spans="1:6">
      <c r="A149" s="89"/>
      <c r="B149" s="81"/>
      <c r="C149" s="71"/>
      <c r="D149" s="90"/>
      <c r="E149" s="91"/>
      <c r="F149" s="95"/>
    </row>
    <row r="150" spans="1:6">
      <c r="A150" s="89"/>
      <c r="B150" s="81"/>
      <c r="C150" s="71"/>
      <c r="D150" s="90"/>
      <c r="E150" s="91"/>
      <c r="F150" s="95"/>
    </row>
    <row r="151" spans="1:6">
      <c r="A151" s="89"/>
      <c r="B151" s="81"/>
      <c r="C151" s="71"/>
      <c r="D151" s="90"/>
      <c r="E151" s="91"/>
      <c r="F151" s="95"/>
    </row>
    <row r="152" spans="1:6">
      <c r="A152" s="89"/>
      <c r="B152" s="81"/>
      <c r="C152" s="71"/>
      <c r="D152" s="90"/>
      <c r="E152" s="91"/>
      <c r="F152" s="95"/>
    </row>
    <row r="153" spans="1:6">
      <c r="A153" s="89"/>
      <c r="B153" s="81"/>
      <c r="C153" s="71"/>
      <c r="D153" s="90"/>
      <c r="E153" s="91"/>
      <c r="F153" s="95"/>
    </row>
    <row r="154" spans="1:6">
      <c r="A154" s="89"/>
      <c r="B154" s="81"/>
      <c r="C154" s="71"/>
      <c r="D154" s="90"/>
      <c r="E154" s="91"/>
      <c r="F154" s="95"/>
    </row>
    <row r="155" spans="1:6">
      <c r="A155" s="89"/>
      <c r="B155" s="81"/>
      <c r="C155" s="71"/>
      <c r="D155" s="90"/>
      <c r="E155" s="91"/>
      <c r="F155" s="95"/>
    </row>
    <row r="156" spans="1:6">
      <c r="A156" s="89"/>
      <c r="B156" s="81"/>
      <c r="C156" s="71"/>
      <c r="D156" s="90"/>
      <c r="E156" s="91"/>
      <c r="F156" s="95"/>
    </row>
    <row r="157" spans="1:6">
      <c r="A157" s="89"/>
      <c r="B157" s="81"/>
      <c r="C157" s="71"/>
      <c r="D157" s="90"/>
      <c r="E157" s="91"/>
      <c r="F157" s="95"/>
    </row>
    <row r="158" spans="1:6">
      <c r="A158" s="89"/>
      <c r="B158" s="81"/>
      <c r="C158" s="71"/>
      <c r="D158" s="90"/>
      <c r="E158" s="91"/>
      <c r="F158" s="95"/>
    </row>
    <row r="159" spans="1:6">
      <c r="A159" s="82"/>
      <c r="B159" s="80"/>
      <c r="C159" s="15"/>
      <c r="D159" s="17"/>
      <c r="E159" s="84"/>
      <c r="F159" s="84"/>
    </row>
    <row r="160" spans="1:6">
      <c r="A160" s="82"/>
      <c r="B160" s="80"/>
      <c r="C160" s="15"/>
      <c r="D160" s="17"/>
      <c r="E160" s="84"/>
      <c r="F160" s="84"/>
    </row>
    <row r="161" spans="1:6">
      <c r="A161" s="82"/>
      <c r="B161" s="80"/>
      <c r="C161" s="15"/>
      <c r="D161" s="17"/>
      <c r="E161" s="84"/>
      <c r="F161" s="84"/>
    </row>
    <row r="162" spans="1:6">
      <c r="A162" s="82"/>
      <c r="B162" s="80"/>
      <c r="C162" s="15"/>
      <c r="D162" s="17"/>
      <c r="E162" s="84"/>
      <c r="F162" s="84"/>
    </row>
    <row r="163" spans="1:6">
      <c r="A163" s="82"/>
      <c r="B163" s="80"/>
      <c r="C163" s="15"/>
      <c r="D163" s="17"/>
      <c r="E163" s="84"/>
      <c r="F163" s="84"/>
    </row>
    <row r="164" spans="1:6">
      <c r="A164" s="82"/>
      <c r="B164" s="80"/>
      <c r="C164" s="15"/>
      <c r="D164" s="17"/>
      <c r="E164" s="84"/>
      <c r="F164" s="84"/>
    </row>
    <row r="165" spans="1:6">
      <c r="A165" s="82"/>
      <c r="B165" s="80"/>
      <c r="C165" s="15"/>
      <c r="D165" s="17"/>
      <c r="E165" s="84"/>
      <c r="F165" s="84"/>
    </row>
    <row r="166" spans="1:6">
      <c r="A166" s="82"/>
      <c r="B166" s="80"/>
      <c r="C166" s="15"/>
      <c r="D166" s="17"/>
      <c r="E166" s="84"/>
      <c r="F166" s="84"/>
    </row>
    <row r="167" spans="1:6">
      <c r="A167" s="82"/>
      <c r="B167" s="80"/>
      <c r="C167" s="15"/>
      <c r="D167" s="17"/>
      <c r="E167" s="84"/>
      <c r="F167" s="84"/>
    </row>
    <row r="168" spans="1:6">
      <c r="A168" s="82"/>
      <c r="B168" s="80"/>
      <c r="C168" s="15"/>
      <c r="D168" s="17"/>
      <c r="E168" s="84"/>
      <c r="F168" s="84"/>
    </row>
    <row r="169" spans="1:6">
      <c r="A169" s="82"/>
      <c r="B169" s="80"/>
      <c r="C169" s="15"/>
      <c r="D169" s="17"/>
      <c r="E169" s="84"/>
      <c r="F169" s="84"/>
    </row>
    <row r="170" spans="1:6">
      <c r="A170" s="82"/>
      <c r="B170" s="80"/>
      <c r="C170" s="15"/>
      <c r="D170" s="17"/>
      <c r="E170" s="84"/>
      <c r="F170" s="84"/>
    </row>
    <row r="171" spans="1:6">
      <c r="A171" s="82"/>
      <c r="B171" s="80"/>
      <c r="C171" s="15"/>
      <c r="D171" s="17"/>
      <c r="E171" s="84"/>
      <c r="F171" s="84"/>
    </row>
    <row r="172" spans="1:6">
      <c r="A172" s="82"/>
      <c r="B172" s="80"/>
      <c r="C172" s="15"/>
      <c r="D172" s="17"/>
      <c r="E172" s="84"/>
      <c r="F172" s="84"/>
    </row>
    <row r="173" spans="1:6">
      <c r="A173" s="82"/>
      <c r="B173" s="80"/>
      <c r="C173" s="15"/>
      <c r="D173" s="17"/>
      <c r="E173" s="84"/>
      <c r="F173" s="84"/>
    </row>
    <row r="174" spans="1:6">
      <c r="A174" s="82"/>
      <c r="B174" s="80"/>
      <c r="C174" s="15"/>
      <c r="D174" s="17"/>
      <c r="E174" s="84"/>
      <c r="F174" s="84"/>
    </row>
    <row r="175" spans="1:6">
      <c r="A175" s="82"/>
      <c r="B175" s="80"/>
      <c r="C175" s="15"/>
      <c r="D175" s="17"/>
      <c r="E175" s="84"/>
      <c r="F175" s="84"/>
    </row>
    <row r="176" spans="1:6">
      <c r="A176" s="82"/>
      <c r="B176" s="80"/>
      <c r="C176" s="15"/>
      <c r="D176" s="17"/>
      <c r="E176" s="84"/>
      <c r="F176" s="84"/>
    </row>
    <row r="177" spans="1:6">
      <c r="A177" s="82"/>
      <c r="B177" s="80"/>
      <c r="C177" s="15"/>
      <c r="D177" s="17"/>
      <c r="E177" s="84"/>
      <c r="F177" s="84"/>
    </row>
    <row r="178" spans="1:6">
      <c r="A178" s="82"/>
      <c r="B178" s="80"/>
      <c r="C178" s="15"/>
      <c r="D178" s="17"/>
      <c r="E178" s="84"/>
      <c r="F178" s="84"/>
    </row>
    <row r="179" spans="1:6">
      <c r="A179" s="82"/>
      <c r="B179" s="80"/>
      <c r="C179" s="15"/>
      <c r="D179" s="17"/>
      <c r="E179" s="84"/>
      <c r="F179" s="84"/>
    </row>
    <row r="180" spans="1:6">
      <c r="A180" s="82"/>
      <c r="B180" s="80"/>
      <c r="C180" s="15"/>
      <c r="D180" s="17"/>
      <c r="E180" s="84"/>
      <c r="F180" s="84"/>
    </row>
    <row r="181" spans="1:6">
      <c r="A181" s="82"/>
      <c r="B181" s="80"/>
      <c r="C181" s="15"/>
      <c r="D181" s="17"/>
      <c r="E181" s="84"/>
      <c r="F181" s="84"/>
    </row>
    <row r="182" spans="1:6">
      <c r="A182" s="82"/>
      <c r="B182" s="80"/>
      <c r="C182" s="15"/>
      <c r="D182" s="17"/>
      <c r="E182" s="84"/>
      <c r="F182" s="84"/>
    </row>
    <row r="183" spans="1:6">
      <c r="A183" s="82"/>
      <c r="B183" s="80"/>
      <c r="C183" s="15"/>
      <c r="D183" s="17"/>
      <c r="E183" s="84"/>
      <c r="F183" s="84"/>
    </row>
    <row r="184" spans="1:6">
      <c r="A184" s="82"/>
      <c r="B184" s="80"/>
      <c r="C184" s="15"/>
      <c r="D184" s="17"/>
      <c r="E184" s="84"/>
      <c r="F184" s="84"/>
    </row>
    <row r="185" spans="1:6">
      <c r="A185" s="82"/>
      <c r="B185" s="80"/>
      <c r="C185" s="15"/>
      <c r="D185" s="17"/>
      <c r="E185" s="84"/>
      <c r="F185" s="84"/>
    </row>
    <row r="186" spans="1:6">
      <c r="A186" s="82"/>
      <c r="B186" s="80"/>
      <c r="C186" s="15"/>
      <c r="D186" s="17"/>
      <c r="E186" s="84"/>
      <c r="F186" s="84"/>
    </row>
    <row r="187" spans="1:6">
      <c r="A187" s="82"/>
      <c r="B187" s="80"/>
      <c r="C187" s="15"/>
      <c r="D187" s="17"/>
      <c r="E187" s="84"/>
      <c r="F187" s="84"/>
    </row>
    <row r="188" spans="1:6">
      <c r="A188" s="82"/>
      <c r="B188" s="80"/>
      <c r="C188" s="15"/>
      <c r="D188" s="17"/>
      <c r="E188" s="84"/>
      <c r="F188" s="84"/>
    </row>
    <row r="189" spans="1:6">
      <c r="A189" s="82"/>
      <c r="B189" s="80"/>
      <c r="C189" s="15"/>
      <c r="D189" s="17"/>
      <c r="E189" s="84"/>
      <c r="F189" s="84"/>
    </row>
    <row r="190" spans="1:6">
      <c r="A190" s="82"/>
      <c r="B190" s="80"/>
      <c r="C190" s="15"/>
      <c r="D190" s="17"/>
      <c r="E190" s="84"/>
      <c r="F190" s="84"/>
    </row>
    <row r="191" spans="1:6">
      <c r="A191" s="82"/>
      <c r="B191" s="80"/>
      <c r="C191" s="15"/>
      <c r="D191" s="17"/>
      <c r="E191" s="84"/>
      <c r="F191" s="84"/>
    </row>
    <row r="192" spans="1:6">
      <c r="A192" s="82"/>
      <c r="B192" s="80"/>
      <c r="C192" s="15"/>
      <c r="D192" s="17"/>
      <c r="E192" s="84"/>
      <c r="F192" s="84"/>
    </row>
    <row r="193" spans="1:6">
      <c r="A193" s="82"/>
      <c r="B193" s="80"/>
      <c r="C193" s="15"/>
      <c r="D193" s="17"/>
      <c r="E193" s="84"/>
      <c r="F193" s="84"/>
    </row>
    <row r="194" spans="1:6">
      <c r="A194" s="82"/>
      <c r="B194" s="80"/>
      <c r="C194" s="15"/>
      <c r="D194" s="17"/>
      <c r="E194" s="84"/>
      <c r="F194" s="84"/>
    </row>
    <row r="195" spans="1:6">
      <c r="A195" s="82"/>
      <c r="B195" s="80"/>
      <c r="C195" s="15"/>
      <c r="D195" s="17"/>
      <c r="E195" s="84"/>
      <c r="F195" s="84"/>
    </row>
    <row r="196" spans="1:6">
      <c r="A196" s="82"/>
      <c r="B196" s="80"/>
      <c r="C196" s="15"/>
      <c r="D196" s="17"/>
      <c r="E196" s="84"/>
      <c r="F196" s="84"/>
    </row>
    <row r="197" spans="1:6">
      <c r="A197" s="82"/>
      <c r="B197" s="80"/>
      <c r="C197" s="15"/>
      <c r="D197" s="17"/>
      <c r="E197" s="84"/>
      <c r="F197" s="84"/>
    </row>
    <row r="198" spans="1:6">
      <c r="A198" s="82"/>
      <c r="B198" s="80"/>
      <c r="C198" s="15"/>
      <c r="D198" s="17"/>
      <c r="E198" s="84"/>
      <c r="F198" s="84"/>
    </row>
    <row r="199" spans="1:6">
      <c r="A199" s="82"/>
      <c r="B199" s="80"/>
      <c r="C199" s="15"/>
      <c r="D199" s="17"/>
      <c r="E199" s="84"/>
      <c r="F199" s="84"/>
    </row>
    <row r="200" spans="1:6">
      <c r="A200" s="82"/>
      <c r="B200" s="80"/>
      <c r="C200" s="15"/>
      <c r="D200" s="17"/>
      <c r="E200" s="84"/>
      <c r="F200" s="84"/>
    </row>
    <row r="201" spans="1:6">
      <c r="A201" s="82"/>
      <c r="B201" s="80"/>
      <c r="C201" s="15"/>
      <c r="D201" s="17"/>
      <c r="E201" s="84"/>
      <c r="F201" s="84"/>
    </row>
    <row r="202" spans="1:6">
      <c r="A202" s="82"/>
      <c r="B202" s="80"/>
      <c r="C202" s="15"/>
      <c r="D202" s="17"/>
      <c r="E202" s="84"/>
      <c r="F202" s="84"/>
    </row>
    <row r="203" spans="1:6">
      <c r="A203" s="82"/>
      <c r="B203" s="80"/>
      <c r="C203" s="15"/>
      <c r="D203" s="17"/>
      <c r="E203" s="84"/>
      <c r="F203" s="84"/>
    </row>
    <row r="204" spans="1:6">
      <c r="A204" s="82"/>
      <c r="B204" s="80"/>
      <c r="C204" s="15"/>
      <c r="D204" s="17"/>
      <c r="E204" s="84"/>
      <c r="F204" s="84"/>
    </row>
    <row r="205" spans="1:6">
      <c r="A205" s="82"/>
      <c r="B205" s="80"/>
      <c r="C205" s="15"/>
      <c r="D205" s="17"/>
      <c r="E205" s="84"/>
      <c r="F205" s="84"/>
    </row>
    <row r="206" spans="1:6">
      <c r="A206" s="82"/>
      <c r="B206" s="80"/>
      <c r="C206" s="15"/>
      <c r="D206" s="17"/>
      <c r="E206" s="84"/>
      <c r="F206" s="84"/>
    </row>
    <row r="207" spans="1:6">
      <c r="A207" s="82"/>
      <c r="B207" s="80"/>
      <c r="C207" s="15"/>
      <c r="D207" s="17"/>
      <c r="E207" s="84"/>
      <c r="F207" s="84"/>
    </row>
    <row r="208" spans="1:6">
      <c r="A208" s="82"/>
      <c r="B208" s="80"/>
      <c r="C208" s="15"/>
      <c r="D208" s="17"/>
      <c r="E208" s="84"/>
      <c r="F208" s="84"/>
    </row>
    <row r="209" spans="1:6">
      <c r="A209" s="82"/>
      <c r="B209" s="80"/>
      <c r="C209" s="15"/>
      <c r="D209" s="17"/>
      <c r="E209" s="84"/>
      <c r="F209" s="84"/>
    </row>
    <row r="210" spans="1:6">
      <c r="A210" s="82"/>
      <c r="B210" s="80"/>
      <c r="C210" s="15"/>
      <c r="D210" s="17"/>
      <c r="E210" s="84"/>
      <c r="F210" s="84"/>
    </row>
    <row r="211" spans="1:6">
      <c r="A211" s="82"/>
      <c r="B211" s="80"/>
      <c r="C211" s="15"/>
      <c r="D211" s="17"/>
      <c r="E211" s="84"/>
      <c r="F211" s="84"/>
    </row>
    <row r="212" spans="1:6">
      <c r="A212" s="82"/>
      <c r="B212" s="80"/>
      <c r="C212" s="15"/>
      <c r="D212" s="17"/>
      <c r="E212" s="84"/>
      <c r="F212" s="84"/>
    </row>
    <row r="213" spans="1:6">
      <c r="A213" s="82"/>
      <c r="B213" s="80"/>
      <c r="C213" s="15"/>
      <c r="D213" s="17"/>
      <c r="E213" s="84"/>
      <c r="F213" s="84"/>
    </row>
    <row r="214" spans="1:6">
      <c r="A214" s="82"/>
      <c r="B214" s="80"/>
      <c r="C214" s="15"/>
      <c r="D214" s="17"/>
      <c r="E214" s="84"/>
      <c r="F214" s="84"/>
    </row>
    <row r="215" spans="1:6">
      <c r="A215" s="82"/>
      <c r="B215" s="80"/>
      <c r="C215" s="15"/>
      <c r="D215" s="17"/>
      <c r="E215" s="84"/>
      <c r="F215" s="84"/>
    </row>
    <row r="216" spans="1:6">
      <c r="A216" s="82"/>
      <c r="B216" s="80"/>
      <c r="C216" s="15"/>
      <c r="D216" s="17"/>
      <c r="E216" s="84"/>
      <c r="F216" s="84"/>
    </row>
    <row r="217" spans="1:6">
      <c r="A217" s="82"/>
      <c r="B217" s="80"/>
      <c r="C217" s="15"/>
      <c r="D217" s="17"/>
      <c r="E217" s="84"/>
      <c r="F217" s="84"/>
    </row>
    <row r="218" spans="1:6">
      <c r="A218" s="82"/>
      <c r="B218" s="80"/>
      <c r="C218" s="15"/>
      <c r="D218" s="17"/>
      <c r="E218" s="84"/>
      <c r="F218" s="84"/>
    </row>
    <row r="219" spans="1:6">
      <c r="A219" s="82"/>
      <c r="B219" s="80"/>
      <c r="C219" s="15"/>
      <c r="D219" s="17"/>
      <c r="E219" s="84"/>
      <c r="F219" s="84"/>
    </row>
    <row r="220" spans="1:6">
      <c r="A220" s="82"/>
      <c r="B220" s="80"/>
      <c r="C220" s="15"/>
      <c r="D220" s="17"/>
      <c r="E220" s="84"/>
      <c r="F220" s="84"/>
    </row>
    <row r="221" spans="1:6">
      <c r="A221" s="82"/>
      <c r="B221" s="80"/>
      <c r="C221" s="15"/>
      <c r="D221" s="17"/>
      <c r="E221" s="84"/>
      <c r="F221" s="84"/>
    </row>
    <row r="222" spans="1:6">
      <c r="A222" s="82"/>
      <c r="B222" s="80"/>
      <c r="C222" s="15"/>
      <c r="D222" s="17"/>
      <c r="E222" s="84"/>
      <c r="F222" s="84"/>
    </row>
    <row r="223" spans="1:6">
      <c r="A223" s="82"/>
      <c r="B223" s="80"/>
      <c r="C223" s="15"/>
      <c r="D223" s="17"/>
      <c r="E223" s="84"/>
      <c r="F223" s="84"/>
    </row>
    <row r="224" spans="1:6">
      <c r="A224" s="82"/>
      <c r="B224" s="80"/>
      <c r="C224" s="15"/>
      <c r="D224" s="17"/>
      <c r="E224" s="84"/>
      <c r="F224" s="84"/>
    </row>
    <row r="225" spans="1:6">
      <c r="A225" s="82"/>
      <c r="B225" s="80"/>
      <c r="C225" s="15"/>
      <c r="D225" s="17"/>
      <c r="E225" s="84"/>
      <c r="F225" s="84"/>
    </row>
    <row r="226" spans="1:6">
      <c r="A226" s="82"/>
      <c r="B226" s="80"/>
      <c r="C226" s="15"/>
      <c r="D226" s="17"/>
      <c r="E226" s="84"/>
      <c r="F226" s="84"/>
    </row>
    <row r="227" spans="1:6">
      <c r="A227" s="82"/>
      <c r="B227" s="80"/>
      <c r="C227" s="15"/>
      <c r="D227" s="17"/>
      <c r="E227" s="84"/>
      <c r="F227" s="84"/>
    </row>
    <row r="228" spans="1:6">
      <c r="A228" s="82"/>
      <c r="B228" s="80"/>
      <c r="C228" s="15"/>
      <c r="D228" s="17"/>
      <c r="E228" s="84"/>
      <c r="F228" s="84"/>
    </row>
    <row r="229" spans="1:6">
      <c r="A229" s="82"/>
      <c r="B229" s="80"/>
      <c r="C229" s="15"/>
      <c r="D229" s="17"/>
      <c r="E229" s="84"/>
      <c r="F229" s="84"/>
    </row>
    <row r="230" spans="1:6">
      <c r="A230" s="82"/>
      <c r="B230" s="80"/>
      <c r="C230" s="15"/>
      <c r="D230" s="17"/>
      <c r="E230" s="84"/>
      <c r="F230" s="84"/>
    </row>
    <row r="231" spans="1:6">
      <c r="A231" s="82"/>
      <c r="B231" s="80"/>
      <c r="C231" s="15"/>
      <c r="D231" s="17"/>
      <c r="E231" s="84"/>
      <c r="F231" s="84"/>
    </row>
    <row r="232" spans="1:6">
      <c r="A232" s="82"/>
      <c r="B232" s="80"/>
      <c r="C232" s="15"/>
      <c r="D232" s="17"/>
      <c r="E232" s="84"/>
      <c r="F232" s="84"/>
    </row>
    <row r="233" spans="1:6">
      <c r="A233" s="82"/>
      <c r="B233" s="80"/>
      <c r="C233" s="15"/>
      <c r="D233" s="17"/>
      <c r="E233" s="84"/>
      <c r="F233" s="84"/>
    </row>
    <row r="234" spans="1:6">
      <c r="A234" s="82"/>
      <c r="B234" s="80"/>
      <c r="C234" s="15"/>
      <c r="D234" s="17"/>
      <c r="E234" s="84"/>
      <c r="F234" s="84"/>
    </row>
    <row r="235" spans="1:6">
      <c r="A235" s="82"/>
      <c r="B235" s="80"/>
      <c r="C235" s="15"/>
      <c r="D235" s="17"/>
      <c r="E235" s="84"/>
      <c r="F235" s="84"/>
    </row>
    <row r="236" spans="1:6">
      <c r="A236" s="82"/>
      <c r="B236" s="80"/>
      <c r="C236" s="15"/>
      <c r="D236" s="17"/>
      <c r="E236" s="84"/>
      <c r="F236" s="84"/>
    </row>
    <row r="237" spans="1:6">
      <c r="A237" s="82"/>
      <c r="B237" s="80"/>
      <c r="C237" s="15"/>
      <c r="D237" s="17"/>
      <c r="E237" s="84"/>
      <c r="F237" s="84"/>
    </row>
    <row r="238" spans="1:6">
      <c r="A238" s="82"/>
      <c r="B238" s="80"/>
      <c r="C238" s="15"/>
      <c r="D238" s="17"/>
      <c r="E238" s="84"/>
      <c r="F238" s="84"/>
    </row>
    <row r="239" spans="1:6">
      <c r="A239" s="82"/>
      <c r="B239" s="80"/>
      <c r="C239" s="15"/>
      <c r="D239" s="17"/>
      <c r="E239" s="84"/>
      <c r="F239" s="84"/>
    </row>
    <row r="240" spans="1:6">
      <c r="A240" s="82"/>
      <c r="B240" s="80"/>
      <c r="C240" s="15"/>
      <c r="D240" s="17"/>
      <c r="E240" s="84"/>
      <c r="F240" s="84"/>
    </row>
    <row r="241" spans="1:6">
      <c r="A241" s="82"/>
      <c r="B241" s="80"/>
      <c r="C241" s="15"/>
      <c r="D241" s="17"/>
      <c r="E241" s="84"/>
      <c r="F241" s="84"/>
    </row>
    <row r="242" spans="1:6">
      <c r="A242" s="82"/>
      <c r="B242" s="80"/>
      <c r="C242" s="15"/>
      <c r="D242" s="17"/>
      <c r="E242" s="84"/>
      <c r="F242" s="84"/>
    </row>
    <row r="243" spans="1:6">
      <c r="A243" s="82"/>
      <c r="B243" s="80"/>
      <c r="C243" s="15"/>
      <c r="D243" s="17"/>
      <c r="E243" s="84"/>
      <c r="F243" s="84"/>
    </row>
    <row r="244" spans="1:6">
      <c r="A244" s="82"/>
      <c r="B244" s="80"/>
      <c r="C244" s="15"/>
      <c r="D244" s="17"/>
      <c r="E244" s="84"/>
      <c r="F244" s="84"/>
    </row>
    <row r="245" spans="1:6">
      <c r="A245" s="82"/>
      <c r="B245" s="80"/>
      <c r="C245" s="15"/>
      <c r="D245" s="17"/>
      <c r="E245" s="84"/>
      <c r="F245" s="84"/>
    </row>
    <row r="246" spans="1:6">
      <c r="A246" s="82"/>
      <c r="B246" s="80"/>
      <c r="C246" s="15"/>
      <c r="D246" s="17"/>
      <c r="E246" s="84"/>
      <c r="F246" s="84"/>
    </row>
    <row r="247" spans="1:6">
      <c r="A247" s="82"/>
      <c r="B247" s="80"/>
      <c r="C247" s="15"/>
      <c r="D247" s="17"/>
      <c r="E247" s="84"/>
      <c r="F247" s="84"/>
    </row>
    <row r="248" spans="1:6">
      <c r="A248" s="82"/>
      <c r="B248" s="80"/>
      <c r="C248" s="15"/>
      <c r="D248" s="17"/>
      <c r="E248" s="84"/>
      <c r="F248" s="84"/>
    </row>
    <row r="249" spans="1:6">
      <c r="A249" s="82"/>
      <c r="B249" s="80"/>
      <c r="C249" s="15"/>
      <c r="D249" s="17"/>
      <c r="E249" s="84"/>
      <c r="F249" s="84"/>
    </row>
    <row r="250" spans="1:6">
      <c r="A250" s="82"/>
      <c r="B250" s="80"/>
      <c r="C250" s="15"/>
      <c r="D250" s="17"/>
      <c r="E250" s="84"/>
      <c r="F250" s="84"/>
    </row>
    <row r="251" spans="1:6">
      <c r="A251" s="82"/>
      <c r="B251" s="80"/>
      <c r="C251" s="15"/>
      <c r="D251" s="17"/>
      <c r="E251" s="84"/>
      <c r="F251" s="84"/>
    </row>
    <row r="252" spans="1:6">
      <c r="A252" s="82"/>
      <c r="B252" s="80"/>
      <c r="C252" s="15"/>
      <c r="D252" s="17"/>
      <c r="E252" s="84"/>
      <c r="F252" s="84"/>
    </row>
    <row r="253" spans="1:6">
      <c r="A253" s="82"/>
      <c r="B253" s="80"/>
      <c r="C253" s="15"/>
      <c r="D253" s="17"/>
      <c r="E253" s="84"/>
      <c r="F253" s="84"/>
    </row>
    <row r="254" spans="1:6">
      <c r="A254" s="82"/>
      <c r="B254" s="80"/>
      <c r="C254" s="15"/>
      <c r="D254" s="17"/>
      <c r="E254" s="84"/>
      <c r="F254" s="84"/>
    </row>
    <row r="255" spans="1:6">
      <c r="A255" s="82"/>
      <c r="B255" s="80"/>
      <c r="C255" s="15"/>
      <c r="D255" s="17"/>
      <c r="E255" s="84"/>
      <c r="F255" s="84"/>
    </row>
    <row r="256" spans="1:6">
      <c r="A256" s="82"/>
      <c r="B256" s="80"/>
      <c r="C256" s="15"/>
      <c r="D256" s="17"/>
      <c r="E256" s="84"/>
      <c r="F256" s="84"/>
    </row>
    <row r="257" spans="1:6">
      <c r="A257" s="82"/>
      <c r="B257" s="80"/>
      <c r="C257" s="15"/>
      <c r="D257" s="17"/>
      <c r="E257" s="84"/>
      <c r="F257" s="84"/>
    </row>
    <row r="258" spans="1:6">
      <c r="A258" s="82"/>
      <c r="B258" s="80"/>
      <c r="C258" s="15"/>
      <c r="D258" s="17"/>
      <c r="E258" s="84"/>
      <c r="F258" s="84"/>
    </row>
    <row r="259" spans="1:6">
      <c r="A259" s="82"/>
      <c r="B259" s="80"/>
      <c r="C259" s="15"/>
      <c r="D259" s="17"/>
      <c r="E259" s="84"/>
      <c r="F259" s="84"/>
    </row>
    <row r="260" spans="1:6">
      <c r="A260" s="82"/>
      <c r="B260" s="80"/>
      <c r="C260" s="15"/>
      <c r="D260" s="17"/>
      <c r="E260" s="84"/>
      <c r="F260" s="84"/>
    </row>
    <row r="261" spans="1:6">
      <c r="A261" s="82"/>
      <c r="B261" s="80"/>
      <c r="C261" s="15"/>
      <c r="D261" s="17"/>
      <c r="E261" s="84"/>
      <c r="F261" s="84"/>
    </row>
    <row r="262" spans="1:6">
      <c r="A262" s="82"/>
      <c r="B262" s="80"/>
      <c r="C262" s="15"/>
      <c r="D262" s="17"/>
      <c r="E262" s="84"/>
      <c r="F262" s="84"/>
    </row>
    <row r="263" spans="1:6">
      <c r="A263" s="82"/>
      <c r="B263" s="80"/>
      <c r="C263" s="15"/>
      <c r="D263" s="17"/>
      <c r="E263" s="84"/>
      <c r="F263" s="84"/>
    </row>
    <row r="264" spans="1:6">
      <c r="A264" s="82"/>
      <c r="B264" s="80"/>
      <c r="C264" s="15"/>
      <c r="D264" s="17"/>
      <c r="E264" s="84"/>
      <c r="F264" s="84"/>
    </row>
    <row r="265" spans="1:6">
      <c r="A265" s="82"/>
      <c r="B265" s="80"/>
      <c r="C265" s="15"/>
      <c r="D265" s="17"/>
      <c r="E265" s="84"/>
      <c r="F265" s="84"/>
    </row>
    <row r="266" spans="1:6">
      <c r="A266" s="82"/>
      <c r="B266" s="80"/>
      <c r="C266" s="15"/>
      <c r="D266" s="17"/>
      <c r="E266" s="84"/>
      <c r="F266" s="84"/>
    </row>
    <row r="267" spans="1:6">
      <c r="A267" s="82"/>
      <c r="B267" s="80"/>
      <c r="C267" s="15"/>
      <c r="D267" s="17"/>
      <c r="E267" s="84"/>
      <c r="F267" s="84"/>
    </row>
    <row r="268" spans="1:6">
      <c r="A268" s="82"/>
      <c r="B268" s="80"/>
      <c r="C268" s="15"/>
      <c r="D268" s="17"/>
      <c r="E268" s="84"/>
      <c r="F268" s="84"/>
    </row>
    <row r="269" spans="1:6">
      <c r="A269" s="82"/>
      <c r="B269" s="80"/>
      <c r="C269" s="15"/>
      <c r="D269" s="17"/>
      <c r="E269" s="84"/>
      <c r="F269" s="84"/>
    </row>
    <row r="270" spans="1:6">
      <c r="A270" s="82"/>
      <c r="B270" s="80"/>
      <c r="C270" s="15"/>
      <c r="D270" s="17"/>
      <c r="E270" s="84"/>
      <c r="F270" s="84"/>
    </row>
    <row r="271" spans="1:6">
      <c r="A271" s="82"/>
      <c r="B271" s="80"/>
      <c r="C271" s="15"/>
      <c r="D271" s="17"/>
      <c r="E271" s="84"/>
      <c r="F271" s="84"/>
    </row>
    <row r="272" spans="1:6">
      <c r="A272" s="82"/>
      <c r="B272" s="80"/>
      <c r="C272" s="15"/>
      <c r="D272" s="17"/>
      <c r="E272" s="84"/>
      <c r="F272" s="84"/>
    </row>
    <row r="273" spans="1:6">
      <c r="A273" s="82"/>
      <c r="B273" s="80"/>
      <c r="C273" s="15"/>
      <c r="D273" s="17"/>
      <c r="E273" s="84"/>
      <c r="F273" s="84"/>
    </row>
    <row r="274" spans="1:6">
      <c r="A274" s="82"/>
      <c r="B274" s="80"/>
      <c r="C274" s="15"/>
      <c r="D274" s="17"/>
      <c r="E274" s="84"/>
      <c r="F274" s="84"/>
    </row>
    <row r="275" spans="1:6">
      <c r="A275" s="82"/>
      <c r="B275" s="80"/>
      <c r="C275" s="15"/>
      <c r="D275" s="17"/>
      <c r="E275" s="84"/>
      <c r="F275" s="84"/>
    </row>
    <row r="276" spans="1:6">
      <c r="A276" s="82"/>
      <c r="B276" s="80"/>
      <c r="C276" s="15"/>
      <c r="D276" s="17"/>
      <c r="E276" s="84"/>
      <c r="F276" s="84"/>
    </row>
    <row r="277" spans="1:6">
      <c r="A277" s="82"/>
      <c r="B277" s="80"/>
      <c r="C277" s="15"/>
      <c r="D277" s="17"/>
      <c r="E277" s="84"/>
      <c r="F277" s="84"/>
    </row>
    <row r="278" spans="1:6">
      <c r="A278" s="82"/>
      <c r="B278" s="80"/>
      <c r="C278" s="15"/>
      <c r="D278" s="17"/>
      <c r="E278" s="84"/>
      <c r="F278" s="84"/>
    </row>
    <row r="279" spans="1:6">
      <c r="A279" s="82"/>
      <c r="B279" s="80"/>
      <c r="C279" s="15"/>
      <c r="D279" s="17"/>
      <c r="E279" s="84"/>
      <c r="F279" s="84"/>
    </row>
    <row r="280" spans="1:6">
      <c r="A280" s="82"/>
      <c r="B280" s="80"/>
      <c r="C280" s="15"/>
      <c r="D280" s="17"/>
      <c r="E280" s="84"/>
      <c r="F280" s="84"/>
    </row>
    <row r="281" spans="1:6">
      <c r="A281" s="82"/>
      <c r="B281" s="80"/>
      <c r="C281" s="15"/>
      <c r="D281" s="17"/>
      <c r="E281" s="84"/>
      <c r="F281" s="84"/>
    </row>
    <row r="282" spans="1:6">
      <c r="A282" s="82"/>
      <c r="B282" s="80"/>
      <c r="C282" s="15"/>
      <c r="D282" s="17"/>
      <c r="E282" s="84"/>
      <c r="F282" s="84"/>
    </row>
    <row r="283" spans="1:6">
      <c r="A283" s="82"/>
      <c r="B283" s="80"/>
      <c r="C283" s="15"/>
      <c r="D283" s="17"/>
      <c r="E283" s="84"/>
      <c r="F283" s="84"/>
    </row>
    <row r="284" spans="1:6">
      <c r="A284" s="82"/>
      <c r="B284" s="80"/>
      <c r="C284" s="15"/>
      <c r="D284" s="17"/>
      <c r="E284" s="84"/>
      <c r="F284" s="84"/>
    </row>
    <row r="285" spans="1:6">
      <c r="A285" s="82"/>
      <c r="B285" s="80"/>
      <c r="C285" s="15"/>
      <c r="D285" s="17"/>
      <c r="E285" s="84"/>
      <c r="F285" s="84"/>
    </row>
    <row r="286" spans="1:6">
      <c r="A286" s="82"/>
      <c r="B286" s="80"/>
      <c r="C286" s="15"/>
      <c r="D286" s="17"/>
      <c r="E286" s="84"/>
      <c r="F286" s="84"/>
    </row>
    <row r="287" spans="1:6">
      <c r="A287" s="82"/>
      <c r="B287" s="80"/>
      <c r="C287" s="15"/>
      <c r="D287" s="17"/>
      <c r="E287" s="84"/>
      <c r="F287" s="84"/>
    </row>
    <row r="288" spans="1:6">
      <c r="A288" s="82"/>
      <c r="B288" s="80"/>
      <c r="C288" s="15"/>
      <c r="D288" s="17"/>
      <c r="E288" s="84"/>
      <c r="F288" s="84"/>
    </row>
    <row r="289" spans="1:6">
      <c r="A289" s="82"/>
      <c r="B289" s="80"/>
      <c r="C289" s="15"/>
      <c r="D289" s="17"/>
      <c r="E289" s="84"/>
      <c r="F289" s="84"/>
    </row>
    <row r="290" spans="1:6">
      <c r="A290" s="82"/>
      <c r="B290" s="80"/>
      <c r="C290" s="15"/>
      <c r="D290" s="17"/>
      <c r="E290" s="84"/>
      <c r="F290" s="84"/>
    </row>
    <row r="291" spans="1:6">
      <c r="A291" s="82"/>
      <c r="B291" s="80"/>
      <c r="C291" s="15"/>
      <c r="D291" s="17"/>
      <c r="E291" s="84"/>
      <c r="F291" s="84"/>
    </row>
    <row r="292" spans="1:6">
      <c r="A292" s="82"/>
      <c r="B292" s="80"/>
      <c r="C292" s="15"/>
      <c r="D292" s="17"/>
      <c r="E292" s="84"/>
      <c r="F292" s="84"/>
    </row>
    <row r="293" spans="1:6">
      <c r="A293" s="82"/>
      <c r="B293" s="80"/>
      <c r="C293" s="15"/>
      <c r="D293" s="17"/>
      <c r="E293" s="84"/>
      <c r="F293" s="84"/>
    </row>
    <row r="294" spans="1:6">
      <c r="A294" s="82"/>
      <c r="B294" s="80"/>
      <c r="C294" s="15"/>
      <c r="D294" s="17"/>
      <c r="E294" s="84"/>
      <c r="F294" s="84"/>
    </row>
    <row r="295" spans="1:6">
      <c r="A295" s="82"/>
      <c r="B295" s="80"/>
      <c r="C295" s="15"/>
      <c r="D295" s="17"/>
      <c r="E295" s="84"/>
      <c r="F295" s="84"/>
    </row>
    <row r="296" spans="1:6">
      <c r="A296" s="82"/>
      <c r="B296" s="80"/>
      <c r="C296" s="15"/>
      <c r="D296" s="17"/>
      <c r="E296" s="84"/>
      <c r="F296" s="84"/>
    </row>
    <row r="297" spans="1:6">
      <c r="A297" s="82"/>
      <c r="B297" s="80"/>
      <c r="C297" s="15"/>
      <c r="D297" s="17"/>
      <c r="E297" s="84"/>
      <c r="F297" s="84"/>
    </row>
    <row r="298" spans="1:6">
      <c r="A298" s="82"/>
      <c r="B298" s="80"/>
      <c r="C298" s="15"/>
      <c r="D298" s="17"/>
      <c r="E298" s="84"/>
      <c r="F298" s="84"/>
    </row>
    <row r="299" spans="1:6">
      <c r="A299" s="82"/>
      <c r="B299" s="80"/>
      <c r="C299" s="70"/>
      <c r="D299" s="80"/>
      <c r="E299" s="85"/>
      <c r="F299" s="85"/>
    </row>
  </sheetData>
  <protectedRanges>
    <protectedRange sqref="C495" name="Intervalo1_39_2"/>
    <protectedRange sqref="A1993:B1993" name="Intervalo1_6_2"/>
    <protectedRange sqref="A2010:B2010" name="Intervalo1_7_2"/>
    <protectedRange sqref="A1954:B1954" name="Intervalo1_12_1"/>
    <protectedRange sqref="A2098:B2099" name="Intervalo1_17_2"/>
    <protectedRange sqref="A2100:B2102" name="Intervalo1_18_2"/>
    <protectedRange sqref="A1979:B1979" name="Intervalo1_25_2"/>
    <protectedRange sqref="A1980:B1980" name="Intervalo1_26_2"/>
    <protectedRange sqref="A2135:B2135" name="Intervalo1_23_2"/>
    <protectedRange sqref="A2136:B2136" name="Intervalo1_24_2"/>
    <protectedRange sqref="A2137:B2137" name="Intervalo1_28_2"/>
    <protectedRange sqref="A2152:B2152" name="Intervalo1_27_2"/>
    <protectedRange sqref="A2089:B2089" name="Intervalo1_29_2"/>
    <protectedRange sqref="C2832 A1971:B1971" name="Intervalo1"/>
    <protectedRange sqref="A1972:B1972" name="Intervalo1_1"/>
    <protectedRange sqref="A1973:B1973" name="Intervalo1_2"/>
    <protectedRange sqref="A1974:B1974" name="Intervalo1_3"/>
    <protectedRange sqref="A1975:B1975" name="Intervalo1_4"/>
    <protectedRange sqref="A2175:B2175" name="Intervalo1_1_2"/>
    <protectedRange sqref="A2202:B2202" name="Intervalo1_2_2"/>
    <protectedRange sqref="A2204:B2204" name="Intervalo1_2_3"/>
    <protectedRange sqref="A603:B603" name="Intervalo1_5"/>
    <protectedRange sqref="A604:B604" name="Intervalo1_6"/>
    <protectedRange sqref="A605:B605" name="Intervalo1_7"/>
    <protectedRange sqref="A606:B606" name="Intervalo1_8"/>
    <protectedRange sqref="A2252:B2252" name="Intervalo1_9"/>
    <protectedRange sqref="C547:C548 C552" name="Intervalo1_10"/>
    <protectedRange sqref="A2258:B2258" name="Intervalo1_11"/>
    <protectedRange sqref="C2258" name="Intervalo1_12"/>
    <protectedRange sqref="A412:B413 A2240:B2240" name="Intervalo1_15"/>
    <protectedRange sqref="C2280" name="Intervalo1_13"/>
    <protectedRange sqref="A2284:B2284" name="Intervalo1_14"/>
    <protectedRange sqref="A2285:B2285" name="Intervalo1_16"/>
    <protectedRange sqref="A2286:B2286" name="Intervalo1_17"/>
    <protectedRange sqref="A2287:B2287" name="Intervalo1_18"/>
    <protectedRange sqref="A2292:B2292 A2772:B2772" name="Intervalo1_19"/>
    <protectedRange sqref="C2281" name="Intervalo1_20"/>
    <protectedRange sqref="A2293:B2293" name="Intervalo1_21"/>
    <protectedRange sqref="A2306:B2307" name="Intervalo1_22"/>
    <protectedRange sqref="A2309:B2309" name="Intervalo1_23"/>
    <protectedRange sqref="A2315:B2316 A2327:B2331" name="Intervalo1_24"/>
    <protectedRange sqref="A2317:B2317" name="Intervalo1_25"/>
    <protectedRange sqref="A2318:B2318 A2332:B2333" name="Intervalo1_26"/>
    <protectedRange sqref="A2319:B2319" name="Intervalo1_27"/>
    <protectedRange sqref="A2320:B2320" name="Intervalo1_28"/>
    <protectedRange sqref="A2344:B2346" name="Intervalo1_31"/>
    <protectedRange sqref="A2347:B2347" name="Intervalo1_32"/>
    <protectedRange sqref="A2348:B2348" name="Intervalo1_33"/>
    <protectedRange sqref="A2354:B2354" name="Intervalo1_34"/>
    <protectedRange sqref="A2355:B2355" name="Intervalo1_35"/>
    <protectedRange sqref="A805:B805" name="Intervalo1_36"/>
    <protectedRange sqref="A806:B806" name="Intervalo1_37"/>
    <protectedRange sqref="A2383:B2383" name="Intervalo1_38"/>
    <protectedRange sqref="A2396:B2401" name="Intervalo1_39"/>
    <protectedRange sqref="C2398" name="Intervalo1_40"/>
    <protectedRange sqref="A2374:B2377" name="Intervalo1_44"/>
    <protectedRange sqref="A2420:B2420" name="Intervalo1_46"/>
    <protectedRange sqref="C2423" name="Intervalo1_47"/>
    <protectedRange sqref="A2436:B2436" name="Intervalo1_49"/>
    <protectedRange sqref="A2457:B2457" name="Intervalo1_50"/>
    <protectedRange sqref="A2458:B2462" name="Intervalo1_51"/>
    <protectedRange sqref="C1884" name="Intervalo1_52"/>
    <protectedRange sqref="A2474:B2474" name="Intervalo1_53"/>
    <protectedRange sqref="A2475:B2475" name="Intervalo1_54"/>
    <protectedRange sqref="A2476:B2476" name="Intervalo1_55"/>
    <protectedRange sqref="A2480:B2480" name="Intervalo1_56"/>
    <protectedRange sqref="A2481:B2481" name="Intervalo1_57"/>
    <protectedRange sqref="C549:C551" name="Intervalo1_58"/>
    <protectedRange sqref="A427:B427" name="Intervalo1_59"/>
    <protectedRange sqref="A428:B428" name="Intervalo1_60"/>
    <protectedRange sqref="A2501:B2501" name="Intervalo1_61"/>
    <protectedRange sqref="A2505:B2505" name="Intervalo1_62"/>
    <protectedRange sqref="C2508" name="Intervalo1_63"/>
    <protectedRange sqref="A2518:B2522" name="Intervalo1_64"/>
    <protectedRange sqref="A2523:B2524" name="Intervalo1_65"/>
    <protectedRange sqref="A2539:B2539" name="Intervalo1_69"/>
    <protectedRange sqref="A2541:B2541" name="Intervalo1_67"/>
    <protectedRange sqref="A2542:B2542" name="Intervalo1_68"/>
    <protectedRange sqref="A2543:B2543" name="Intervalo1_70"/>
    <protectedRange sqref="C2563" name="Intervalo1_71"/>
    <protectedRange sqref="A2564:B2568" name="Intervalo1_72"/>
    <protectedRange sqref="A1801:B1801" name="Intervalo1_78"/>
    <protectedRange sqref="A2592:B2595" name="Intervalo1_73"/>
    <protectedRange sqref="A2596:B2596" name="Intervalo1_74"/>
    <protectedRange sqref="A2606:B2606" name="Intervalo1_77"/>
    <protectedRange sqref="A2607:B2607 A2609:B2609" name="Intervalo1_79"/>
    <protectedRange sqref="A2585:B2585" name="Intervalo1_80"/>
    <protectedRange sqref="A2586:B2586" name="Intervalo1_81"/>
    <protectedRange sqref="A2611:B2611" name="Intervalo1_76"/>
    <protectedRange sqref="A2624:B2624" name="Intervalo1_29"/>
    <protectedRange sqref="A2625:B2625" name="Intervalo1_75"/>
    <protectedRange sqref="A2626:B2626" name="Intervalo1_82"/>
    <protectedRange sqref="A2629:B2632" name="Intervalo1_3_2"/>
    <protectedRange sqref="A2660:B2660" name="Intervalo1_84"/>
    <protectedRange sqref="A2661:B2662" name="Intervalo1_85"/>
    <protectedRange sqref="C2664:C2669" name="Intervalo1_2_4"/>
    <protectedRange sqref="A2670:B2670" name="Intervalo1_83"/>
    <protectedRange sqref="A2674:B2674" name="Intervalo1_1_1"/>
    <protectedRange sqref="A2681:B2681" name="Intervalo1_86"/>
    <protectedRange sqref="A2682:B2683" name="Intervalo1_87"/>
    <protectedRange sqref="A2690:B2691" name="Intervalo1_1_3"/>
    <protectedRange sqref="A2692:B2693" name="Intervalo1_1_4"/>
    <protectedRange sqref="A2726:B2726" name="Intervalo1_1_5"/>
    <protectedRange sqref="A2737:B2738" name="Intervalo1_30"/>
    <protectedRange sqref="A2744:B2744" name="Intervalo1_1_6"/>
    <protectedRange sqref="A2745:B2745" name="Intervalo1_1_7"/>
    <protectedRange sqref="A2746:B2746" name="Intervalo1_1_8"/>
    <protectedRange sqref="A2751:B2751" name="Intervalo1_1_9"/>
    <protectedRange sqref="A2757:B2757" name="Intervalo1_88"/>
    <protectedRange sqref="A2758:B2759" name="Intervalo1_89"/>
    <protectedRange sqref="A2760:B2761" name="Intervalo1_90"/>
    <protectedRange sqref="A2762:B2762" name="Intervalo1_91"/>
    <protectedRange sqref="A2767:B2767" name="Intervalo1_93"/>
    <protectedRange sqref="A2778:B2778" name="Intervalo1_2_1"/>
    <protectedRange sqref="A2779:B2780" name="Intervalo1_2_6"/>
    <protectedRange sqref="A2791:B2791 A2799:B2799" name="Intervalo1_92"/>
    <protectedRange sqref="A2792:B2793" name="Intervalo1_94"/>
    <protectedRange sqref="C2798" name="Intervalo1_95"/>
    <protectedRange sqref="A2800:B2800" name="Intervalo1_2_7"/>
    <protectedRange sqref="A2811:B2811" name="Intervalo1_96"/>
    <protectedRange sqref="A2830:B2830" name="Intervalo1_98"/>
    <protectedRange sqref="A2831:B2831" name="Intervalo1_99"/>
    <protectedRange sqref="A1:F1" name="Intervalo1_3_4"/>
  </protectedRanges>
  <mergeCells count="1">
    <mergeCell ref="H3:K9"/>
  </mergeCells>
  <phoneticPr fontId="8" type="noConversion"/>
  <dataValidations disablePrompts="1" count="1">
    <dataValidation type="list" allowBlank="1" sqref="A2:A299" xr:uid="{6975EC1B-28FD-4FC9-BBB6-70B6CF80527B}">
      <formula1>$JDM$1:$JDM$25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44E08-5292-4221-A1BA-05678AE3C2AF}">
  <sheetPr codeName="Planilha118">
    <tabColor theme="4" tint="0.59999389629810485"/>
  </sheetPr>
  <dimension ref="A1:U69"/>
  <sheetViews>
    <sheetView showGridLines="0" zoomScaleNormal="100" workbookViewId="0">
      <selection activeCell="G1" sqref="G1"/>
    </sheetView>
  </sheetViews>
  <sheetFormatPr defaultColWidth="9.140625" defaultRowHeight="15"/>
  <cols>
    <col min="1" max="1" width="13.140625" style="22" customWidth="1"/>
    <col min="2" max="2" width="30.28515625" style="22" bestFit="1" customWidth="1"/>
    <col min="3" max="3" width="58.28515625" style="21" customWidth="1"/>
    <col min="4" max="4" width="16.42578125" style="22" customWidth="1"/>
    <col min="5" max="5" width="13.28515625" style="23" bestFit="1" customWidth="1"/>
    <col min="6" max="6" width="16.85546875" style="23" bestFit="1" customWidth="1"/>
    <col min="7" max="7" width="49.5703125" style="21" customWidth="1"/>
    <col min="8" max="8" width="29" style="7" customWidth="1"/>
    <col min="9" max="9" width="0.7109375" style="6" customWidth="1"/>
    <col min="10" max="10" width="16.85546875" style="7" hidden="1" customWidth="1"/>
    <col min="11" max="11" width="16.85546875" style="7" customWidth="1"/>
    <col min="12" max="12" width="2.28515625" style="6" customWidth="1"/>
    <col min="13" max="14" width="22.42578125" style="59" customWidth="1"/>
    <col min="15" max="15" width="30.85546875" style="59" customWidth="1"/>
    <col min="16" max="16" width="12.28515625" style="59" bestFit="1" customWidth="1"/>
    <col min="17" max="17" width="14" style="59" bestFit="1" customWidth="1"/>
    <col min="18" max="18" width="11.5703125" style="59" customWidth="1"/>
    <col min="19" max="19" width="2.7109375" style="6" customWidth="1"/>
    <col min="20" max="20" width="10.7109375" style="4" bestFit="1" customWidth="1"/>
    <col min="21" max="21" width="84.42578125" style="6" customWidth="1"/>
    <col min="22" max="16384" width="9.140625" style="6"/>
  </cols>
  <sheetData>
    <row r="1" spans="1:21" ht="38.25" customHeight="1" thickBot="1">
      <c r="A1" s="86" t="s">
        <v>1628</v>
      </c>
      <c r="B1" s="87"/>
      <c r="C1" s="87"/>
      <c r="D1" s="87"/>
      <c r="E1" s="87"/>
      <c r="F1" s="88"/>
      <c r="G1" s="87"/>
      <c r="H1" s="88"/>
      <c r="I1"/>
      <c r="J1" s="139" t="s">
        <v>3408</v>
      </c>
      <c r="K1" s="141" t="s">
        <v>2004</v>
      </c>
      <c r="L1" s="67" t="s">
        <v>147</v>
      </c>
      <c r="M1" s="143" t="s">
        <v>2005</v>
      </c>
      <c r="N1" s="144"/>
      <c r="O1" s="144"/>
      <c r="P1" s="144"/>
      <c r="Q1" s="144"/>
      <c r="R1" s="145"/>
      <c r="S1" s="60" t="s">
        <v>147</v>
      </c>
      <c r="T1" s="146" t="s">
        <v>885</v>
      </c>
      <c r="U1" s="147"/>
    </row>
    <row r="2" spans="1:21" ht="45.75" thickBot="1">
      <c r="A2" s="32" t="s">
        <v>149</v>
      </c>
      <c r="B2" s="32" t="s">
        <v>150</v>
      </c>
      <c r="C2" s="33" t="s">
        <v>151</v>
      </c>
      <c r="D2" s="32" t="s">
        <v>0</v>
      </c>
      <c r="E2" s="35" t="s">
        <v>1</v>
      </c>
      <c r="F2" s="96" t="s">
        <v>2</v>
      </c>
      <c r="G2" s="32" t="s">
        <v>152</v>
      </c>
      <c r="H2" s="34" t="s">
        <v>79</v>
      </c>
      <c r="I2"/>
      <c r="J2" s="140"/>
      <c r="K2" s="142"/>
      <c r="L2"/>
      <c r="M2" s="35" t="s">
        <v>2975</v>
      </c>
      <c r="N2" s="53" t="s">
        <v>2974</v>
      </c>
      <c r="O2" s="35" t="s">
        <v>153</v>
      </c>
      <c r="P2" s="35" t="s">
        <v>2973</v>
      </c>
      <c r="Q2" s="54" t="s">
        <v>154</v>
      </c>
      <c r="R2" s="54" t="s">
        <v>155</v>
      </c>
      <c r="T2" s="57">
        <v>1</v>
      </c>
      <c r="U2" s="56" t="s">
        <v>2976</v>
      </c>
    </row>
    <row r="3" spans="1:21" ht="15" customHeight="1">
      <c r="A3" s="109"/>
      <c r="B3" s="50"/>
      <c r="C3" s="52"/>
      <c r="D3" s="49"/>
      <c r="E3" s="50"/>
      <c r="F3" s="97"/>
      <c r="G3" s="100" t="e">
        <f>VLOOKUP(C3,'Cód Barras'!$A:$D,3,0)</f>
        <v>#N/A</v>
      </c>
      <c r="H3" s="101" t="e">
        <f>VLOOKUP(C3,'Cód Barras'!$A:$D,4,0)</f>
        <v>#N/A</v>
      </c>
      <c r="I3"/>
      <c r="J3" s="68" t="e">
        <f>IF(ISTEXT(H3), "", IF(LEN(TEXT(H3,"0"))&lt;6, "Código Unificado", "EAN"))</f>
        <v>#N/A</v>
      </c>
      <c r="K3" s="68">
        <f>COUNTIF('Base - Cód Barras'!A:A,C3)</f>
        <v>0</v>
      </c>
      <c r="L3"/>
      <c r="M3" s="61"/>
      <c r="N3" s="62" t="s">
        <v>1764</v>
      </c>
      <c r="O3" s="12" t="e">
        <f t="shared" ref="O3:O34" si="0">CONCATENATE(H3,$L$1,E3,$L$1,F3,$L$1,Q3)</f>
        <v>#N/A</v>
      </c>
      <c r="P3" s="25"/>
      <c r="Q3" s="8"/>
      <c r="R3" s="29"/>
      <c r="T3" s="78">
        <v>2</v>
      </c>
      <c r="U3" s="79" t="s">
        <v>3275</v>
      </c>
    </row>
    <row r="4" spans="1:21" ht="15" customHeight="1">
      <c r="A4" s="110"/>
      <c r="B4" s="39"/>
      <c r="C4" s="10"/>
      <c r="D4" s="38"/>
      <c r="E4" s="39"/>
      <c r="F4" s="98"/>
      <c r="G4" s="102" t="e">
        <f>VLOOKUP(C4,'Cód Barras'!$A:$D,3,0)</f>
        <v>#N/A</v>
      </c>
      <c r="H4" s="103" t="e">
        <f>VLOOKUP(C4,'Cód Barras'!$A:$D,4,0)</f>
        <v>#N/A</v>
      </c>
      <c r="I4"/>
      <c r="J4" s="69" t="e">
        <f t="shared" ref="J4:J67" si="1">IF(ISTEXT(H4), "", IF(LEN(TEXT(H4,"0"))&lt;6, "Código Unificado", "EAN"))</f>
        <v>#N/A</v>
      </c>
      <c r="K4" s="68">
        <f>COUNTIF('Base - Cód Barras'!A:A,C4)</f>
        <v>0</v>
      </c>
      <c r="L4"/>
      <c r="M4" s="63"/>
      <c r="N4" s="64" t="s">
        <v>1764</v>
      </c>
      <c r="O4" s="12" t="e">
        <f t="shared" si="0"/>
        <v>#N/A</v>
      </c>
      <c r="P4" s="24"/>
      <c r="Q4" s="9"/>
      <c r="R4" s="26"/>
      <c r="T4" s="58">
        <v>3</v>
      </c>
      <c r="U4" s="55" t="s">
        <v>888</v>
      </c>
    </row>
    <row r="5" spans="1:21" ht="15" customHeight="1">
      <c r="A5" s="110"/>
      <c r="B5" s="39"/>
      <c r="C5" s="10"/>
      <c r="D5" s="38"/>
      <c r="E5" s="39"/>
      <c r="F5" s="98"/>
      <c r="G5" s="102"/>
      <c r="H5" s="104"/>
      <c r="I5"/>
      <c r="J5" s="69" t="str">
        <f t="shared" si="1"/>
        <v>Código Unificado</v>
      </c>
      <c r="K5" s="68">
        <f>COUNTIF('Base - Cód Barras'!A:A,C5)</f>
        <v>0</v>
      </c>
      <c r="L5"/>
      <c r="M5" s="63"/>
      <c r="N5" s="64" t="s">
        <v>1764</v>
      </c>
      <c r="O5" s="12" t="str">
        <f t="shared" si="0"/>
        <v>;;;</v>
      </c>
      <c r="P5" s="24"/>
      <c r="Q5" s="9"/>
      <c r="R5" s="26"/>
      <c r="T5" s="58">
        <v>4</v>
      </c>
      <c r="U5" s="55" t="s">
        <v>947</v>
      </c>
    </row>
    <row r="6" spans="1:21" ht="15" customHeight="1">
      <c r="A6" s="110"/>
      <c r="B6" s="39"/>
      <c r="C6" s="10"/>
      <c r="D6" s="38"/>
      <c r="E6" s="39"/>
      <c r="F6" s="98"/>
      <c r="G6" s="102"/>
      <c r="H6" s="104"/>
      <c r="I6"/>
      <c r="J6" s="69" t="str">
        <f>IF(ISTEXT(H6), "", IF(LEN(TEXT(H6,"0"))&lt;6, "Código Unificado", "EAN"))</f>
        <v>Código Unificado</v>
      </c>
      <c r="K6" s="68">
        <f>COUNTIF('Base - Cód Barras'!A:A,C6)</f>
        <v>0</v>
      </c>
      <c r="L6"/>
      <c r="M6" s="63"/>
      <c r="N6" s="64" t="s">
        <v>1764</v>
      </c>
      <c r="O6" s="12" t="str">
        <f>CONCATENATE(H6,$L$1,E6,$L$1,F6,$L$1,Q6)</f>
        <v>;;;</v>
      </c>
      <c r="P6" s="24"/>
      <c r="Q6" s="9"/>
      <c r="R6" s="26"/>
      <c r="T6" s="148">
        <v>5</v>
      </c>
      <c r="U6" s="151" t="s">
        <v>1977</v>
      </c>
    </row>
    <row r="7" spans="1:21" ht="15" customHeight="1">
      <c r="A7" s="110"/>
      <c r="B7" s="39"/>
      <c r="C7" s="10"/>
      <c r="D7" s="38"/>
      <c r="E7" s="39"/>
      <c r="F7" s="98"/>
      <c r="G7" s="102"/>
      <c r="H7" s="104"/>
      <c r="I7"/>
      <c r="J7" s="69" t="str">
        <f>IF(ISTEXT(H7), "", IF(LEN(TEXT(H7,"0"))&lt;6, "Código Unificado", "EAN"))</f>
        <v>Código Unificado</v>
      </c>
      <c r="K7" s="68">
        <f>COUNTIF('Base - Cód Barras'!A:A,C7)</f>
        <v>0</v>
      </c>
      <c r="L7"/>
      <c r="M7" s="63"/>
      <c r="N7" s="64" t="s">
        <v>1764</v>
      </c>
      <c r="O7" s="12" t="str">
        <f>CONCATENATE(H7,$L$1,E7,$L$1,F7,$L$1,Q7)</f>
        <v>;;;</v>
      </c>
      <c r="P7" s="24"/>
      <c r="Q7" s="9"/>
      <c r="R7" s="26"/>
      <c r="T7" s="149"/>
      <c r="U7" s="152"/>
    </row>
    <row r="8" spans="1:21" ht="15" customHeight="1">
      <c r="A8" s="110"/>
      <c r="B8" s="39"/>
      <c r="C8" s="10"/>
      <c r="D8" s="38"/>
      <c r="E8" s="39"/>
      <c r="F8" s="98"/>
      <c r="G8" s="102"/>
      <c r="H8" s="104"/>
      <c r="I8"/>
      <c r="J8" s="69" t="str">
        <f t="shared" si="1"/>
        <v>Código Unificado</v>
      </c>
      <c r="K8" s="68">
        <f>COUNTIF('Base - Cód Barras'!A:A,C8)</f>
        <v>0</v>
      </c>
      <c r="L8"/>
      <c r="M8" s="63"/>
      <c r="N8" s="64" t="s">
        <v>1764</v>
      </c>
      <c r="O8" s="12" t="str">
        <f t="shared" si="0"/>
        <v>;;;</v>
      </c>
      <c r="P8" s="24"/>
      <c r="Q8" s="9"/>
      <c r="R8" s="26"/>
      <c r="T8" s="149"/>
      <c r="U8" s="152"/>
    </row>
    <row r="9" spans="1:21" ht="15" customHeight="1">
      <c r="A9" s="110"/>
      <c r="B9" s="39"/>
      <c r="C9" s="10"/>
      <c r="D9" s="38"/>
      <c r="E9" s="39"/>
      <c r="F9" s="98"/>
      <c r="G9" s="102"/>
      <c r="H9" s="104"/>
      <c r="I9"/>
      <c r="J9" s="69" t="str">
        <f t="shared" si="1"/>
        <v>Código Unificado</v>
      </c>
      <c r="K9" s="68">
        <f>COUNTIF('Base - Cód Barras'!A:A,C9)</f>
        <v>0</v>
      </c>
      <c r="L9"/>
      <c r="M9" s="63"/>
      <c r="N9" s="64" t="s">
        <v>1764</v>
      </c>
      <c r="O9" s="12" t="str">
        <f t="shared" si="0"/>
        <v>;;;</v>
      </c>
      <c r="P9" s="24"/>
      <c r="Q9" s="9"/>
      <c r="R9" s="26"/>
      <c r="T9" s="149"/>
      <c r="U9" s="152"/>
    </row>
    <row r="10" spans="1:21" ht="15" customHeight="1">
      <c r="A10" s="110"/>
      <c r="B10" s="39"/>
      <c r="C10" s="10"/>
      <c r="D10" s="38"/>
      <c r="E10" s="39"/>
      <c r="F10" s="98"/>
      <c r="G10" s="102"/>
      <c r="H10" s="104"/>
      <c r="I10"/>
      <c r="J10" s="69" t="str">
        <f t="shared" si="1"/>
        <v>Código Unificado</v>
      </c>
      <c r="K10" s="68">
        <f>COUNTIF('Base - Cód Barras'!A:A,C10)</f>
        <v>0</v>
      </c>
      <c r="L10"/>
      <c r="M10" s="63"/>
      <c r="N10" s="64" t="s">
        <v>1764</v>
      </c>
      <c r="O10" s="12" t="str">
        <f t="shared" si="0"/>
        <v>;;;</v>
      </c>
      <c r="P10" s="24"/>
      <c r="Q10" s="9"/>
      <c r="R10" s="26"/>
      <c r="T10" s="149"/>
      <c r="U10" s="152"/>
    </row>
    <row r="11" spans="1:21" ht="15" customHeight="1">
      <c r="A11" s="110"/>
      <c r="B11" s="39"/>
      <c r="C11" s="10"/>
      <c r="D11" s="38"/>
      <c r="E11" s="39"/>
      <c r="F11" s="98"/>
      <c r="G11" s="102"/>
      <c r="H11" s="104"/>
      <c r="I11"/>
      <c r="J11" s="69" t="str">
        <f t="shared" si="1"/>
        <v>Código Unificado</v>
      </c>
      <c r="K11" s="68">
        <f>COUNTIF('Base - Cód Barras'!A:A,C11)</f>
        <v>0</v>
      </c>
      <c r="L11"/>
      <c r="M11" s="63"/>
      <c r="N11" s="64" t="s">
        <v>1764</v>
      </c>
      <c r="O11" s="12" t="str">
        <f t="shared" si="0"/>
        <v>;;;</v>
      </c>
      <c r="P11" s="24"/>
      <c r="Q11" s="9"/>
      <c r="R11" s="26"/>
      <c r="T11" s="149"/>
      <c r="U11" s="152"/>
    </row>
    <row r="12" spans="1:21" ht="15" customHeight="1" thickBot="1">
      <c r="A12" s="110"/>
      <c r="B12" s="39"/>
      <c r="C12" s="10"/>
      <c r="D12" s="38"/>
      <c r="E12" s="39"/>
      <c r="F12" s="98"/>
      <c r="G12" s="102"/>
      <c r="H12" s="104"/>
      <c r="I12"/>
      <c r="J12" s="69" t="str">
        <f t="shared" si="1"/>
        <v>Código Unificado</v>
      </c>
      <c r="K12" s="68">
        <f>COUNTIF('Base - Cód Barras'!A:A,C12)</f>
        <v>0</v>
      </c>
      <c r="L12"/>
      <c r="M12" s="63"/>
      <c r="N12" s="64" t="s">
        <v>1764</v>
      </c>
      <c r="O12" s="12" t="str">
        <f t="shared" si="0"/>
        <v>;;;</v>
      </c>
      <c r="P12" s="24"/>
      <c r="Q12" s="9"/>
      <c r="R12" s="26"/>
      <c r="T12" s="150"/>
      <c r="U12" s="153"/>
    </row>
    <row r="13" spans="1:21">
      <c r="A13" s="110"/>
      <c r="B13" s="39"/>
      <c r="C13" s="10"/>
      <c r="D13" s="38"/>
      <c r="E13" s="39"/>
      <c r="F13" s="98"/>
      <c r="G13" s="102"/>
      <c r="H13" s="104"/>
      <c r="I13"/>
      <c r="J13" s="69" t="str">
        <f t="shared" si="1"/>
        <v>Código Unificado</v>
      </c>
      <c r="K13" s="68">
        <f>COUNTIF('Base - Cód Barras'!A:A,C13)</f>
        <v>0</v>
      </c>
      <c r="L13"/>
      <c r="M13" s="63"/>
      <c r="N13" s="64" t="s">
        <v>1764</v>
      </c>
      <c r="O13" s="12" t="str">
        <f t="shared" si="0"/>
        <v>;;;</v>
      </c>
      <c r="P13" s="24"/>
      <c r="Q13" s="9"/>
      <c r="R13" s="26"/>
    </row>
    <row r="14" spans="1:21">
      <c r="A14" s="110"/>
      <c r="B14" s="39"/>
      <c r="C14" s="10"/>
      <c r="D14" s="38"/>
      <c r="E14" s="39"/>
      <c r="F14" s="98"/>
      <c r="G14" s="102"/>
      <c r="H14" s="104"/>
      <c r="I14"/>
      <c r="J14" s="69" t="str">
        <f t="shared" si="1"/>
        <v>Código Unificado</v>
      </c>
      <c r="K14" s="68">
        <f>COUNTIF('Base - Cód Barras'!A:A,C14)</f>
        <v>0</v>
      </c>
      <c r="L14"/>
      <c r="M14" s="63"/>
      <c r="N14" s="64" t="s">
        <v>1764</v>
      </c>
      <c r="O14" s="12" t="str">
        <f t="shared" si="0"/>
        <v>;;;</v>
      </c>
      <c r="P14" s="24"/>
      <c r="Q14" s="9"/>
      <c r="R14" s="26"/>
    </row>
    <row r="15" spans="1:21" ht="15" customHeight="1">
      <c r="A15" s="110"/>
      <c r="B15" s="39"/>
      <c r="C15" s="10"/>
      <c r="D15" s="38"/>
      <c r="E15" s="39"/>
      <c r="F15" s="98"/>
      <c r="G15" s="102"/>
      <c r="H15" s="104"/>
      <c r="I15"/>
      <c r="J15" s="69" t="str">
        <f t="shared" si="1"/>
        <v>Código Unificado</v>
      </c>
      <c r="K15" s="68">
        <f>COUNTIF('Base - Cód Barras'!A:A,C15)</f>
        <v>0</v>
      </c>
      <c r="L15"/>
      <c r="M15" s="63"/>
      <c r="N15" s="64" t="s">
        <v>1764</v>
      </c>
      <c r="O15" s="12" t="str">
        <f t="shared" si="0"/>
        <v>;;;</v>
      </c>
      <c r="P15" s="24"/>
      <c r="Q15" s="9"/>
      <c r="R15" s="26"/>
    </row>
    <row r="16" spans="1:21" ht="15" customHeight="1">
      <c r="A16" s="110"/>
      <c r="B16" s="39"/>
      <c r="C16" s="10"/>
      <c r="D16" s="38"/>
      <c r="E16" s="39"/>
      <c r="F16" s="98"/>
      <c r="G16" s="102"/>
      <c r="H16" s="104"/>
      <c r="I16"/>
      <c r="J16" s="69" t="str">
        <f t="shared" si="1"/>
        <v>Código Unificado</v>
      </c>
      <c r="K16" s="68">
        <f>COUNTIF('Base - Cód Barras'!A:A,C16)</f>
        <v>0</v>
      </c>
      <c r="L16"/>
      <c r="M16" s="63"/>
      <c r="N16" s="64" t="s">
        <v>1764</v>
      </c>
      <c r="O16" s="12" t="str">
        <f t="shared" si="0"/>
        <v>;;;</v>
      </c>
      <c r="P16" s="24"/>
      <c r="Q16" s="9"/>
      <c r="R16" s="26"/>
    </row>
    <row r="17" spans="1:18" ht="15" customHeight="1">
      <c r="A17" s="110"/>
      <c r="B17" s="39"/>
      <c r="C17" s="10"/>
      <c r="D17" s="38"/>
      <c r="E17" s="39"/>
      <c r="F17" s="98"/>
      <c r="G17" s="102"/>
      <c r="H17" s="104"/>
      <c r="I17"/>
      <c r="J17" s="69" t="str">
        <f t="shared" si="1"/>
        <v>Código Unificado</v>
      </c>
      <c r="K17" s="68">
        <f>COUNTIF('Base - Cód Barras'!A:A,C17)</f>
        <v>0</v>
      </c>
      <c r="L17"/>
      <c r="M17" s="63"/>
      <c r="N17" s="64" t="s">
        <v>1764</v>
      </c>
      <c r="O17" s="12" t="str">
        <f t="shared" si="0"/>
        <v>;;;</v>
      </c>
      <c r="P17" s="24"/>
      <c r="Q17" s="9"/>
      <c r="R17" s="26"/>
    </row>
    <row r="18" spans="1:18" ht="15" customHeight="1">
      <c r="A18" s="110"/>
      <c r="B18" s="39"/>
      <c r="C18" s="10"/>
      <c r="D18" s="38"/>
      <c r="E18" s="39"/>
      <c r="F18" s="98"/>
      <c r="G18" s="102"/>
      <c r="H18" s="104"/>
      <c r="I18"/>
      <c r="J18" s="69" t="str">
        <f t="shared" si="1"/>
        <v>Código Unificado</v>
      </c>
      <c r="K18" s="68">
        <f>COUNTIF('Base - Cód Barras'!A:A,C18)</f>
        <v>0</v>
      </c>
      <c r="L18"/>
      <c r="M18" s="63"/>
      <c r="N18" s="64" t="s">
        <v>1764</v>
      </c>
      <c r="O18" s="12" t="str">
        <f t="shared" si="0"/>
        <v>;;;</v>
      </c>
      <c r="P18" s="24"/>
      <c r="Q18" s="9"/>
      <c r="R18" s="26"/>
    </row>
    <row r="19" spans="1:18" ht="15" customHeight="1">
      <c r="A19" s="110"/>
      <c r="B19" s="39"/>
      <c r="C19" s="10"/>
      <c r="D19" s="38"/>
      <c r="E19" s="39"/>
      <c r="F19" s="98"/>
      <c r="G19" s="102"/>
      <c r="H19" s="104"/>
      <c r="I19"/>
      <c r="J19" s="69" t="str">
        <f t="shared" si="1"/>
        <v>Código Unificado</v>
      </c>
      <c r="K19" s="68">
        <f>COUNTIF('Base - Cód Barras'!A:A,C19)</f>
        <v>0</v>
      </c>
      <c r="L19"/>
      <c r="M19" s="63"/>
      <c r="N19" s="64" t="s">
        <v>1764</v>
      </c>
      <c r="O19" s="12" t="str">
        <f t="shared" si="0"/>
        <v>;;;</v>
      </c>
      <c r="P19" s="24"/>
      <c r="Q19" s="9"/>
      <c r="R19" s="26"/>
    </row>
    <row r="20" spans="1:18" ht="15" customHeight="1">
      <c r="A20" s="110"/>
      <c r="B20" s="39"/>
      <c r="C20" s="10"/>
      <c r="D20" s="38"/>
      <c r="E20" s="39"/>
      <c r="F20" s="98"/>
      <c r="G20" s="102"/>
      <c r="H20" s="104"/>
      <c r="I20"/>
      <c r="J20" s="69" t="str">
        <f t="shared" si="1"/>
        <v>Código Unificado</v>
      </c>
      <c r="K20" s="68">
        <f>COUNTIF('Base - Cód Barras'!A:A,C20)</f>
        <v>0</v>
      </c>
      <c r="L20"/>
      <c r="M20" s="63"/>
      <c r="N20" s="64" t="s">
        <v>1764</v>
      </c>
      <c r="O20" s="12" t="str">
        <f t="shared" si="0"/>
        <v>;;;</v>
      </c>
      <c r="P20" s="24"/>
      <c r="Q20" s="9"/>
      <c r="R20" s="26"/>
    </row>
    <row r="21" spans="1:18" ht="15.75" customHeight="1">
      <c r="A21" s="110"/>
      <c r="B21" s="39"/>
      <c r="C21" s="10"/>
      <c r="D21" s="38"/>
      <c r="E21" s="39"/>
      <c r="F21" s="98"/>
      <c r="G21" s="102"/>
      <c r="H21" s="104"/>
      <c r="I21"/>
      <c r="J21" s="69" t="str">
        <f t="shared" si="1"/>
        <v>Código Unificado</v>
      </c>
      <c r="K21" s="68">
        <f>COUNTIF('Base - Cód Barras'!A:A,C21)</f>
        <v>0</v>
      </c>
      <c r="L21"/>
      <c r="M21" s="63"/>
      <c r="N21" s="64" t="s">
        <v>1764</v>
      </c>
      <c r="O21" s="12" t="str">
        <f t="shared" si="0"/>
        <v>;;;</v>
      </c>
      <c r="P21" s="24"/>
      <c r="Q21" s="9"/>
      <c r="R21" s="26"/>
    </row>
    <row r="22" spans="1:18">
      <c r="A22" s="110"/>
      <c r="B22" s="39"/>
      <c r="C22" s="10"/>
      <c r="D22" s="38"/>
      <c r="E22" s="39"/>
      <c r="F22" s="98"/>
      <c r="G22" s="102"/>
      <c r="H22" s="104"/>
      <c r="I22"/>
      <c r="J22" s="69" t="str">
        <f t="shared" si="1"/>
        <v>Código Unificado</v>
      </c>
      <c r="K22" s="68">
        <f>COUNTIF('Base - Cód Barras'!A:A,C22)</f>
        <v>0</v>
      </c>
      <c r="L22"/>
      <c r="M22" s="63"/>
      <c r="N22" s="64" t="s">
        <v>1764</v>
      </c>
      <c r="O22" s="12" t="str">
        <f t="shared" si="0"/>
        <v>;;;</v>
      </c>
      <c r="P22" s="24"/>
      <c r="Q22" s="9"/>
      <c r="R22" s="26"/>
    </row>
    <row r="23" spans="1:18">
      <c r="A23" s="110"/>
      <c r="B23" s="39"/>
      <c r="C23" s="10"/>
      <c r="D23" s="38"/>
      <c r="E23" s="39"/>
      <c r="F23" s="98"/>
      <c r="G23" s="102"/>
      <c r="H23" s="104"/>
      <c r="I23"/>
      <c r="J23" s="69" t="str">
        <f t="shared" si="1"/>
        <v>Código Unificado</v>
      </c>
      <c r="K23" s="68">
        <f>COUNTIF('Base - Cód Barras'!A:A,C23)</f>
        <v>0</v>
      </c>
      <c r="L23"/>
      <c r="M23" s="63"/>
      <c r="N23" s="64" t="s">
        <v>1764</v>
      </c>
      <c r="O23" s="12" t="str">
        <f t="shared" si="0"/>
        <v>;;;</v>
      </c>
      <c r="P23" s="24"/>
      <c r="Q23" s="9"/>
      <c r="R23" s="26"/>
    </row>
    <row r="24" spans="1:18">
      <c r="A24" s="110"/>
      <c r="B24" s="39"/>
      <c r="C24" s="10"/>
      <c r="D24" s="38"/>
      <c r="E24" s="39"/>
      <c r="F24" s="98"/>
      <c r="G24" s="102"/>
      <c r="H24" s="104"/>
      <c r="I24"/>
      <c r="J24" s="69" t="str">
        <f t="shared" si="1"/>
        <v>Código Unificado</v>
      </c>
      <c r="K24" s="68">
        <f>COUNTIF('Base - Cód Barras'!A:A,C24)</f>
        <v>0</v>
      </c>
      <c r="L24"/>
      <c r="M24" s="63"/>
      <c r="N24" s="64" t="s">
        <v>1764</v>
      </c>
      <c r="O24" s="12" t="str">
        <f t="shared" si="0"/>
        <v>;;;</v>
      </c>
      <c r="P24" s="24"/>
      <c r="Q24" s="9"/>
      <c r="R24" s="26"/>
    </row>
    <row r="25" spans="1:18">
      <c r="A25" s="110"/>
      <c r="B25" s="39"/>
      <c r="C25" s="10"/>
      <c r="D25" s="38"/>
      <c r="E25" s="39"/>
      <c r="F25" s="98"/>
      <c r="G25" s="102"/>
      <c r="H25" s="104"/>
      <c r="I25"/>
      <c r="J25" s="69" t="str">
        <f t="shared" si="1"/>
        <v>Código Unificado</v>
      </c>
      <c r="K25" s="68">
        <f>COUNTIF('Base - Cód Barras'!A:A,C25)</f>
        <v>0</v>
      </c>
      <c r="L25"/>
      <c r="M25" s="63"/>
      <c r="N25" s="64" t="s">
        <v>1764</v>
      </c>
      <c r="O25" s="12" t="str">
        <f t="shared" si="0"/>
        <v>;;;</v>
      </c>
      <c r="P25" s="24"/>
      <c r="Q25" s="9"/>
      <c r="R25" s="26"/>
    </row>
    <row r="26" spans="1:18">
      <c r="A26" s="110"/>
      <c r="B26" s="39"/>
      <c r="C26" s="10"/>
      <c r="D26" s="38"/>
      <c r="E26" s="39"/>
      <c r="F26" s="98"/>
      <c r="G26" s="102"/>
      <c r="H26" s="104"/>
      <c r="I26"/>
      <c r="J26" s="69" t="str">
        <f t="shared" si="1"/>
        <v>Código Unificado</v>
      </c>
      <c r="K26" s="68">
        <f>COUNTIF('Base - Cód Barras'!A:A,C26)</f>
        <v>0</v>
      </c>
      <c r="L26"/>
      <c r="M26" s="63"/>
      <c r="N26" s="64" t="s">
        <v>1764</v>
      </c>
      <c r="O26" s="12" t="str">
        <f t="shared" si="0"/>
        <v>;;;</v>
      </c>
      <c r="P26" s="24"/>
      <c r="Q26" s="9"/>
      <c r="R26" s="26"/>
    </row>
    <row r="27" spans="1:18">
      <c r="A27" s="110"/>
      <c r="B27" s="39"/>
      <c r="C27" s="10"/>
      <c r="D27" s="38"/>
      <c r="E27" s="39"/>
      <c r="F27" s="98"/>
      <c r="G27" s="102"/>
      <c r="H27" s="104"/>
      <c r="I27"/>
      <c r="J27" s="69" t="str">
        <f t="shared" si="1"/>
        <v>Código Unificado</v>
      </c>
      <c r="K27" s="68">
        <f>COUNTIF('Base - Cód Barras'!A:A,C27)</f>
        <v>0</v>
      </c>
      <c r="L27"/>
      <c r="M27" s="63"/>
      <c r="N27" s="64" t="s">
        <v>1764</v>
      </c>
      <c r="O27" s="12" t="str">
        <f t="shared" si="0"/>
        <v>;;;</v>
      </c>
      <c r="P27" s="24"/>
      <c r="Q27" s="9"/>
      <c r="R27" s="26"/>
    </row>
    <row r="28" spans="1:18">
      <c r="A28" s="110"/>
      <c r="B28" s="39"/>
      <c r="C28" s="10"/>
      <c r="D28" s="38"/>
      <c r="E28" s="39"/>
      <c r="F28" s="98"/>
      <c r="G28" s="102"/>
      <c r="H28" s="104"/>
      <c r="I28"/>
      <c r="J28" s="69" t="str">
        <f t="shared" si="1"/>
        <v>Código Unificado</v>
      </c>
      <c r="K28" s="68">
        <f>COUNTIF('Base - Cód Barras'!A:A,C28)</f>
        <v>0</v>
      </c>
      <c r="L28"/>
      <c r="M28" s="63"/>
      <c r="N28" s="64" t="s">
        <v>1764</v>
      </c>
      <c r="O28" s="12" t="str">
        <f t="shared" si="0"/>
        <v>;;;</v>
      </c>
      <c r="P28" s="24"/>
      <c r="Q28" s="9"/>
      <c r="R28" s="26"/>
    </row>
    <row r="29" spans="1:18">
      <c r="A29" s="110"/>
      <c r="B29" s="39"/>
      <c r="C29" s="10"/>
      <c r="D29" s="38"/>
      <c r="E29" s="39"/>
      <c r="F29" s="98"/>
      <c r="G29" s="102"/>
      <c r="H29" s="104"/>
      <c r="I29"/>
      <c r="J29" s="69" t="str">
        <f t="shared" si="1"/>
        <v>Código Unificado</v>
      </c>
      <c r="K29" s="68">
        <f>COUNTIF('Base - Cód Barras'!A:A,C29)</f>
        <v>0</v>
      </c>
      <c r="L29"/>
      <c r="M29" s="63"/>
      <c r="N29" s="64" t="s">
        <v>1764</v>
      </c>
      <c r="O29" s="12" t="str">
        <f t="shared" si="0"/>
        <v>;;;</v>
      </c>
      <c r="P29" s="24"/>
      <c r="Q29" s="9"/>
      <c r="R29" s="26"/>
    </row>
    <row r="30" spans="1:18">
      <c r="A30" s="110"/>
      <c r="B30" s="39"/>
      <c r="C30" s="10"/>
      <c r="D30" s="38"/>
      <c r="E30" s="39"/>
      <c r="F30" s="98"/>
      <c r="G30" s="102"/>
      <c r="H30" s="104"/>
      <c r="I30"/>
      <c r="J30" s="69" t="str">
        <f t="shared" si="1"/>
        <v>Código Unificado</v>
      </c>
      <c r="K30" s="68">
        <f>COUNTIF('Base - Cód Barras'!A:A,C30)</f>
        <v>0</v>
      </c>
      <c r="L30"/>
      <c r="M30" s="63"/>
      <c r="N30" s="64" t="s">
        <v>1764</v>
      </c>
      <c r="O30" s="12" t="str">
        <f t="shared" si="0"/>
        <v>;;;</v>
      </c>
      <c r="P30" s="24"/>
      <c r="Q30" s="9"/>
      <c r="R30" s="26"/>
    </row>
    <row r="31" spans="1:18">
      <c r="A31" s="110"/>
      <c r="B31" s="39"/>
      <c r="C31" s="10"/>
      <c r="D31" s="38"/>
      <c r="E31" s="39"/>
      <c r="F31" s="98"/>
      <c r="G31" s="102"/>
      <c r="H31" s="104"/>
      <c r="I31"/>
      <c r="J31" s="69" t="str">
        <f t="shared" si="1"/>
        <v>Código Unificado</v>
      </c>
      <c r="K31" s="68">
        <f>COUNTIF('Base - Cód Barras'!A:A,C31)</f>
        <v>0</v>
      </c>
      <c r="L31"/>
      <c r="M31" s="63"/>
      <c r="N31" s="64" t="s">
        <v>1764</v>
      </c>
      <c r="O31" s="12" t="str">
        <f t="shared" si="0"/>
        <v>;;;</v>
      </c>
      <c r="P31" s="24"/>
      <c r="Q31" s="9"/>
      <c r="R31" s="26"/>
    </row>
    <row r="32" spans="1:18">
      <c r="A32" s="110"/>
      <c r="B32" s="39"/>
      <c r="C32" s="10"/>
      <c r="D32" s="38"/>
      <c r="E32" s="39"/>
      <c r="F32" s="98"/>
      <c r="G32" s="102"/>
      <c r="H32" s="104"/>
      <c r="I32"/>
      <c r="J32" s="69" t="str">
        <f t="shared" si="1"/>
        <v>Código Unificado</v>
      </c>
      <c r="K32" s="68">
        <f>COUNTIF('Base - Cód Barras'!A:A,C32)</f>
        <v>0</v>
      </c>
      <c r="L32"/>
      <c r="M32" s="63"/>
      <c r="N32" s="64" t="s">
        <v>1764</v>
      </c>
      <c r="O32" s="12" t="str">
        <f t="shared" si="0"/>
        <v>;;;</v>
      </c>
      <c r="P32" s="24"/>
      <c r="Q32" s="9"/>
      <c r="R32" s="26"/>
    </row>
    <row r="33" spans="1:18">
      <c r="A33" s="110"/>
      <c r="B33" s="39"/>
      <c r="C33" s="10"/>
      <c r="D33" s="38"/>
      <c r="E33" s="39"/>
      <c r="F33" s="98"/>
      <c r="G33" s="102"/>
      <c r="H33" s="104"/>
      <c r="I33"/>
      <c r="J33" s="69" t="str">
        <f t="shared" si="1"/>
        <v>Código Unificado</v>
      </c>
      <c r="K33" s="68">
        <f>COUNTIF('Base - Cód Barras'!A:A,C33)</f>
        <v>0</v>
      </c>
      <c r="L33"/>
      <c r="M33" s="63"/>
      <c r="N33" s="64" t="s">
        <v>1764</v>
      </c>
      <c r="O33" s="12" t="str">
        <f t="shared" si="0"/>
        <v>;;;</v>
      </c>
      <c r="P33" s="24"/>
      <c r="Q33" s="9"/>
      <c r="R33" s="26"/>
    </row>
    <row r="34" spans="1:18">
      <c r="A34" s="110"/>
      <c r="B34" s="39"/>
      <c r="C34" s="10"/>
      <c r="D34" s="38"/>
      <c r="E34" s="39"/>
      <c r="F34" s="98"/>
      <c r="G34" s="102"/>
      <c r="H34" s="104"/>
      <c r="I34"/>
      <c r="J34" s="69" t="str">
        <f t="shared" si="1"/>
        <v>Código Unificado</v>
      </c>
      <c r="K34" s="68">
        <f>COUNTIF('Base - Cód Barras'!A:A,C34)</f>
        <v>0</v>
      </c>
      <c r="L34"/>
      <c r="M34" s="63"/>
      <c r="N34" s="64" t="s">
        <v>1764</v>
      </c>
      <c r="O34" s="12" t="str">
        <f t="shared" si="0"/>
        <v>;;;</v>
      </c>
      <c r="P34" s="24"/>
      <c r="Q34" s="9"/>
      <c r="R34" s="26"/>
    </row>
    <row r="35" spans="1:18">
      <c r="A35" s="110"/>
      <c r="B35" s="39"/>
      <c r="C35" s="10"/>
      <c r="D35" s="38"/>
      <c r="E35" s="39"/>
      <c r="F35" s="98"/>
      <c r="G35" s="102"/>
      <c r="H35" s="104"/>
      <c r="I35"/>
      <c r="J35" s="69" t="str">
        <f t="shared" si="1"/>
        <v>Código Unificado</v>
      </c>
      <c r="K35" s="68">
        <f>COUNTIF('Base - Cód Barras'!A:A,C35)</f>
        <v>0</v>
      </c>
      <c r="L35"/>
      <c r="M35" s="63"/>
      <c r="N35" s="64" t="s">
        <v>1764</v>
      </c>
      <c r="O35" s="12" t="str">
        <f t="shared" ref="O35:O69" si="2">CONCATENATE(H35,$L$1,E35,$L$1,F35,$L$1,Q35)</f>
        <v>;;;</v>
      </c>
      <c r="P35" s="24"/>
      <c r="Q35" s="9"/>
      <c r="R35" s="26"/>
    </row>
    <row r="36" spans="1:18">
      <c r="A36" s="110"/>
      <c r="B36" s="39"/>
      <c r="C36" s="10"/>
      <c r="D36" s="38"/>
      <c r="E36" s="39"/>
      <c r="F36" s="98"/>
      <c r="G36" s="102"/>
      <c r="H36" s="104"/>
      <c r="I36"/>
      <c r="J36" s="69" t="str">
        <f t="shared" si="1"/>
        <v>Código Unificado</v>
      </c>
      <c r="K36" s="68">
        <f>COUNTIF('Base - Cód Barras'!A:A,C36)</f>
        <v>0</v>
      </c>
      <c r="L36"/>
      <c r="M36" s="63"/>
      <c r="N36" s="64" t="s">
        <v>1764</v>
      </c>
      <c r="O36" s="12" t="str">
        <f t="shared" si="2"/>
        <v>;;;</v>
      </c>
      <c r="P36" s="24"/>
      <c r="Q36" s="9"/>
      <c r="R36" s="26"/>
    </row>
    <row r="37" spans="1:18">
      <c r="A37" s="110"/>
      <c r="B37" s="39"/>
      <c r="C37" s="10"/>
      <c r="D37" s="38"/>
      <c r="E37" s="39"/>
      <c r="F37" s="98"/>
      <c r="G37" s="102"/>
      <c r="H37" s="104"/>
      <c r="I37"/>
      <c r="J37" s="69" t="str">
        <f t="shared" si="1"/>
        <v>Código Unificado</v>
      </c>
      <c r="K37" s="68">
        <f>COUNTIF('Base - Cód Barras'!A:A,C37)</f>
        <v>0</v>
      </c>
      <c r="L37"/>
      <c r="M37" s="63"/>
      <c r="N37" s="64" t="s">
        <v>1764</v>
      </c>
      <c r="O37" s="12" t="str">
        <f t="shared" si="2"/>
        <v>;;;</v>
      </c>
      <c r="P37" s="24"/>
      <c r="Q37" s="9"/>
      <c r="R37" s="26"/>
    </row>
    <row r="38" spans="1:18">
      <c r="A38" s="110"/>
      <c r="B38" s="39"/>
      <c r="C38" s="10"/>
      <c r="D38" s="38"/>
      <c r="E38" s="39"/>
      <c r="F38" s="98"/>
      <c r="G38" s="102"/>
      <c r="H38" s="104"/>
      <c r="I38"/>
      <c r="J38" s="69" t="str">
        <f t="shared" si="1"/>
        <v>Código Unificado</v>
      </c>
      <c r="K38" s="68">
        <f>COUNTIF('Base - Cód Barras'!A:A,C38)</f>
        <v>0</v>
      </c>
      <c r="L38"/>
      <c r="M38" s="63"/>
      <c r="N38" s="64" t="s">
        <v>1764</v>
      </c>
      <c r="O38" s="12" t="str">
        <f t="shared" si="2"/>
        <v>;;;</v>
      </c>
      <c r="P38" s="24"/>
      <c r="Q38" s="9"/>
      <c r="R38" s="26"/>
    </row>
    <row r="39" spans="1:18">
      <c r="A39" s="110"/>
      <c r="B39" s="39"/>
      <c r="C39" s="10"/>
      <c r="D39" s="38"/>
      <c r="E39" s="39"/>
      <c r="F39" s="98"/>
      <c r="G39" s="102"/>
      <c r="H39" s="104"/>
      <c r="I39"/>
      <c r="J39" s="69" t="str">
        <f t="shared" si="1"/>
        <v>Código Unificado</v>
      </c>
      <c r="K39" s="68">
        <f>COUNTIF('Base - Cód Barras'!A:A,C39)</f>
        <v>0</v>
      </c>
      <c r="L39"/>
      <c r="M39" s="63"/>
      <c r="N39" s="64" t="s">
        <v>1764</v>
      </c>
      <c r="O39" s="12" t="str">
        <f t="shared" si="2"/>
        <v>;;;</v>
      </c>
      <c r="P39" s="24"/>
      <c r="Q39" s="9"/>
      <c r="R39" s="26"/>
    </row>
    <row r="40" spans="1:18">
      <c r="A40" s="111"/>
      <c r="B40" s="41"/>
      <c r="C40" s="48"/>
      <c r="D40" s="40"/>
      <c r="E40" s="41"/>
      <c r="F40" s="99"/>
      <c r="G40" s="105"/>
      <c r="H40" s="106"/>
      <c r="I40"/>
      <c r="J40" s="69" t="str">
        <f t="shared" si="1"/>
        <v>Código Unificado</v>
      </c>
      <c r="K40" s="68">
        <f>COUNTIF('Base - Cód Barras'!A:A,C40)</f>
        <v>0</v>
      </c>
      <c r="L40"/>
      <c r="M40" s="63"/>
      <c r="N40" s="64" t="str">
        <f>(IFERROR(IF(VLOOKUP(H40,$H$3:$H$39,1,0),"Sim","Não"),"Não"))</f>
        <v>Não</v>
      </c>
      <c r="O40" s="12" t="str">
        <f t="shared" si="2"/>
        <v>;;;</v>
      </c>
      <c r="P40" s="24"/>
      <c r="Q40" s="9"/>
      <c r="R40" s="26"/>
    </row>
    <row r="41" spans="1:18">
      <c r="A41" s="111"/>
      <c r="B41" s="41"/>
      <c r="C41" s="48"/>
      <c r="D41" s="40"/>
      <c r="E41" s="41"/>
      <c r="F41" s="99"/>
      <c r="G41" s="105"/>
      <c r="H41" s="106"/>
      <c r="I41"/>
      <c r="J41" s="69" t="str">
        <f t="shared" si="1"/>
        <v>Código Unificado</v>
      </c>
      <c r="K41" s="68">
        <f>COUNTIF('Base - Cód Barras'!A:A,C41)</f>
        <v>0</v>
      </c>
      <c r="L41"/>
      <c r="M41" s="63"/>
      <c r="N41" s="64" t="str">
        <f t="shared" ref="N41:N69" si="3">(IFERROR(IF(VLOOKUP(H41,$H$3:$H$39,1,0),"Sim","Não"),"Não"))</f>
        <v>Não</v>
      </c>
      <c r="O41" s="12" t="str">
        <f t="shared" si="2"/>
        <v>;;;</v>
      </c>
      <c r="P41" s="24"/>
      <c r="Q41" s="9"/>
      <c r="R41" s="26"/>
    </row>
    <row r="42" spans="1:18">
      <c r="A42" s="111"/>
      <c r="B42" s="41"/>
      <c r="C42" s="48"/>
      <c r="D42" s="40"/>
      <c r="E42" s="41"/>
      <c r="F42" s="99"/>
      <c r="G42" s="105"/>
      <c r="H42" s="106"/>
      <c r="I42"/>
      <c r="J42" s="69" t="str">
        <f t="shared" si="1"/>
        <v>Código Unificado</v>
      </c>
      <c r="K42" s="68">
        <f>COUNTIF('Base - Cód Barras'!A:A,C42)</f>
        <v>0</v>
      </c>
      <c r="L42"/>
      <c r="M42" s="63"/>
      <c r="N42" s="64" t="str">
        <f t="shared" si="3"/>
        <v>Não</v>
      </c>
      <c r="O42" s="12" t="str">
        <f t="shared" si="2"/>
        <v>;;;</v>
      </c>
      <c r="P42" s="24"/>
      <c r="Q42" s="9"/>
      <c r="R42" s="26"/>
    </row>
    <row r="43" spans="1:18">
      <c r="A43" s="111"/>
      <c r="B43" s="41"/>
      <c r="C43" s="48"/>
      <c r="D43" s="40"/>
      <c r="E43" s="41"/>
      <c r="F43" s="99"/>
      <c r="G43" s="105"/>
      <c r="H43" s="106"/>
      <c r="I43"/>
      <c r="J43" s="69" t="str">
        <f t="shared" si="1"/>
        <v>Código Unificado</v>
      </c>
      <c r="K43" s="68">
        <f>COUNTIF('Base - Cód Barras'!A:A,C43)</f>
        <v>0</v>
      </c>
      <c r="L43"/>
      <c r="M43" s="63"/>
      <c r="N43" s="64" t="str">
        <f t="shared" si="3"/>
        <v>Não</v>
      </c>
      <c r="O43" s="12" t="str">
        <f t="shared" si="2"/>
        <v>;;;</v>
      </c>
      <c r="P43" s="24"/>
      <c r="Q43" s="9"/>
      <c r="R43" s="26"/>
    </row>
    <row r="44" spans="1:18">
      <c r="A44" s="111"/>
      <c r="B44" s="41"/>
      <c r="C44" s="48"/>
      <c r="D44" s="40"/>
      <c r="E44" s="41"/>
      <c r="F44" s="99"/>
      <c r="G44" s="105"/>
      <c r="H44" s="106"/>
      <c r="I44"/>
      <c r="J44" s="69" t="str">
        <f t="shared" si="1"/>
        <v>Código Unificado</v>
      </c>
      <c r="K44" s="68">
        <f>COUNTIF('Base - Cód Barras'!A:A,C44)</f>
        <v>0</v>
      </c>
      <c r="L44"/>
      <c r="M44" s="63"/>
      <c r="N44" s="64" t="str">
        <f t="shared" si="3"/>
        <v>Não</v>
      </c>
      <c r="O44" s="12" t="str">
        <f t="shared" si="2"/>
        <v>;;;</v>
      </c>
      <c r="P44" s="24"/>
      <c r="Q44" s="9"/>
      <c r="R44" s="26"/>
    </row>
    <row r="45" spans="1:18">
      <c r="A45" s="111"/>
      <c r="B45" s="41"/>
      <c r="C45" s="48"/>
      <c r="D45" s="40"/>
      <c r="E45" s="41"/>
      <c r="F45" s="99"/>
      <c r="G45" s="105"/>
      <c r="H45" s="106"/>
      <c r="I45"/>
      <c r="J45" s="69" t="str">
        <f t="shared" si="1"/>
        <v>Código Unificado</v>
      </c>
      <c r="K45" s="68">
        <f>COUNTIF('Base - Cód Barras'!A:A,C45)</f>
        <v>0</v>
      </c>
      <c r="L45"/>
      <c r="M45" s="63"/>
      <c r="N45" s="64" t="str">
        <f t="shared" si="3"/>
        <v>Não</v>
      </c>
      <c r="O45" s="12" t="str">
        <f t="shared" si="2"/>
        <v>;;;</v>
      </c>
      <c r="P45" s="24"/>
      <c r="Q45" s="9"/>
      <c r="R45" s="26"/>
    </row>
    <row r="46" spans="1:18">
      <c r="A46" s="111"/>
      <c r="B46" s="41"/>
      <c r="C46" s="46"/>
      <c r="D46" s="40"/>
      <c r="E46" s="41"/>
      <c r="F46" s="99"/>
      <c r="G46" s="105"/>
      <c r="H46" s="106"/>
      <c r="I46"/>
      <c r="J46" s="69" t="str">
        <f t="shared" si="1"/>
        <v>Código Unificado</v>
      </c>
      <c r="K46" s="68">
        <f>COUNTIF('Base - Cód Barras'!A:A,C46)</f>
        <v>0</v>
      </c>
      <c r="L46"/>
      <c r="M46" s="63"/>
      <c r="N46" s="64" t="str">
        <f t="shared" si="3"/>
        <v>Não</v>
      </c>
      <c r="O46" s="12" t="str">
        <f t="shared" si="2"/>
        <v>;;;</v>
      </c>
      <c r="P46" s="24"/>
      <c r="Q46" s="9"/>
      <c r="R46" s="26"/>
    </row>
    <row r="47" spans="1:18">
      <c r="A47" s="111"/>
      <c r="B47" s="41"/>
      <c r="C47" s="46"/>
      <c r="D47" s="40"/>
      <c r="E47" s="41"/>
      <c r="F47" s="99"/>
      <c r="G47" s="105"/>
      <c r="H47" s="106"/>
      <c r="I47"/>
      <c r="J47" s="69" t="str">
        <f t="shared" si="1"/>
        <v>Código Unificado</v>
      </c>
      <c r="K47" s="68">
        <f>COUNTIF('Base - Cód Barras'!A:A,C47)</f>
        <v>0</v>
      </c>
      <c r="L47"/>
      <c r="M47" s="63"/>
      <c r="N47" s="64" t="str">
        <f t="shared" si="3"/>
        <v>Não</v>
      </c>
      <c r="O47" s="12" t="str">
        <f t="shared" si="2"/>
        <v>;;;</v>
      </c>
      <c r="P47" s="24"/>
      <c r="Q47" s="9"/>
      <c r="R47" s="26"/>
    </row>
    <row r="48" spans="1:18">
      <c r="A48" s="111"/>
      <c r="B48" s="41"/>
      <c r="C48" s="46"/>
      <c r="D48" s="40"/>
      <c r="E48" s="41"/>
      <c r="F48" s="99"/>
      <c r="G48" s="105"/>
      <c r="H48" s="106"/>
      <c r="I48"/>
      <c r="J48" s="69" t="str">
        <f t="shared" si="1"/>
        <v>Código Unificado</v>
      </c>
      <c r="K48" s="68">
        <f>COUNTIF('Base - Cód Barras'!A:A,C48)</f>
        <v>0</v>
      </c>
      <c r="L48"/>
      <c r="M48" s="63"/>
      <c r="N48" s="64" t="str">
        <f t="shared" si="3"/>
        <v>Não</v>
      </c>
      <c r="O48" s="12" t="str">
        <f t="shared" si="2"/>
        <v>;;;</v>
      </c>
      <c r="P48" s="24"/>
      <c r="Q48" s="9"/>
      <c r="R48" s="26"/>
    </row>
    <row r="49" spans="1:18">
      <c r="A49" s="111"/>
      <c r="B49" s="41"/>
      <c r="C49" s="46"/>
      <c r="D49" s="40"/>
      <c r="E49" s="41"/>
      <c r="F49" s="99"/>
      <c r="G49" s="105"/>
      <c r="H49" s="106"/>
      <c r="I49"/>
      <c r="J49" s="69" t="str">
        <f t="shared" si="1"/>
        <v>Código Unificado</v>
      </c>
      <c r="K49" s="68">
        <f>COUNTIF('Base - Cód Barras'!A:A,C49)</f>
        <v>0</v>
      </c>
      <c r="L49"/>
      <c r="M49" s="63"/>
      <c r="N49" s="64" t="str">
        <f t="shared" si="3"/>
        <v>Não</v>
      </c>
      <c r="O49" s="12" t="str">
        <f t="shared" si="2"/>
        <v>;;;</v>
      </c>
      <c r="P49" s="24"/>
      <c r="Q49" s="9"/>
      <c r="R49" s="26"/>
    </row>
    <row r="50" spans="1:18">
      <c r="A50" s="111"/>
      <c r="B50" s="41"/>
      <c r="C50" s="48"/>
      <c r="D50" s="40"/>
      <c r="E50" s="41"/>
      <c r="F50" s="99"/>
      <c r="G50" s="105"/>
      <c r="H50" s="106"/>
      <c r="I50"/>
      <c r="J50" s="69" t="str">
        <f t="shared" si="1"/>
        <v>Código Unificado</v>
      </c>
      <c r="K50" s="68">
        <f>COUNTIF('Base - Cód Barras'!A:A,C50)</f>
        <v>0</v>
      </c>
      <c r="L50"/>
      <c r="M50" s="63"/>
      <c r="N50" s="64" t="str">
        <f t="shared" si="3"/>
        <v>Não</v>
      </c>
      <c r="O50" s="12" t="str">
        <f t="shared" si="2"/>
        <v>;;;</v>
      </c>
      <c r="P50" s="24"/>
      <c r="Q50" s="9"/>
      <c r="R50" s="26"/>
    </row>
    <row r="51" spans="1:18">
      <c r="A51" s="111"/>
      <c r="B51" s="41"/>
      <c r="C51" s="48"/>
      <c r="D51" s="40"/>
      <c r="E51" s="41"/>
      <c r="F51" s="99"/>
      <c r="G51" s="105"/>
      <c r="H51" s="106"/>
      <c r="I51"/>
      <c r="J51" s="69" t="str">
        <f t="shared" si="1"/>
        <v>Código Unificado</v>
      </c>
      <c r="K51" s="68">
        <f>COUNTIF('Base - Cód Barras'!A:A,C51)</f>
        <v>0</v>
      </c>
      <c r="L51"/>
      <c r="M51" s="63"/>
      <c r="N51" s="64" t="str">
        <f t="shared" si="3"/>
        <v>Não</v>
      </c>
      <c r="O51" s="12" t="str">
        <f t="shared" si="2"/>
        <v>;;;</v>
      </c>
      <c r="P51" s="24"/>
      <c r="Q51" s="9"/>
      <c r="R51" s="26"/>
    </row>
    <row r="52" spans="1:18">
      <c r="A52" s="111"/>
      <c r="B52" s="41"/>
      <c r="C52" s="48"/>
      <c r="D52" s="40"/>
      <c r="E52" s="41"/>
      <c r="F52" s="99"/>
      <c r="G52" s="105"/>
      <c r="H52" s="106"/>
      <c r="I52"/>
      <c r="J52" s="69" t="str">
        <f t="shared" si="1"/>
        <v>Código Unificado</v>
      </c>
      <c r="K52" s="68">
        <f>COUNTIF('Base - Cód Barras'!A:A,C52)</f>
        <v>0</v>
      </c>
      <c r="L52"/>
      <c r="M52" s="63"/>
      <c r="N52" s="64" t="str">
        <f t="shared" si="3"/>
        <v>Não</v>
      </c>
      <c r="O52" s="12" t="str">
        <f t="shared" si="2"/>
        <v>;;;</v>
      </c>
      <c r="P52" s="24"/>
      <c r="Q52" s="9"/>
      <c r="R52" s="26"/>
    </row>
    <row r="53" spans="1:18">
      <c r="A53" s="111"/>
      <c r="B53" s="41"/>
      <c r="C53" s="48"/>
      <c r="D53" s="40"/>
      <c r="E53" s="41"/>
      <c r="F53" s="99"/>
      <c r="G53" s="105"/>
      <c r="H53" s="106"/>
      <c r="I53"/>
      <c r="J53" s="69" t="str">
        <f t="shared" si="1"/>
        <v>Código Unificado</v>
      </c>
      <c r="K53" s="68">
        <f>COUNTIF('Base - Cód Barras'!A:A,C53)</f>
        <v>0</v>
      </c>
      <c r="L53"/>
      <c r="M53" s="63"/>
      <c r="N53" s="64" t="str">
        <f t="shared" si="3"/>
        <v>Não</v>
      </c>
      <c r="O53" s="12" t="str">
        <f t="shared" si="2"/>
        <v>;;;</v>
      </c>
      <c r="P53" s="24"/>
      <c r="Q53" s="9"/>
      <c r="R53" s="26"/>
    </row>
    <row r="54" spans="1:18">
      <c r="A54" s="111"/>
      <c r="B54" s="41"/>
      <c r="C54" s="48"/>
      <c r="D54" s="40"/>
      <c r="E54" s="41"/>
      <c r="F54" s="99"/>
      <c r="G54" s="105"/>
      <c r="H54" s="106"/>
      <c r="I54"/>
      <c r="J54" s="69" t="str">
        <f t="shared" si="1"/>
        <v>Código Unificado</v>
      </c>
      <c r="K54" s="68">
        <f>COUNTIF('Base - Cód Barras'!A:A,C54)</f>
        <v>0</v>
      </c>
      <c r="L54"/>
      <c r="M54" s="63"/>
      <c r="N54" s="64" t="str">
        <f t="shared" si="3"/>
        <v>Não</v>
      </c>
      <c r="O54" s="12" t="str">
        <f t="shared" si="2"/>
        <v>;;;</v>
      </c>
      <c r="P54" s="24"/>
      <c r="Q54" s="9"/>
      <c r="R54" s="26"/>
    </row>
    <row r="55" spans="1:18">
      <c r="A55" s="111"/>
      <c r="B55" s="41"/>
      <c r="C55" s="48"/>
      <c r="D55" s="40"/>
      <c r="E55" s="41"/>
      <c r="F55" s="99"/>
      <c r="G55" s="105"/>
      <c r="H55" s="106"/>
      <c r="I55"/>
      <c r="J55" s="69" t="str">
        <f t="shared" si="1"/>
        <v>Código Unificado</v>
      </c>
      <c r="K55" s="68">
        <f>COUNTIF('Base - Cód Barras'!A:A,C55)</f>
        <v>0</v>
      </c>
      <c r="L55"/>
      <c r="M55" s="63"/>
      <c r="N55" s="64" t="str">
        <f t="shared" si="3"/>
        <v>Não</v>
      </c>
      <c r="O55" s="12" t="str">
        <f t="shared" si="2"/>
        <v>;;;</v>
      </c>
      <c r="P55" s="24"/>
      <c r="Q55" s="9"/>
      <c r="R55" s="26"/>
    </row>
    <row r="56" spans="1:18">
      <c r="A56" s="111"/>
      <c r="B56" s="41"/>
      <c r="C56" s="46"/>
      <c r="D56" s="40"/>
      <c r="E56" s="41"/>
      <c r="F56" s="99"/>
      <c r="G56" s="105"/>
      <c r="H56" s="106"/>
      <c r="I56"/>
      <c r="J56" s="69" t="str">
        <f t="shared" si="1"/>
        <v>Código Unificado</v>
      </c>
      <c r="K56" s="68">
        <f>COUNTIF('Base - Cód Barras'!A:A,C56)</f>
        <v>0</v>
      </c>
      <c r="L56"/>
      <c r="M56" s="63"/>
      <c r="N56" s="64" t="str">
        <f t="shared" si="3"/>
        <v>Não</v>
      </c>
      <c r="O56" s="12" t="str">
        <f t="shared" si="2"/>
        <v>;;;</v>
      </c>
      <c r="P56" s="24"/>
      <c r="Q56" s="9"/>
      <c r="R56" s="26"/>
    </row>
    <row r="57" spans="1:18">
      <c r="A57" s="111"/>
      <c r="B57" s="41"/>
      <c r="C57" s="46"/>
      <c r="D57" s="40"/>
      <c r="E57" s="41"/>
      <c r="F57" s="99"/>
      <c r="G57" s="105"/>
      <c r="H57" s="106"/>
      <c r="I57"/>
      <c r="J57" s="69" t="str">
        <f t="shared" si="1"/>
        <v>Código Unificado</v>
      </c>
      <c r="K57" s="68">
        <f>COUNTIF('Base - Cód Barras'!A:A,C57)</f>
        <v>0</v>
      </c>
      <c r="L57"/>
      <c r="M57" s="63"/>
      <c r="N57" s="64" t="str">
        <f t="shared" si="3"/>
        <v>Não</v>
      </c>
      <c r="O57" s="12" t="str">
        <f t="shared" si="2"/>
        <v>;;;</v>
      </c>
      <c r="P57" s="24"/>
      <c r="Q57" s="9"/>
      <c r="R57" s="26"/>
    </row>
    <row r="58" spans="1:18">
      <c r="A58" s="111"/>
      <c r="B58" s="41"/>
      <c r="C58" s="46"/>
      <c r="D58" s="40"/>
      <c r="E58" s="41"/>
      <c r="F58" s="99"/>
      <c r="G58" s="105"/>
      <c r="H58" s="106"/>
      <c r="I58"/>
      <c r="J58" s="69" t="str">
        <f t="shared" si="1"/>
        <v>Código Unificado</v>
      </c>
      <c r="K58" s="68">
        <f>COUNTIF('Base - Cód Barras'!A:A,C58)</f>
        <v>0</v>
      </c>
      <c r="L58"/>
      <c r="M58" s="63"/>
      <c r="N58" s="64" t="str">
        <f t="shared" si="3"/>
        <v>Não</v>
      </c>
      <c r="O58" s="12" t="str">
        <f t="shared" si="2"/>
        <v>;;;</v>
      </c>
      <c r="P58" s="24"/>
      <c r="Q58" s="9"/>
      <c r="R58" s="26"/>
    </row>
    <row r="59" spans="1:18">
      <c r="A59" s="111"/>
      <c r="B59" s="41"/>
      <c r="C59" s="46"/>
      <c r="D59" s="40"/>
      <c r="E59" s="41"/>
      <c r="F59" s="99"/>
      <c r="G59" s="105"/>
      <c r="H59" s="106"/>
      <c r="I59"/>
      <c r="J59" s="69" t="str">
        <f t="shared" si="1"/>
        <v>Código Unificado</v>
      </c>
      <c r="K59" s="68">
        <f>COUNTIF('Base - Cód Barras'!A:A,C59)</f>
        <v>0</v>
      </c>
      <c r="L59"/>
      <c r="M59" s="63"/>
      <c r="N59" s="64" t="str">
        <f t="shared" si="3"/>
        <v>Não</v>
      </c>
      <c r="O59" s="12" t="str">
        <f t="shared" si="2"/>
        <v>;;;</v>
      </c>
      <c r="P59" s="24"/>
      <c r="Q59" s="9"/>
      <c r="R59" s="26"/>
    </row>
    <row r="60" spans="1:18">
      <c r="A60" s="111"/>
      <c r="B60" s="41"/>
      <c r="C60" s="48"/>
      <c r="D60" s="40"/>
      <c r="E60" s="41"/>
      <c r="F60" s="99"/>
      <c r="G60" s="105"/>
      <c r="H60" s="106"/>
      <c r="I60"/>
      <c r="J60" s="69" t="str">
        <f t="shared" si="1"/>
        <v>Código Unificado</v>
      </c>
      <c r="K60" s="68">
        <f>COUNTIF('Base - Cód Barras'!A:A,C60)</f>
        <v>0</v>
      </c>
      <c r="L60"/>
      <c r="M60" s="63"/>
      <c r="N60" s="64" t="str">
        <f t="shared" si="3"/>
        <v>Não</v>
      </c>
      <c r="O60" s="12" t="str">
        <f t="shared" si="2"/>
        <v>;;;</v>
      </c>
      <c r="P60" s="24"/>
      <c r="Q60" s="9"/>
      <c r="R60" s="26"/>
    </row>
    <row r="61" spans="1:18">
      <c r="A61" s="111"/>
      <c r="B61" s="41"/>
      <c r="C61" s="48"/>
      <c r="D61" s="40"/>
      <c r="E61" s="41"/>
      <c r="F61" s="99"/>
      <c r="G61" s="105"/>
      <c r="H61" s="106"/>
      <c r="I61"/>
      <c r="J61" s="69" t="str">
        <f t="shared" si="1"/>
        <v>Código Unificado</v>
      </c>
      <c r="K61" s="68">
        <f>COUNTIF('Base - Cód Barras'!A:A,C61)</f>
        <v>0</v>
      </c>
      <c r="L61"/>
      <c r="M61" s="63"/>
      <c r="N61" s="64" t="str">
        <f t="shared" si="3"/>
        <v>Não</v>
      </c>
      <c r="O61" s="12" t="str">
        <f t="shared" si="2"/>
        <v>;;;</v>
      </c>
      <c r="P61" s="24"/>
      <c r="Q61" s="9"/>
      <c r="R61" s="26"/>
    </row>
    <row r="62" spans="1:18">
      <c r="A62" s="111"/>
      <c r="B62" s="41"/>
      <c r="C62" s="48"/>
      <c r="D62" s="40"/>
      <c r="E62" s="41"/>
      <c r="F62" s="99"/>
      <c r="G62" s="105"/>
      <c r="H62" s="106"/>
      <c r="I62"/>
      <c r="J62" s="69" t="str">
        <f t="shared" si="1"/>
        <v>Código Unificado</v>
      </c>
      <c r="K62" s="68">
        <f>COUNTIF('Base - Cód Barras'!A:A,C62)</f>
        <v>0</v>
      </c>
      <c r="L62"/>
      <c r="M62" s="63"/>
      <c r="N62" s="64" t="str">
        <f>(IFERROR(IF(VLOOKUP(H62,$H$3:$H$39,1,0),"Sim","Não"),"Não"))</f>
        <v>Não</v>
      </c>
      <c r="O62" s="12" t="str">
        <f t="shared" si="2"/>
        <v>;;;</v>
      </c>
      <c r="P62" s="24"/>
      <c r="Q62" s="9"/>
      <c r="R62" s="26"/>
    </row>
    <row r="63" spans="1:18">
      <c r="A63" s="111"/>
      <c r="B63" s="41"/>
      <c r="C63" s="48"/>
      <c r="D63" s="40"/>
      <c r="E63" s="41"/>
      <c r="F63" s="99"/>
      <c r="G63" s="105"/>
      <c r="H63" s="106"/>
      <c r="I63"/>
      <c r="J63" s="69" t="str">
        <f t="shared" si="1"/>
        <v>Código Unificado</v>
      </c>
      <c r="K63" s="68">
        <f>COUNTIF('Base - Cód Barras'!A:A,C63)</f>
        <v>0</v>
      </c>
      <c r="L63"/>
      <c r="M63" s="63"/>
      <c r="N63" s="64" t="str">
        <f t="shared" si="3"/>
        <v>Não</v>
      </c>
      <c r="O63" s="12" t="str">
        <f t="shared" si="2"/>
        <v>;;;</v>
      </c>
      <c r="P63" s="24"/>
      <c r="Q63" s="9"/>
      <c r="R63" s="26"/>
    </row>
    <row r="64" spans="1:18">
      <c r="A64" s="111"/>
      <c r="B64" s="41"/>
      <c r="C64" s="48"/>
      <c r="D64" s="40"/>
      <c r="E64" s="41"/>
      <c r="F64" s="99"/>
      <c r="G64" s="105"/>
      <c r="H64" s="106"/>
      <c r="I64"/>
      <c r="J64" s="69" t="str">
        <f t="shared" si="1"/>
        <v>Código Unificado</v>
      </c>
      <c r="K64" s="68">
        <f>COUNTIF('Base - Cód Barras'!A:A,C64)</f>
        <v>0</v>
      </c>
      <c r="L64"/>
      <c r="M64" s="63"/>
      <c r="N64" s="64" t="str">
        <f>(IFERROR(IF(VLOOKUP(H64,$H$3:$H$39,1,0),"Sim","Não"),"Não"))</f>
        <v>Não</v>
      </c>
      <c r="O64" s="12" t="str">
        <f t="shared" si="2"/>
        <v>;;;</v>
      </c>
      <c r="P64" s="24"/>
      <c r="Q64" s="9"/>
      <c r="R64" s="26"/>
    </row>
    <row r="65" spans="1:18">
      <c r="A65" s="111"/>
      <c r="B65" s="41"/>
      <c r="C65" s="48"/>
      <c r="D65" s="40"/>
      <c r="E65" s="41"/>
      <c r="F65" s="99"/>
      <c r="G65" s="105"/>
      <c r="H65" s="106"/>
      <c r="I65"/>
      <c r="J65" s="69" t="str">
        <f t="shared" si="1"/>
        <v>Código Unificado</v>
      </c>
      <c r="K65" s="68">
        <f>COUNTIF('Base - Cód Barras'!A:A,C65)</f>
        <v>0</v>
      </c>
      <c r="L65"/>
      <c r="M65" s="63"/>
      <c r="N65" s="64" t="str">
        <f t="shared" si="3"/>
        <v>Não</v>
      </c>
      <c r="O65" s="12" t="str">
        <f t="shared" si="2"/>
        <v>;;;</v>
      </c>
      <c r="P65" s="24"/>
      <c r="Q65" s="9"/>
      <c r="R65" s="26"/>
    </row>
    <row r="66" spans="1:18">
      <c r="A66" s="111"/>
      <c r="B66" s="41"/>
      <c r="C66" s="46"/>
      <c r="D66" s="40"/>
      <c r="E66" s="41"/>
      <c r="F66" s="99"/>
      <c r="G66" s="105"/>
      <c r="H66" s="106"/>
      <c r="I66"/>
      <c r="J66" s="69" t="str">
        <f t="shared" si="1"/>
        <v>Código Unificado</v>
      </c>
      <c r="K66" s="68">
        <f>COUNTIF('Base - Cód Barras'!A:A,C66)</f>
        <v>0</v>
      </c>
      <c r="L66"/>
      <c r="M66" s="63"/>
      <c r="N66" s="64" t="str">
        <f t="shared" si="3"/>
        <v>Não</v>
      </c>
      <c r="O66" s="12" t="str">
        <f t="shared" si="2"/>
        <v>;;;</v>
      </c>
      <c r="P66" s="24"/>
      <c r="Q66" s="9"/>
      <c r="R66" s="26"/>
    </row>
    <row r="67" spans="1:18">
      <c r="A67" s="111"/>
      <c r="B67" s="41"/>
      <c r="C67" s="46"/>
      <c r="D67" s="40"/>
      <c r="E67" s="41"/>
      <c r="F67" s="99"/>
      <c r="G67" s="105"/>
      <c r="H67" s="106"/>
      <c r="I67"/>
      <c r="J67" s="69" t="str">
        <f t="shared" si="1"/>
        <v>Código Unificado</v>
      </c>
      <c r="K67" s="68">
        <f>COUNTIF('Base - Cód Barras'!A:A,C67)</f>
        <v>0</v>
      </c>
      <c r="L67"/>
      <c r="M67" s="63"/>
      <c r="N67" s="64" t="str">
        <f t="shared" si="3"/>
        <v>Não</v>
      </c>
      <c r="O67" s="12" t="str">
        <f t="shared" si="2"/>
        <v>;;;</v>
      </c>
      <c r="P67" s="24"/>
      <c r="Q67" s="9"/>
      <c r="R67" s="26"/>
    </row>
    <row r="68" spans="1:18">
      <c r="A68" s="111"/>
      <c r="B68" s="41"/>
      <c r="C68" s="46"/>
      <c r="D68" s="40"/>
      <c r="E68" s="41"/>
      <c r="F68" s="99"/>
      <c r="G68" s="105"/>
      <c r="H68" s="106"/>
      <c r="I68"/>
      <c r="J68" s="69" t="str">
        <f t="shared" ref="J68:J69" si="4">IF(ISTEXT(H68), "", IF(LEN(TEXT(H68,"0"))&lt;6, "Código Unificado", "EAN"))</f>
        <v>Código Unificado</v>
      </c>
      <c r="K68" s="68">
        <f>COUNTIF('Base - Cód Barras'!A:A,C68)</f>
        <v>0</v>
      </c>
      <c r="L68"/>
      <c r="M68" s="63"/>
      <c r="N68" s="64" t="str">
        <f t="shared" si="3"/>
        <v>Não</v>
      </c>
      <c r="O68" s="12" t="str">
        <f t="shared" si="2"/>
        <v>;;;</v>
      </c>
      <c r="P68" s="24"/>
      <c r="Q68" s="9"/>
      <c r="R68" s="26"/>
    </row>
    <row r="69" spans="1:18" ht="15.75" thickBot="1">
      <c r="A69" s="112"/>
      <c r="B69" s="43"/>
      <c r="C69" s="47"/>
      <c r="D69" s="42"/>
      <c r="E69" s="43"/>
      <c r="F69" s="113"/>
      <c r="G69" s="107"/>
      <c r="H69" s="108"/>
      <c r="I69"/>
      <c r="J69" s="69" t="str">
        <f t="shared" si="4"/>
        <v>Código Unificado</v>
      </c>
      <c r="K69" s="135">
        <f>COUNTIF('Base - Cód Barras'!A:A,C69)</f>
        <v>0</v>
      </c>
      <c r="L69"/>
      <c r="M69" s="65"/>
      <c r="N69" s="66" t="str">
        <f t="shared" si="3"/>
        <v>Não</v>
      </c>
      <c r="O69" s="18" t="str">
        <f t="shared" si="2"/>
        <v>;;;</v>
      </c>
      <c r="P69" s="27"/>
      <c r="Q69" s="30"/>
      <c r="R69" s="28"/>
    </row>
  </sheetData>
  <sheetProtection insertRows="0" deleteRows="0" sort="0" autoFilter="0"/>
  <protectedRanges>
    <protectedRange sqref="S1:S12 V1:AQ12 S13:AQ1048576" name="Intervalo4_3"/>
    <protectedRange sqref="A1:H1048576" name="Intervalo1_3"/>
    <protectedRange sqref="M2:R2" name="Intervalo2_1_2"/>
    <protectedRange sqref="P2:R991 M2:N1089" name="Intervalo1_1_2"/>
    <protectedRange sqref="T4:U12 T1:U2" name="Intervalo4_1_2"/>
  </protectedRanges>
  <mergeCells count="6">
    <mergeCell ref="J1:J2"/>
    <mergeCell ref="T1:U1"/>
    <mergeCell ref="M1:R1"/>
    <mergeCell ref="K1:K2"/>
    <mergeCell ref="T6:T12"/>
    <mergeCell ref="U6:U12"/>
  </mergeCells>
  <phoneticPr fontId="8" type="noConversion"/>
  <conditionalFormatting sqref="N3:N69">
    <cfRule type="containsText" dxfId="3" priority="1" operator="containsText" text="Não">
      <formula>NOT(ISERROR(SEARCH("Não",N3)))</formula>
    </cfRule>
    <cfRule type="containsText" dxfId="2" priority="2" operator="containsText" text="Sim">
      <formula>NOT(ISERROR(SEARCH("Sim",N3)))</formula>
    </cfRule>
  </conditionalFormatting>
  <dataValidations disablePrompts="1" xWindow="855" yWindow="335" count="2">
    <dataValidation allowBlank="1" showInputMessage="1" promptTitle="Status" prompt="Se algum item estiver escrito &quot;CADASTRADO&quot;, não flegar, pois este código de barras já foi cadastrado no aplicativo." sqref="P2" xr:uid="{B814D420-D4ED-4331-B448-75E6F4710EDC}"/>
    <dataValidation allowBlank="1" showInputMessage="1" showErrorMessage="1" promptTitle="Verificar" prompt="Flegar todas as opções, menos a opção &quot;SIM&quot;, deixar essa opção fora do fleg do filtro." sqref="N2" xr:uid="{488CBA17-13BB-4C10-9A9B-C1E8C2BDD65A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FE8F-C0A1-4135-B26E-85DD1E246886}">
  <sheetPr codeName="Planilha69">
    <tabColor rgb="FFFFC000"/>
  </sheetPr>
  <dimension ref="A1:D2981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5"/>
  <cols>
    <col min="1" max="1" width="86.7109375" customWidth="1"/>
    <col min="2" max="2" width="19.5703125" style="3" bestFit="1" customWidth="1"/>
    <col min="3" max="3" width="65.5703125" customWidth="1"/>
    <col min="4" max="4" width="29" bestFit="1" customWidth="1"/>
  </cols>
  <sheetData>
    <row r="1" spans="1:4" ht="49.5" customHeight="1">
      <c r="A1" s="74" t="s">
        <v>2916</v>
      </c>
      <c r="B1" s="45" t="s">
        <v>2297</v>
      </c>
      <c r="C1" s="44" t="s">
        <v>152</v>
      </c>
      <c r="D1" s="45" t="s">
        <v>79</v>
      </c>
    </row>
    <row r="2" spans="1:4">
      <c r="A2" s="70" t="s">
        <v>2197</v>
      </c>
      <c r="B2" s="17" t="s">
        <v>2285</v>
      </c>
      <c r="C2" s="16" t="s">
        <v>280</v>
      </c>
      <c r="D2" s="13">
        <v>7500435127288</v>
      </c>
    </row>
    <row r="3" spans="1:4">
      <c r="A3" s="70" t="s">
        <v>2197</v>
      </c>
      <c r="B3" s="17" t="s">
        <v>2285</v>
      </c>
      <c r="C3" s="16" t="s">
        <v>281</v>
      </c>
      <c r="D3" s="13">
        <v>7500435126199</v>
      </c>
    </row>
    <row r="4" spans="1:4">
      <c r="A4" s="70" t="s">
        <v>1265</v>
      </c>
      <c r="B4" s="17" t="s">
        <v>2285</v>
      </c>
      <c r="C4" s="16" t="s">
        <v>1271</v>
      </c>
      <c r="D4" s="13">
        <v>7896007547685</v>
      </c>
    </row>
    <row r="5" spans="1:4">
      <c r="A5" s="70" t="s">
        <v>342</v>
      </c>
      <c r="B5" s="17" t="s">
        <v>2285</v>
      </c>
      <c r="C5" s="16" t="s">
        <v>345</v>
      </c>
      <c r="D5" s="13">
        <v>7896007544042</v>
      </c>
    </row>
    <row r="6" spans="1:4">
      <c r="A6" s="70" t="s">
        <v>342</v>
      </c>
      <c r="B6" s="17" t="s">
        <v>2285</v>
      </c>
      <c r="C6" s="16" t="s">
        <v>346</v>
      </c>
      <c r="D6" s="13">
        <v>7896007544059</v>
      </c>
    </row>
    <row r="7" spans="1:4">
      <c r="A7" s="70" t="s">
        <v>78</v>
      </c>
      <c r="B7" s="17" t="s">
        <v>2285</v>
      </c>
      <c r="C7" s="16" t="s">
        <v>315</v>
      </c>
      <c r="D7" s="13">
        <v>7896007547647</v>
      </c>
    </row>
    <row r="8" spans="1:4">
      <c r="A8" s="70" t="s">
        <v>78</v>
      </c>
      <c r="B8" s="17" t="s">
        <v>2285</v>
      </c>
      <c r="C8" s="16" t="s">
        <v>316</v>
      </c>
      <c r="D8" s="13">
        <v>7896007547654</v>
      </c>
    </row>
    <row r="9" spans="1:4">
      <c r="A9" s="70" t="s">
        <v>1438</v>
      </c>
      <c r="B9" s="17" t="s">
        <v>2288</v>
      </c>
      <c r="C9" s="16" t="s">
        <v>1442</v>
      </c>
      <c r="D9" s="13">
        <v>7896594971290</v>
      </c>
    </row>
    <row r="10" spans="1:4">
      <c r="A10" s="70" t="s">
        <v>1438</v>
      </c>
      <c r="B10" s="17" t="s">
        <v>2288</v>
      </c>
      <c r="C10" s="16" t="s">
        <v>1447</v>
      </c>
      <c r="D10" s="13">
        <v>7896594971559</v>
      </c>
    </row>
    <row r="11" spans="1:4">
      <c r="A11" s="70" t="s">
        <v>1438</v>
      </c>
      <c r="B11" s="17" t="s">
        <v>2288</v>
      </c>
      <c r="C11" s="16" t="s">
        <v>1485</v>
      </c>
      <c r="D11" s="13">
        <v>7896594971610</v>
      </c>
    </row>
    <row r="12" spans="1:4">
      <c r="A12" s="70" t="s">
        <v>1438</v>
      </c>
      <c r="B12" s="17" t="s">
        <v>2288</v>
      </c>
      <c r="C12" s="16" t="s">
        <v>1443</v>
      </c>
      <c r="D12" s="13">
        <v>7896594971306</v>
      </c>
    </row>
    <row r="13" spans="1:4">
      <c r="A13" s="70" t="s">
        <v>1438</v>
      </c>
      <c r="B13" s="17" t="s">
        <v>2288</v>
      </c>
      <c r="C13" s="16" t="s">
        <v>1444</v>
      </c>
      <c r="D13" s="13">
        <v>7896594971283</v>
      </c>
    </row>
    <row r="14" spans="1:4">
      <c r="A14" s="70" t="s">
        <v>126</v>
      </c>
      <c r="B14" s="17" t="s">
        <v>2281</v>
      </c>
      <c r="C14" s="16" t="s">
        <v>200</v>
      </c>
      <c r="D14" s="13">
        <v>7896224836098</v>
      </c>
    </row>
    <row r="15" spans="1:4">
      <c r="A15" s="70" t="s">
        <v>455</v>
      </c>
      <c r="B15" s="17" t="s">
        <v>2281</v>
      </c>
      <c r="C15" s="16" t="s">
        <v>475</v>
      </c>
      <c r="D15" s="13">
        <v>7896060037451</v>
      </c>
    </row>
    <row r="16" spans="1:4">
      <c r="A16" s="70" t="s">
        <v>963</v>
      </c>
      <c r="B16" s="17" t="s">
        <v>2281</v>
      </c>
      <c r="C16" s="16" t="s">
        <v>995</v>
      </c>
      <c r="D16" s="13">
        <v>7896072005080</v>
      </c>
    </row>
    <row r="17" spans="1:4">
      <c r="A17" s="70" t="s">
        <v>1139</v>
      </c>
      <c r="B17" s="17" t="s">
        <v>2281</v>
      </c>
      <c r="C17" s="16" t="s">
        <v>1759</v>
      </c>
      <c r="D17" s="13">
        <v>7891000053508</v>
      </c>
    </row>
    <row r="18" spans="1:4">
      <c r="A18" s="70" t="s">
        <v>1867</v>
      </c>
      <c r="B18" s="17" t="s">
        <v>2281</v>
      </c>
      <c r="C18" s="16" t="s">
        <v>1868</v>
      </c>
      <c r="D18" s="13">
        <v>7891000338162</v>
      </c>
    </row>
    <row r="19" spans="1:4">
      <c r="A19" s="70" t="s">
        <v>432</v>
      </c>
      <c r="B19" s="17" t="s">
        <v>2281</v>
      </c>
      <c r="C19" s="16" t="s">
        <v>427</v>
      </c>
      <c r="D19" s="13">
        <v>7891000067178</v>
      </c>
    </row>
    <row r="20" spans="1:4">
      <c r="A20" s="70" t="s">
        <v>2003</v>
      </c>
      <c r="B20" s="17" t="s">
        <v>2281</v>
      </c>
      <c r="C20" s="16" t="s">
        <v>2007</v>
      </c>
      <c r="D20" s="13">
        <v>7891000352175</v>
      </c>
    </row>
    <row r="21" spans="1:4">
      <c r="A21" s="70" t="s">
        <v>2003</v>
      </c>
      <c r="B21" s="17" t="s">
        <v>2281</v>
      </c>
      <c r="C21" s="16" t="s">
        <v>2007</v>
      </c>
      <c r="D21" s="13">
        <v>7891000355756</v>
      </c>
    </row>
    <row r="22" spans="1:4">
      <c r="A22" s="70" t="s">
        <v>2290</v>
      </c>
      <c r="B22" s="17" t="s">
        <v>2281</v>
      </c>
      <c r="C22" s="16" t="s">
        <v>2298</v>
      </c>
      <c r="D22" s="13">
        <v>7892840819507</v>
      </c>
    </row>
    <row r="23" spans="1:4">
      <c r="A23" s="70" t="s">
        <v>1297</v>
      </c>
      <c r="B23" s="17" t="s">
        <v>2281</v>
      </c>
      <c r="C23" s="16" t="s">
        <v>730</v>
      </c>
      <c r="D23" s="13">
        <v>7894321711263</v>
      </c>
    </row>
    <row r="24" spans="1:4">
      <c r="A24" s="70" t="s">
        <v>967</v>
      </c>
      <c r="B24" s="17" t="s">
        <v>2281</v>
      </c>
      <c r="C24" s="16" t="s">
        <v>991</v>
      </c>
      <c r="D24" s="13">
        <v>7891000053508</v>
      </c>
    </row>
    <row r="25" spans="1:4">
      <c r="A25" s="70" t="s">
        <v>357</v>
      </c>
      <c r="B25" s="17" t="s">
        <v>2280</v>
      </c>
      <c r="C25" s="16" t="s">
        <v>365</v>
      </c>
      <c r="D25" s="13">
        <v>7898187830052</v>
      </c>
    </row>
    <row r="26" spans="1:4">
      <c r="A26" s="70" t="s">
        <v>141</v>
      </c>
      <c r="B26" s="17" t="s">
        <v>2280</v>
      </c>
      <c r="C26" s="16" t="s">
        <v>157</v>
      </c>
      <c r="D26" s="13">
        <v>7891959009922</v>
      </c>
    </row>
    <row r="27" spans="1:4">
      <c r="A27" s="70" t="s">
        <v>1402</v>
      </c>
      <c r="B27" s="17" t="s">
        <v>2280</v>
      </c>
      <c r="C27" s="16" t="s">
        <v>1408</v>
      </c>
      <c r="D27" s="13">
        <v>7891910020065</v>
      </c>
    </row>
    <row r="28" spans="1:4">
      <c r="A28" s="70" t="s">
        <v>2156</v>
      </c>
      <c r="B28" s="17" t="s">
        <v>2281</v>
      </c>
      <c r="C28" s="16" t="s">
        <v>2161</v>
      </c>
      <c r="D28" s="13">
        <v>7896292001404</v>
      </c>
    </row>
    <row r="29" spans="1:4">
      <c r="A29" s="70" t="s">
        <v>29</v>
      </c>
      <c r="B29" s="17" t="s">
        <v>2280</v>
      </c>
      <c r="C29" s="16" t="s">
        <v>156</v>
      </c>
      <c r="D29" s="13">
        <v>7896508200034</v>
      </c>
    </row>
    <row r="30" spans="1:4">
      <c r="A30" s="70" t="s">
        <v>310</v>
      </c>
      <c r="B30" s="17" t="s">
        <v>2280</v>
      </c>
      <c r="C30" s="16" t="s">
        <v>312</v>
      </c>
      <c r="D30" s="13">
        <v>7891910000197</v>
      </c>
    </row>
    <row r="31" spans="1:4">
      <c r="A31" s="70" t="s">
        <v>112</v>
      </c>
      <c r="B31" s="17" t="s">
        <v>2281</v>
      </c>
      <c r="C31" s="16" t="s">
        <v>1043</v>
      </c>
      <c r="D31" s="13">
        <v>7896292001442</v>
      </c>
    </row>
    <row r="32" spans="1:4">
      <c r="A32" s="70" t="s">
        <v>70</v>
      </c>
      <c r="B32" s="17" t="s">
        <v>2283</v>
      </c>
      <c r="C32" s="16" t="s">
        <v>1228</v>
      </c>
      <c r="D32" s="13">
        <v>7898370103550</v>
      </c>
    </row>
    <row r="33" spans="1:4">
      <c r="A33" s="70" t="s">
        <v>1427</v>
      </c>
      <c r="B33" s="17" t="s">
        <v>2283</v>
      </c>
      <c r="C33" s="16" t="s">
        <v>1430</v>
      </c>
      <c r="D33" s="13">
        <v>7896288971117</v>
      </c>
    </row>
    <row r="34" spans="1:4">
      <c r="A34" s="70" t="s">
        <v>1603</v>
      </c>
      <c r="B34" s="17" t="s">
        <v>2283</v>
      </c>
      <c r="C34" s="16" t="s">
        <v>1613</v>
      </c>
      <c r="D34" s="13">
        <v>7896288988887</v>
      </c>
    </row>
    <row r="35" spans="1:4">
      <c r="A35" s="70" t="s">
        <v>1550</v>
      </c>
      <c r="B35" s="17" t="s">
        <v>2283</v>
      </c>
      <c r="C35" s="16" t="s">
        <v>1565</v>
      </c>
      <c r="D35" s="13">
        <v>7894900530032</v>
      </c>
    </row>
    <row r="36" spans="1:4">
      <c r="A36" s="70" t="s">
        <v>529</v>
      </c>
      <c r="B36" s="17" t="s">
        <v>2286</v>
      </c>
      <c r="C36" s="16" t="s">
        <v>549</v>
      </c>
      <c r="D36" s="13">
        <v>7896183310370</v>
      </c>
    </row>
    <row r="37" spans="1:4">
      <c r="A37" s="70" t="s">
        <v>105</v>
      </c>
      <c r="B37" s="17" t="s">
        <v>2286</v>
      </c>
      <c r="C37" s="16" t="s">
        <v>1106</v>
      </c>
      <c r="D37" s="13">
        <v>7896183310066</v>
      </c>
    </row>
    <row r="38" spans="1:4">
      <c r="A38" s="70" t="s">
        <v>94</v>
      </c>
      <c r="B38" s="17" t="s">
        <v>2286</v>
      </c>
      <c r="C38" s="16" t="s">
        <v>1089</v>
      </c>
      <c r="D38" s="13">
        <v>7896090703609</v>
      </c>
    </row>
    <row r="39" spans="1:4">
      <c r="A39" s="70" t="s">
        <v>1725</v>
      </c>
      <c r="B39" s="17" t="s">
        <v>2286</v>
      </c>
      <c r="C39" s="16" t="s">
        <v>1670</v>
      </c>
      <c r="D39" s="13">
        <v>7500435160803</v>
      </c>
    </row>
    <row r="40" spans="1:4">
      <c r="A40" s="70" t="s">
        <v>1725</v>
      </c>
      <c r="B40" s="17" t="s">
        <v>2286</v>
      </c>
      <c r="C40" s="16" t="s">
        <v>224</v>
      </c>
      <c r="D40" s="13">
        <v>7506195143872</v>
      </c>
    </row>
    <row r="41" spans="1:4">
      <c r="A41" s="70" t="s">
        <v>1725</v>
      </c>
      <c r="B41" s="17" t="s">
        <v>2286</v>
      </c>
      <c r="C41" s="16" t="s">
        <v>1791</v>
      </c>
      <c r="D41" s="13">
        <v>7500435160032</v>
      </c>
    </row>
    <row r="42" spans="1:4">
      <c r="A42" s="70" t="s">
        <v>1725</v>
      </c>
      <c r="B42" s="17" t="s">
        <v>2286</v>
      </c>
      <c r="C42" s="16" t="s">
        <v>1792</v>
      </c>
      <c r="D42" s="13">
        <v>7500435159975</v>
      </c>
    </row>
    <row r="43" spans="1:4">
      <c r="A43" s="70" t="s">
        <v>1725</v>
      </c>
      <c r="B43" s="17" t="s">
        <v>2286</v>
      </c>
      <c r="C43" s="16" t="s">
        <v>223</v>
      </c>
      <c r="D43" s="13">
        <v>7506195143858</v>
      </c>
    </row>
    <row r="44" spans="1:4">
      <c r="A44" s="70" t="s">
        <v>1725</v>
      </c>
      <c r="B44" s="17" t="s">
        <v>2286</v>
      </c>
      <c r="C44" s="16" t="s">
        <v>225</v>
      </c>
      <c r="D44" s="13">
        <v>7506195143834</v>
      </c>
    </row>
    <row r="45" spans="1:4">
      <c r="A45" s="70" t="s">
        <v>1725</v>
      </c>
      <c r="B45" s="17" t="s">
        <v>2286</v>
      </c>
      <c r="C45" s="16" t="s">
        <v>1667</v>
      </c>
      <c r="D45" s="13">
        <v>7500435156981</v>
      </c>
    </row>
    <row r="46" spans="1:4">
      <c r="A46" s="70" t="s">
        <v>1725</v>
      </c>
      <c r="B46" s="17" t="s">
        <v>2286</v>
      </c>
      <c r="C46" s="16" t="s">
        <v>1471</v>
      </c>
      <c r="D46" s="13">
        <v>7500435153874</v>
      </c>
    </row>
    <row r="47" spans="1:4">
      <c r="A47" s="70" t="s">
        <v>1725</v>
      </c>
      <c r="B47" s="17" t="s">
        <v>2286</v>
      </c>
      <c r="C47" s="16" t="s">
        <v>1864</v>
      </c>
      <c r="D47" s="13">
        <v>7500435160087</v>
      </c>
    </row>
    <row r="48" spans="1:4">
      <c r="A48" s="70" t="s">
        <v>1725</v>
      </c>
      <c r="B48" s="17" t="s">
        <v>2286</v>
      </c>
      <c r="C48" s="16" t="s">
        <v>2040</v>
      </c>
      <c r="D48" s="13">
        <v>7500435201292</v>
      </c>
    </row>
    <row r="49" spans="1:4">
      <c r="A49" s="70" t="s">
        <v>1725</v>
      </c>
      <c r="B49" s="17" t="s">
        <v>2286</v>
      </c>
      <c r="C49" s="16" t="s">
        <v>1885</v>
      </c>
      <c r="D49" s="13">
        <v>7500435160056</v>
      </c>
    </row>
    <row r="50" spans="1:4">
      <c r="A50" s="70" t="s">
        <v>1725</v>
      </c>
      <c r="B50" s="17" t="s">
        <v>2286</v>
      </c>
      <c r="C50" s="16" t="s">
        <v>1671</v>
      </c>
      <c r="D50" s="13">
        <v>7500435148689</v>
      </c>
    </row>
    <row r="51" spans="1:4">
      <c r="A51" s="70" t="s">
        <v>1725</v>
      </c>
      <c r="B51" s="17" t="s">
        <v>2286</v>
      </c>
      <c r="C51" s="16" t="s">
        <v>2042</v>
      </c>
      <c r="D51" s="13">
        <v>7500435159999</v>
      </c>
    </row>
    <row r="52" spans="1:4">
      <c r="A52" s="70" t="s">
        <v>1725</v>
      </c>
      <c r="B52" s="17" t="s">
        <v>2286</v>
      </c>
      <c r="C52" s="16" t="s">
        <v>1672</v>
      </c>
      <c r="D52" s="13">
        <v>7500435148719</v>
      </c>
    </row>
    <row r="53" spans="1:4" ht="30">
      <c r="A53" s="70" t="s">
        <v>1464</v>
      </c>
      <c r="B53" s="17" t="s">
        <v>2286</v>
      </c>
      <c r="C53" s="16" t="s">
        <v>1471</v>
      </c>
      <c r="D53" s="13">
        <v>7500435153874</v>
      </c>
    </row>
    <row r="54" spans="1:4" ht="30">
      <c r="A54" s="70" t="s">
        <v>1464</v>
      </c>
      <c r="B54" s="17" t="s">
        <v>2286</v>
      </c>
      <c r="C54" s="16" t="s">
        <v>224</v>
      </c>
      <c r="D54" s="13">
        <v>7506195143872</v>
      </c>
    </row>
    <row r="55" spans="1:4" ht="30">
      <c r="A55" s="70" t="s">
        <v>1464</v>
      </c>
      <c r="B55" s="17" t="s">
        <v>2286</v>
      </c>
      <c r="C55" s="16" t="s">
        <v>223</v>
      </c>
      <c r="D55" s="13">
        <v>7506195143858</v>
      </c>
    </row>
    <row r="56" spans="1:4" ht="30">
      <c r="A56" s="70" t="s">
        <v>1464</v>
      </c>
      <c r="B56" s="17" t="s">
        <v>2286</v>
      </c>
      <c r="C56" s="16" t="s">
        <v>225</v>
      </c>
      <c r="D56" s="13">
        <v>7506195143834</v>
      </c>
    </row>
    <row r="57" spans="1:4">
      <c r="A57" s="70" t="s">
        <v>1939</v>
      </c>
      <c r="B57" s="17" t="s">
        <v>2286</v>
      </c>
      <c r="C57" s="16" t="s">
        <v>1941</v>
      </c>
      <c r="D57" s="13">
        <v>7500435198240</v>
      </c>
    </row>
    <row r="58" spans="1:4">
      <c r="A58" s="70" t="s">
        <v>95</v>
      </c>
      <c r="B58" s="17" t="s">
        <v>2286</v>
      </c>
      <c r="C58" s="16" t="s">
        <v>225</v>
      </c>
      <c r="D58" s="13">
        <v>7506195143834</v>
      </c>
    </row>
    <row r="59" spans="1:4">
      <c r="A59" s="70" t="s">
        <v>95</v>
      </c>
      <c r="B59" s="17" t="s">
        <v>2286</v>
      </c>
      <c r="C59" s="16" t="s">
        <v>224</v>
      </c>
      <c r="D59" s="13">
        <v>7506195143872</v>
      </c>
    </row>
    <row r="60" spans="1:4">
      <c r="A60" s="70" t="s">
        <v>95</v>
      </c>
      <c r="B60" s="17" t="s">
        <v>2286</v>
      </c>
      <c r="C60" s="16" t="s">
        <v>1471</v>
      </c>
      <c r="D60" s="13">
        <v>7500435153874</v>
      </c>
    </row>
    <row r="61" spans="1:4">
      <c r="A61" s="70" t="s">
        <v>95</v>
      </c>
      <c r="B61" s="17" t="s">
        <v>2286</v>
      </c>
      <c r="C61" s="16" t="s">
        <v>223</v>
      </c>
      <c r="D61" s="13">
        <v>7506195143858</v>
      </c>
    </row>
    <row r="62" spans="1:4">
      <c r="A62" s="70" t="s">
        <v>604</v>
      </c>
      <c r="B62" s="17" t="s">
        <v>2286</v>
      </c>
      <c r="C62" s="16" t="s">
        <v>618</v>
      </c>
      <c r="D62" s="13">
        <v>7896183308711</v>
      </c>
    </row>
    <row r="63" spans="1:4">
      <c r="A63" s="70" t="s">
        <v>604</v>
      </c>
      <c r="B63" s="17" t="s">
        <v>2286</v>
      </c>
      <c r="C63" s="16" t="s">
        <v>619</v>
      </c>
      <c r="D63" s="13">
        <v>7896085124136</v>
      </c>
    </row>
    <row r="64" spans="1:4">
      <c r="A64" s="70" t="s">
        <v>604</v>
      </c>
      <c r="B64" s="17" t="s">
        <v>2286</v>
      </c>
      <c r="C64" s="16" t="s">
        <v>620</v>
      </c>
      <c r="D64" s="13">
        <v>7896183311841</v>
      </c>
    </row>
    <row r="65" spans="1:4">
      <c r="A65" s="70" t="s">
        <v>604</v>
      </c>
      <c r="B65" s="17" t="s">
        <v>2286</v>
      </c>
      <c r="C65" s="16" t="s">
        <v>621</v>
      </c>
      <c r="D65" s="13">
        <v>7896085124143</v>
      </c>
    </row>
    <row r="66" spans="1:4">
      <c r="A66" s="70" t="s">
        <v>604</v>
      </c>
      <c r="B66" s="17" t="s">
        <v>2286</v>
      </c>
      <c r="C66" s="16" t="s">
        <v>622</v>
      </c>
      <c r="D66" s="13">
        <v>7896085123009</v>
      </c>
    </row>
    <row r="67" spans="1:4">
      <c r="A67" s="70" t="s">
        <v>604</v>
      </c>
      <c r="B67" s="17" t="s">
        <v>2286</v>
      </c>
      <c r="C67" s="16" t="s">
        <v>623</v>
      </c>
      <c r="D67" s="13">
        <v>7896085123092</v>
      </c>
    </row>
    <row r="68" spans="1:4">
      <c r="A68" s="70" t="s">
        <v>734</v>
      </c>
      <c r="B68" s="17" t="s">
        <v>2286</v>
      </c>
      <c r="C68" s="16" t="s">
        <v>789</v>
      </c>
      <c r="D68" s="13">
        <v>7896056401112</v>
      </c>
    </row>
    <row r="69" spans="1:4">
      <c r="A69" s="70" t="s">
        <v>734</v>
      </c>
      <c r="B69" s="17" t="s">
        <v>2286</v>
      </c>
      <c r="C69" s="16" t="s">
        <v>790</v>
      </c>
      <c r="D69" s="13">
        <v>7896056401136</v>
      </c>
    </row>
    <row r="70" spans="1:4">
      <c r="A70" s="70" t="s">
        <v>734</v>
      </c>
      <c r="B70" s="17" t="s">
        <v>2286</v>
      </c>
      <c r="C70" s="16" t="s">
        <v>791</v>
      </c>
      <c r="D70" s="13">
        <v>7896056401228</v>
      </c>
    </row>
    <row r="71" spans="1:4">
      <c r="A71" s="70" t="s">
        <v>734</v>
      </c>
      <c r="B71" s="17" t="s">
        <v>2286</v>
      </c>
      <c r="C71" s="16" t="s">
        <v>792</v>
      </c>
      <c r="D71" s="13">
        <v>7896056401129</v>
      </c>
    </row>
    <row r="72" spans="1:4">
      <c r="A72" s="70" t="s">
        <v>734</v>
      </c>
      <c r="B72" s="17" t="s">
        <v>2286</v>
      </c>
      <c r="C72" s="16" t="s">
        <v>793</v>
      </c>
      <c r="D72" s="13">
        <v>7896056402607</v>
      </c>
    </row>
    <row r="73" spans="1:4">
      <c r="A73" s="70" t="s">
        <v>709</v>
      </c>
      <c r="B73" s="17" t="s">
        <v>2286</v>
      </c>
      <c r="C73" s="16" t="s">
        <v>714</v>
      </c>
      <c r="D73" s="13">
        <v>7896056402751</v>
      </c>
    </row>
    <row r="74" spans="1:4">
      <c r="A74" s="70" t="s">
        <v>2154</v>
      </c>
      <c r="B74" s="17" t="s">
        <v>2286</v>
      </c>
      <c r="C74" s="16" t="s">
        <v>2160</v>
      </c>
      <c r="D74" s="13">
        <v>7896056405318</v>
      </c>
    </row>
    <row r="75" spans="1:4">
      <c r="A75" s="70" t="s">
        <v>1898</v>
      </c>
      <c r="B75" s="17" t="s">
        <v>2286</v>
      </c>
      <c r="C75" s="16" t="s">
        <v>1905</v>
      </c>
      <c r="D75" s="13">
        <v>7891022851762</v>
      </c>
    </row>
    <row r="76" spans="1:4">
      <c r="A76" s="70" t="s">
        <v>1898</v>
      </c>
      <c r="B76" s="17" t="s">
        <v>2286</v>
      </c>
      <c r="C76" s="16" t="s">
        <v>1906</v>
      </c>
      <c r="D76" s="13">
        <v>7891022100631</v>
      </c>
    </row>
    <row r="77" spans="1:4">
      <c r="A77" s="70" t="s">
        <v>1898</v>
      </c>
      <c r="B77" s="17" t="s">
        <v>2286</v>
      </c>
      <c r="C77" s="16" t="s">
        <v>1907</v>
      </c>
      <c r="D77" s="13">
        <v>7891022861365</v>
      </c>
    </row>
    <row r="78" spans="1:4">
      <c r="A78" s="70" t="s">
        <v>1898</v>
      </c>
      <c r="B78" s="17" t="s">
        <v>2286</v>
      </c>
      <c r="C78" s="16" t="s">
        <v>1908</v>
      </c>
      <c r="D78" s="13">
        <v>7891022849028</v>
      </c>
    </row>
    <row r="79" spans="1:4">
      <c r="A79" s="70" t="s">
        <v>1898</v>
      </c>
      <c r="B79" s="17" t="s">
        <v>2286</v>
      </c>
      <c r="C79" s="16" t="s">
        <v>1909</v>
      </c>
      <c r="D79" s="13">
        <v>7891022851564</v>
      </c>
    </row>
    <row r="80" spans="1:4">
      <c r="A80" s="70" t="s">
        <v>1898</v>
      </c>
      <c r="B80" s="17" t="s">
        <v>2286</v>
      </c>
      <c r="C80" s="16" t="s">
        <v>313</v>
      </c>
      <c r="D80" s="13">
        <v>7891022100617</v>
      </c>
    </row>
    <row r="81" spans="1:4">
      <c r="A81" s="70" t="s">
        <v>64</v>
      </c>
      <c r="B81" s="17" t="s">
        <v>2286</v>
      </c>
      <c r="C81" s="16" t="s">
        <v>294</v>
      </c>
      <c r="D81" s="13">
        <v>7891022849332</v>
      </c>
    </row>
    <row r="82" spans="1:4">
      <c r="A82" s="70" t="s">
        <v>64</v>
      </c>
      <c r="B82" s="17" t="s">
        <v>2286</v>
      </c>
      <c r="C82" s="16" t="s">
        <v>313</v>
      </c>
      <c r="D82" s="13">
        <v>7891022100617</v>
      </c>
    </row>
    <row r="83" spans="1:4">
      <c r="A83" s="70" t="s">
        <v>2044</v>
      </c>
      <c r="B83" s="17" t="s">
        <v>2286</v>
      </c>
      <c r="C83" s="16" t="s">
        <v>2055</v>
      </c>
      <c r="D83" s="13">
        <v>7896056404700</v>
      </c>
    </row>
    <row r="84" spans="1:4">
      <c r="A84" s="10" t="s">
        <v>2876</v>
      </c>
      <c r="B84" s="17" t="s">
        <v>2286</v>
      </c>
      <c r="C84" s="16" t="s">
        <v>1505</v>
      </c>
      <c r="D84" s="13">
        <v>7896098901854</v>
      </c>
    </row>
    <row r="85" spans="1:4">
      <c r="A85" s="10" t="s">
        <v>2876</v>
      </c>
      <c r="B85" s="17" t="s">
        <v>2286</v>
      </c>
      <c r="C85" s="16" t="s">
        <v>1506</v>
      </c>
      <c r="D85" s="13">
        <v>7896098901861</v>
      </c>
    </row>
    <row r="86" spans="1:4">
      <c r="A86" s="10" t="s">
        <v>2876</v>
      </c>
      <c r="B86" s="17" t="s">
        <v>2286</v>
      </c>
      <c r="C86" s="16" t="s">
        <v>1507</v>
      </c>
      <c r="D86" s="13">
        <v>7896098901885</v>
      </c>
    </row>
    <row r="87" spans="1:4">
      <c r="A87" s="70" t="s">
        <v>115</v>
      </c>
      <c r="B87" s="17" t="s">
        <v>2281</v>
      </c>
      <c r="C87" s="16" t="s">
        <v>1948</v>
      </c>
      <c r="D87" s="13">
        <v>7896058505023</v>
      </c>
    </row>
    <row r="88" spans="1:4">
      <c r="A88" s="70" t="s">
        <v>1298</v>
      </c>
      <c r="B88" s="17" t="s">
        <v>2285</v>
      </c>
      <c r="C88" s="16" t="s">
        <v>1307</v>
      </c>
      <c r="D88" s="13">
        <v>7896015530457</v>
      </c>
    </row>
    <row r="89" spans="1:4">
      <c r="A89" s="70" t="s">
        <v>1540</v>
      </c>
      <c r="B89" s="17" t="s">
        <v>2283</v>
      </c>
      <c r="C89" s="16" t="s">
        <v>1541</v>
      </c>
      <c r="D89" s="13">
        <v>7891136051003</v>
      </c>
    </row>
    <row r="90" spans="1:4">
      <c r="A90" s="70" t="s">
        <v>1734</v>
      </c>
      <c r="B90" s="17" t="s">
        <v>2280</v>
      </c>
      <c r="C90" s="16" t="s">
        <v>1738</v>
      </c>
      <c r="D90" s="13">
        <v>7896086420350</v>
      </c>
    </row>
    <row r="91" spans="1:4">
      <c r="A91" s="70" t="s">
        <v>1656</v>
      </c>
      <c r="B91" s="17" t="s">
        <v>2280</v>
      </c>
      <c r="C91" s="16" t="s">
        <v>1661</v>
      </c>
      <c r="D91" s="13">
        <v>7896086420312</v>
      </c>
    </row>
    <row r="92" spans="1:4">
      <c r="A92" s="70" t="s">
        <v>1531</v>
      </c>
      <c r="B92" s="17" t="s">
        <v>2280</v>
      </c>
      <c r="C92" s="16" t="s">
        <v>1542</v>
      </c>
      <c r="D92" s="13">
        <v>7896864400314</v>
      </c>
    </row>
    <row r="93" spans="1:4">
      <c r="A93" s="70" t="s">
        <v>1531</v>
      </c>
      <c r="B93" s="17" t="s">
        <v>2280</v>
      </c>
      <c r="C93" s="16" t="s">
        <v>1542</v>
      </c>
      <c r="D93" s="13">
        <v>7896864400307</v>
      </c>
    </row>
    <row r="94" spans="1:4">
      <c r="A94" s="70" t="s">
        <v>101</v>
      </c>
      <c r="B94" s="17" t="s">
        <v>2280</v>
      </c>
      <c r="C94" s="16" t="s">
        <v>293</v>
      </c>
      <c r="D94" s="13">
        <v>7893500018483</v>
      </c>
    </row>
    <row r="95" spans="1:4">
      <c r="A95" s="70" t="s">
        <v>1219</v>
      </c>
      <c r="B95" s="17" t="s">
        <v>2280</v>
      </c>
      <c r="C95" s="16" t="s">
        <v>1227</v>
      </c>
      <c r="D95" s="13">
        <v>7898152997087</v>
      </c>
    </row>
    <row r="96" spans="1:4">
      <c r="A96" s="70" t="s">
        <v>662</v>
      </c>
      <c r="B96" s="17" t="s">
        <v>2280</v>
      </c>
      <c r="C96" s="16" t="s">
        <v>703</v>
      </c>
      <c r="D96" s="13">
        <v>7896686440291</v>
      </c>
    </row>
    <row r="97" spans="1:4">
      <c r="A97" s="70" t="s">
        <v>662</v>
      </c>
      <c r="B97" s="17" t="s">
        <v>2280</v>
      </c>
      <c r="C97" s="16" t="s">
        <v>703</v>
      </c>
      <c r="D97" s="13">
        <v>7896864400277</v>
      </c>
    </row>
    <row r="98" spans="1:4">
      <c r="A98" s="70" t="s">
        <v>1092</v>
      </c>
      <c r="B98" s="17" t="s">
        <v>2280</v>
      </c>
      <c r="C98" s="16" t="s">
        <v>402</v>
      </c>
      <c r="D98" s="13">
        <v>7893500020318</v>
      </c>
    </row>
    <row r="99" spans="1:4">
      <c r="A99" s="70" t="s">
        <v>34</v>
      </c>
      <c r="B99" s="17" t="s">
        <v>2280</v>
      </c>
      <c r="C99" s="16" t="s">
        <v>554</v>
      </c>
      <c r="D99" s="13">
        <v>7896086419774</v>
      </c>
    </row>
    <row r="100" spans="1:4">
      <c r="A100" s="52" t="s">
        <v>3085</v>
      </c>
      <c r="B100" s="17" t="s">
        <v>2280</v>
      </c>
      <c r="C100" s="16" t="s">
        <v>296</v>
      </c>
      <c r="D100" s="13">
        <v>7896864400031</v>
      </c>
    </row>
    <row r="101" spans="1:4">
      <c r="A101" s="70" t="s">
        <v>16</v>
      </c>
      <c r="B101" s="17" t="s">
        <v>2280</v>
      </c>
      <c r="C101" s="16" t="s">
        <v>333</v>
      </c>
      <c r="D101" s="13">
        <v>7893500020158</v>
      </c>
    </row>
    <row r="102" spans="1:4">
      <c r="A102" s="70" t="s">
        <v>1054</v>
      </c>
      <c r="B102" s="17" t="s">
        <v>2284</v>
      </c>
      <c r="C102" s="16" t="s">
        <v>1070</v>
      </c>
      <c r="D102" s="13">
        <v>7896009301094</v>
      </c>
    </row>
    <row r="103" spans="1:4">
      <c r="A103" s="70" t="s">
        <v>1054</v>
      </c>
      <c r="B103" s="17" t="s">
        <v>2284</v>
      </c>
      <c r="C103" s="16" t="s">
        <v>1071</v>
      </c>
      <c r="D103" s="13">
        <v>7894321823096</v>
      </c>
    </row>
    <row r="104" spans="1:4">
      <c r="A104" s="70" t="s">
        <v>1054</v>
      </c>
      <c r="B104" s="17" t="s">
        <v>2284</v>
      </c>
      <c r="C104" s="16" t="s">
        <v>1070</v>
      </c>
      <c r="D104" s="13">
        <v>7894321823508</v>
      </c>
    </row>
    <row r="105" spans="1:4">
      <c r="A105" s="70" t="s">
        <v>1054</v>
      </c>
      <c r="B105" s="17" t="s">
        <v>2284</v>
      </c>
      <c r="C105" s="16" t="s">
        <v>1071</v>
      </c>
      <c r="D105" s="13">
        <v>7896009301100</v>
      </c>
    </row>
    <row r="106" spans="1:4">
      <c r="A106" s="70" t="s">
        <v>1559</v>
      </c>
      <c r="B106" s="17" t="s">
        <v>2284</v>
      </c>
      <c r="C106" s="16" t="s">
        <v>1558</v>
      </c>
      <c r="D106" s="13">
        <v>7896009301117</v>
      </c>
    </row>
    <row r="107" spans="1:4">
      <c r="A107" s="70" t="s">
        <v>2960</v>
      </c>
      <c r="B107" s="17" t="s">
        <v>2284</v>
      </c>
      <c r="C107" s="16" t="s">
        <v>243</v>
      </c>
      <c r="D107" s="13">
        <v>7896009301131</v>
      </c>
    </row>
    <row r="108" spans="1:4">
      <c r="A108" s="70" t="s">
        <v>2960</v>
      </c>
      <c r="B108" s="17" t="s">
        <v>2284</v>
      </c>
      <c r="C108" s="16" t="s">
        <v>244</v>
      </c>
      <c r="D108" s="13">
        <v>7896009301124</v>
      </c>
    </row>
    <row r="109" spans="1:4">
      <c r="A109" s="70" t="s">
        <v>2960</v>
      </c>
      <c r="B109" s="17" t="s">
        <v>2284</v>
      </c>
      <c r="C109" s="16" t="s">
        <v>244</v>
      </c>
      <c r="D109" s="13">
        <v>7894321826011</v>
      </c>
    </row>
    <row r="110" spans="1:4">
      <c r="A110" s="70" t="s">
        <v>2960</v>
      </c>
      <c r="B110" s="17" t="s">
        <v>2284</v>
      </c>
      <c r="C110" s="16" t="s">
        <v>243</v>
      </c>
      <c r="D110" s="13">
        <v>7894321822020</v>
      </c>
    </row>
    <row r="111" spans="1:4">
      <c r="A111" s="70" t="s">
        <v>1547</v>
      </c>
      <c r="B111" s="17" t="s">
        <v>2284</v>
      </c>
      <c r="C111" s="16" t="s">
        <v>1558</v>
      </c>
      <c r="D111" s="13">
        <v>7896009301117</v>
      </c>
    </row>
    <row r="112" spans="1:4">
      <c r="A112" s="70" t="s">
        <v>1547</v>
      </c>
      <c r="B112" s="17" t="s">
        <v>2284</v>
      </c>
      <c r="C112" s="16" t="s">
        <v>243</v>
      </c>
      <c r="D112" s="13">
        <v>7896009301131</v>
      </c>
    </row>
    <row r="113" spans="1:4">
      <c r="A113" s="70" t="s">
        <v>1547</v>
      </c>
      <c r="B113" s="17" t="s">
        <v>2284</v>
      </c>
      <c r="C113" s="16" t="s">
        <v>244</v>
      </c>
      <c r="D113" s="13">
        <v>7896009301124</v>
      </c>
    </row>
    <row r="114" spans="1:4">
      <c r="A114" s="70" t="s">
        <v>1547</v>
      </c>
      <c r="B114" s="17" t="s">
        <v>2284</v>
      </c>
      <c r="C114" s="16" t="s">
        <v>1730</v>
      </c>
      <c r="D114" s="13">
        <v>7894321822129</v>
      </c>
    </row>
    <row r="115" spans="1:4">
      <c r="A115" s="70" t="s">
        <v>1547</v>
      </c>
      <c r="B115" s="17" t="s">
        <v>2284</v>
      </c>
      <c r="C115" s="16" t="s">
        <v>244</v>
      </c>
      <c r="D115" s="13">
        <v>7894321826011</v>
      </c>
    </row>
    <row r="116" spans="1:4">
      <c r="A116" s="70" t="s">
        <v>1547</v>
      </c>
      <c r="B116" s="17" t="s">
        <v>2284</v>
      </c>
      <c r="C116" s="16" t="s">
        <v>243</v>
      </c>
      <c r="D116" s="13">
        <v>7894321822020</v>
      </c>
    </row>
    <row r="117" spans="1:4">
      <c r="A117" s="70" t="s">
        <v>1892</v>
      </c>
      <c r="B117" s="17" t="s">
        <v>2284</v>
      </c>
      <c r="C117" s="16" t="s">
        <v>586</v>
      </c>
      <c r="D117" s="13">
        <v>7896009301155</v>
      </c>
    </row>
    <row r="118" spans="1:4">
      <c r="A118" s="70" t="s">
        <v>1892</v>
      </c>
      <c r="B118" s="17" t="s">
        <v>2284</v>
      </c>
      <c r="C118" s="16" t="s">
        <v>586</v>
      </c>
      <c r="D118" s="13">
        <v>7894321821108</v>
      </c>
    </row>
    <row r="119" spans="1:4">
      <c r="A119" s="70" t="s">
        <v>69</v>
      </c>
      <c r="B119" s="17" t="s">
        <v>2284</v>
      </c>
      <c r="C119" s="16" t="s">
        <v>586</v>
      </c>
      <c r="D119" s="13">
        <v>7896009301155</v>
      </c>
    </row>
    <row r="120" spans="1:4">
      <c r="A120" s="70" t="s">
        <v>69</v>
      </c>
      <c r="B120" s="17" t="s">
        <v>2284</v>
      </c>
      <c r="C120" s="16" t="s">
        <v>587</v>
      </c>
      <c r="D120" s="13">
        <v>7894321824505</v>
      </c>
    </row>
    <row r="121" spans="1:4">
      <c r="A121" s="70" t="s">
        <v>69</v>
      </c>
      <c r="B121" s="17" t="s">
        <v>2284</v>
      </c>
      <c r="C121" s="16" t="s">
        <v>588</v>
      </c>
      <c r="D121" s="13">
        <v>7896009301148</v>
      </c>
    </row>
    <row r="122" spans="1:4">
      <c r="A122" s="70" t="s">
        <v>69</v>
      </c>
      <c r="B122" s="17" t="s">
        <v>2284</v>
      </c>
      <c r="C122" s="16" t="s">
        <v>586</v>
      </c>
      <c r="D122" s="13">
        <v>7894321821108</v>
      </c>
    </row>
    <row r="123" spans="1:4">
      <c r="A123" s="70" t="s">
        <v>2224</v>
      </c>
      <c r="B123" s="17" t="s">
        <v>2284</v>
      </c>
      <c r="C123" s="16" t="s">
        <v>509</v>
      </c>
      <c r="D123" s="13">
        <v>7896114900038</v>
      </c>
    </row>
    <row r="124" spans="1:4">
      <c r="A124" s="70" t="s">
        <v>487</v>
      </c>
      <c r="B124" s="17" t="s">
        <v>2284</v>
      </c>
      <c r="C124" s="16" t="s">
        <v>508</v>
      </c>
      <c r="D124" s="13">
        <v>7896114901301</v>
      </c>
    </row>
    <row r="125" spans="1:4">
      <c r="A125" s="70" t="s">
        <v>487</v>
      </c>
      <c r="B125" s="17" t="s">
        <v>2284</v>
      </c>
      <c r="C125" s="16" t="s">
        <v>509</v>
      </c>
      <c r="D125" s="13">
        <v>7896114900038</v>
      </c>
    </row>
    <row r="126" spans="1:4">
      <c r="A126" s="70" t="s">
        <v>487</v>
      </c>
      <c r="B126" s="17" t="s">
        <v>2284</v>
      </c>
      <c r="C126" s="16" t="s">
        <v>509</v>
      </c>
      <c r="D126" s="13">
        <v>7896114902001</v>
      </c>
    </row>
    <row r="127" spans="1:4">
      <c r="A127" s="70" t="s">
        <v>2518</v>
      </c>
      <c r="B127" s="17" t="s">
        <v>2284</v>
      </c>
      <c r="C127" s="16" t="s">
        <v>394</v>
      </c>
      <c r="D127" s="13">
        <v>7896114900274</v>
      </c>
    </row>
    <row r="128" spans="1:4">
      <c r="A128" s="70" t="s">
        <v>2518</v>
      </c>
      <c r="B128" s="17" t="s">
        <v>2284</v>
      </c>
      <c r="C128" s="16" t="s">
        <v>395</v>
      </c>
      <c r="D128" s="13">
        <v>7896114900489</v>
      </c>
    </row>
    <row r="129" spans="1:4">
      <c r="A129" s="70" t="s">
        <v>1292</v>
      </c>
      <c r="B129" s="17" t="s">
        <v>3406</v>
      </c>
      <c r="C129" s="16" t="s">
        <v>1296</v>
      </c>
      <c r="D129" s="13">
        <v>98021</v>
      </c>
    </row>
    <row r="130" spans="1:4">
      <c r="A130" s="70" t="s">
        <v>1605</v>
      </c>
      <c r="B130" s="17" t="s">
        <v>2284</v>
      </c>
      <c r="C130" s="16" t="s">
        <v>1606</v>
      </c>
      <c r="D130" s="13">
        <v>8410179100036</v>
      </c>
    </row>
    <row r="131" spans="1:4">
      <c r="A131" s="70" t="s">
        <v>24</v>
      </c>
      <c r="B131" s="17" t="s">
        <v>2284</v>
      </c>
      <c r="C131" s="16" t="s">
        <v>259</v>
      </c>
      <c r="D131" s="13">
        <v>7790070218216</v>
      </c>
    </row>
    <row r="132" spans="1:4">
      <c r="A132" s="70" t="s">
        <v>266</v>
      </c>
      <c r="B132" s="17" t="s">
        <v>2284</v>
      </c>
      <c r="C132" s="16" t="s">
        <v>308</v>
      </c>
      <c r="D132" s="13">
        <v>7804630540041</v>
      </c>
    </row>
    <row r="133" spans="1:4">
      <c r="A133" s="70" t="s">
        <v>1691</v>
      </c>
      <c r="B133" s="17" t="s">
        <v>2284</v>
      </c>
      <c r="C133" s="16" t="s">
        <v>1695</v>
      </c>
      <c r="D133" s="13">
        <v>7898909755250</v>
      </c>
    </row>
    <row r="134" spans="1:4">
      <c r="A134" s="70" t="s">
        <v>1046</v>
      </c>
      <c r="B134" s="17" t="s">
        <v>2284</v>
      </c>
      <c r="C134" s="16" t="s">
        <v>1044</v>
      </c>
      <c r="D134" s="13">
        <v>7896206905965</v>
      </c>
    </row>
    <row r="135" spans="1:4">
      <c r="A135" s="70" t="s">
        <v>1046</v>
      </c>
      <c r="B135" s="17" t="s">
        <v>2284</v>
      </c>
      <c r="C135" s="16" t="s">
        <v>1045</v>
      </c>
      <c r="D135" s="13">
        <v>7896206912031</v>
      </c>
    </row>
    <row r="136" spans="1:4">
      <c r="A136" s="70" t="s">
        <v>138</v>
      </c>
      <c r="B136" s="17" t="s">
        <v>2284</v>
      </c>
      <c r="C136" s="16" t="s">
        <v>167</v>
      </c>
      <c r="D136" s="13">
        <v>7891031116951</v>
      </c>
    </row>
    <row r="137" spans="1:4">
      <c r="A137" s="70" t="s">
        <v>138</v>
      </c>
      <c r="B137" s="17" t="s">
        <v>2284</v>
      </c>
      <c r="C137" s="16" t="s">
        <v>168</v>
      </c>
      <c r="D137" s="13">
        <v>7891031116920</v>
      </c>
    </row>
    <row r="138" spans="1:4">
      <c r="A138" s="70" t="s">
        <v>138</v>
      </c>
      <c r="B138" s="17" t="s">
        <v>2284</v>
      </c>
      <c r="C138" s="16" t="s">
        <v>169</v>
      </c>
      <c r="D138" s="13">
        <v>7891031116944</v>
      </c>
    </row>
    <row r="139" spans="1:4">
      <c r="A139" s="70" t="s">
        <v>1362</v>
      </c>
      <c r="B139" s="17" t="s">
        <v>2284</v>
      </c>
      <c r="C139" s="16" t="s">
        <v>1386</v>
      </c>
      <c r="D139" s="13">
        <v>7898909755830</v>
      </c>
    </row>
    <row r="140" spans="1:4">
      <c r="A140" s="70" t="s">
        <v>1451</v>
      </c>
      <c r="B140" s="17" t="s">
        <v>2284</v>
      </c>
      <c r="C140" s="16" t="s">
        <v>1460</v>
      </c>
      <c r="D140" s="13">
        <v>7898909755236</v>
      </c>
    </row>
    <row r="141" spans="1:4">
      <c r="A141" s="70" t="s">
        <v>23</v>
      </c>
      <c r="B141" s="17" t="s">
        <v>3406</v>
      </c>
      <c r="C141" s="16" t="s">
        <v>23</v>
      </c>
      <c r="D141" s="13">
        <v>99714</v>
      </c>
    </row>
    <row r="142" spans="1:4">
      <c r="A142" s="70" t="s">
        <v>419</v>
      </c>
      <c r="B142" s="17" t="s">
        <v>3406</v>
      </c>
      <c r="C142" s="16" t="s">
        <v>421</v>
      </c>
      <c r="D142" s="13">
        <v>99233</v>
      </c>
    </row>
    <row r="143" spans="1:4">
      <c r="A143" s="70" t="s">
        <v>123</v>
      </c>
      <c r="B143" s="17" t="s">
        <v>2281</v>
      </c>
      <c r="C143" s="16" t="s">
        <v>1029</v>
      </c>
      <c r="D143" s="13">
        <v>7891118015283</v>
      </c>
    </row>
    <row r="144" spans="1:4">
      <c r="A144" s="70" t="s">
        <v>123</v>
      </c>
      <c r="B144" s="17" t="s">
        <v>2281</v>
      </c>
      <c r="C144" s="16" t="s">
        <v>1030</v>
      </c>
      <c r="D144" s="13">
        <v>7891118015375</v>
      </c>
    </row>
    <row r="145" spans="1:4">
      <c r="A145" s="70" t="s">
        <v>123</v>
      </c>
      <c r="B145" s="17" t="s">
        <v>2281</v>
      </c>
      <c r="C145" s="16" t="s">
        <v>1031</v>
      </c>
      <c r="D145" s="13">
        <v>7891118015344</v>
      </c>
    </row>
    <row r="146" spans="1:4">
      <c r="A146" s="70" t="s">
        <v>123</v>
      </c>
      <c r="B146" s="17" t="s">
        <v>2281</v>
      </c>
      <c r="C146" s="16" t="s">
        <v>1032</v>
      </c>
      <c r="D146" s="13">
        <v>7891118015290</v>
      </c>
    </row>
    <row r="147" spans="1:4">
      <c r="A147" s="70" t="s">
        <v>123</v>
      </c>
      <c r="B147" s="17" t="s">
        <v>2281</v>
      </c>
      <c r="C147" s="16" t="s">
        <v>1033</v>
      </c>
      <c r="D147" s="13">
        <v>7891118015351</v>
      </c>
    </row>
    <row r="148" spans="1:4">
      <c r="A148" s="70" t="s">
        <v>123</v>
      </c>
      <c r="B148" s="17" t="s">
        <v>2281</v>
      </c>
      <c r="C148" s="16" t="s">
        <v>1034</v>
      </c>
      <c r="D148" s="13">
        <v>7891118015306</v>
      </c>
    </row>
    <row r="149" spans="1:4">
      <c r="A149" s="70" t="s">
        <v>123</v>
      </c>
      <c r="B149" s="17" t="s">
        <v>2281</v>
      </c>
      <c r="C149" s="16" t="s">
        <v>1035</v>
      </c>
      <c r="D149" s="13">
        <v>7891118015405</v>
      </c>
    </row>
    <row r="150" spans="1:4">
      <c r="A150" s="70" t="s">
        <v>123</v>
      </c>
      <c r="B150" s="17" t="s">
        <v>2281</v>
      </c>
      <c r="C150" s="16" t="s">
        <v>1036</v>
      </c>
      <c r="D150" s="13">
        <v>7891118015382</v>
      </c>
    </row>
    <row r="151" spans="1:4">
      <c r="A151" s="70" t="s">
        <v>123</v>
      </c>
      <c r="B151" s="17" t="s">
        <v>2281</v>
      </c>
      <c r="C151" s="16" t="s">
        <v>1037</v>
      </c>
      <c r="D151" s="13">
        <v>7891118015313</v>
      </c>
    </row>
    <row r="152" spans="1:4">
      <c r="A152" s="70" t="s">
        <v>123</v>
      </c>
      <c r="B152" s="17" t="s">
        <v>2281</v>
      </c>
      <c r="C152" s="16" t="s">
        <v>1038</v>
      </c>
      <c r="D152" s="13">
        <v>7891118015337</v>
      </c>
    </row>
    <row r="153" spans="1:4">
      <c r="A153" s="70" t="s">
        <v>123</v>
      </c>
      <c r="B153" s="17" t="s">
        <v>2281</v>
      </c>
      <c r="C153" s="16" t="s">
        <v>1039</v>
      </c>
      <c r="D153" s="13">
        <v>7891118015399</v>
      </c>
    </row>
    <row r="154" spans="1:4">
      <c r="A154" s="70" t="s">
        <v>123</v>
      </c>
      <c r="B154" s="17" t="s">
        <v>2281</v>
      </c>
      <c r="C154" s="16" t="s">
        <v>1040</v>
      </c>
      <c r="D154" s="13">
        <v>7891118015320</v>
      </c>
    </row>
    <row r="155" spans="1:4">
      <c r="A155" s="70" t="s">
        <v>1134</v>
      </c>
      <c r="B155" s="17" t="s">
        <v>2281</v>
      </c>
      <c r="C155" s="16" t="s">
        <v>1141</v>
      </c>
      <c r="D155" s="13">
        <v>7896058503326</v>
      </c>
    </row>
    <row r="156" spans="1:4">
      <c r="A156" s="70" t="s">
        <v>1134</v>
      </c>
      <c r="B156" s="17" t="s">
        <v>2281</v>
      </c>
      <c r="C156" s="16" t="s">
        <v>1142</v>
      </c>
      <c r="D156" s="13">
        <v>7896058503319</v>
      </c>
    </row>
    <row r="157" spans="1:4">
      <c r="A157" s="70" t="s">
        <v>1134</v>
      </c>
      <c r="B157" s="17" t="s">
        <v>2281</v>
      </c>
      <c r="C157" s="16" t="s">
        <v>1143</v>
      </c>
      <c r="D157" s="13">
        <v>7896058503272</v>
      </c>
    </row>
    <row r="158" spans="1:4">
      <c r="A158" s="70" t="s">
        <v>1134</v>
      </c>
      <c r="B158" s="17" t="s">
        <v>2281</v>
      </c>
      <c r="C158" s="16" t="s">
        <v>1144</v>
      </c>
      <c r="D158" s="13">
        <v>7896058504316</v>
      </c>
    </row>
    <row r="159" spans="1:4">
      <c r="A159" s="70" t="s">
        <v>1134</v>
      </c>
      <c r="B159" s="17" t="s">
        <v>2281</v>
      </c>
      <c r="C159" s="16" t="s">
        <v>1145</v>
      </c>
      <c r="D159" s="13">
        <v>7896058504361</v>
      </c>
    </row>
    <row r="160" spans="1:4">
      <c r="A160" s="70" t="s">
        <v>1134</v>
      </c>
      <c r="B160" s="17" t="s">
        <v>2281</v>
      </c>
      <c r="C160" s="16" t="s">
        <v>1146</v>
      </c>
      <c r="D160" s="13">
        <v>7896058551525</v>
      </c>
    </row>
    <row r="161" spans="1:4">
      <c r="A161" s="70" t="s">
        <v>1134</v>
      </c>
      <c r="B161" s="17" t="s">
        <v>2281</v>
      </c>
      <c r="C161" s="16" t="s">
        <v>1147</v>
      </c>
      <c r="D161" s="13">
        <v>7896058502169</v>
      </c>
    </row>
    <row r="162" spans="1:4">
      <c r="A162" s="70" t="s">
        <v>1134</v>
      </c>
      <c r="B162" s="17" t="s">
        <v>2281</v>
      </c>
      <c r="C162" s="16" t="s">
        <v>1148</v>
      </c>
      <c r="D162" s="13">
        <v>7896058503036</v>
      </c>
    </row>
    <row r="163" spans="1:4">
      <c r="A163" s="70" t="s">
        <v>1134</v>
      </c>
      <c r="B163" s="17" t="s">
        <v>2281</v>
      </c>
      <c r="C163" s="16" t="s">
        <v>1149</v>
      </c>
      <c r="D163" s="13">
        <v>7896058503081</v>
      </c>
    </row>
    <row r="164" spans="1:4">
      <c r="A164" s="70" t="s">
        <v>1134</v>
      </c>
      <c r="B164" s="17" t="s">
        <v>2281</v>
      </c>
      <c r="C164" s="16" t="s">
        <v>1181</v>
      </c>
      <c r="D164" s="13">
        <v>7896058503333</v>
      </c>
    </row>
    <row r="165" spans="1:4">
      <c r="A165" s="70" t="s">
        <v>1134</v>
      </c>
      <c r="B165" s="17" t="s">
        <v>2281</v>
      </c>
      <c r="C165" s="16" t="s">
        <v>1182</v>
      </c>
      <c r="D165" s="13">
        <v>7896058503296</v>
      </c>
    </row>
    <row r="166" spans="1:4">
      <c r="A166" s="70" t="s">
        <v>1134</v>
      </c>
      <c r="B166" s="17" t="s">
        <v>2281</v>
      </c>
      <c r="C166" s="16" t="s">
        <v>1183</v>
      </c>
      <c r="D166" s="13">
        <v>7896058503289</v>
      </c>
    </row>
    <row r="167" spans="1:4">
      <c r="A167" s="70" t="s">
        <v>1134</v>
      </c>
      <c r="B167" s="17" t="s">
        <v>2281</v>
      </c>
      <c r="C167" s="16" t="s">
        <v>1184</v>
      </c>
      <c r="D167" s="13">
        <v>7896058503340</v>
      </c>
    </row>
    <row r="168" spans="1:4">
      <c r="A168" s="70" t="s">
        <v>1134</v>
      </c>
      <c r="B168" s="17" t="s">
        <v>2281</v>
      </c>
      <c r="C168" s="16" t="s">
        <v>1185</v>
      </c>
      <c r="D168" s="13">
        <v>7896058503357</v>
      </c>
    </row>
    <row r="169" spans="1:4">
      <c r="A169" s="70" t="s">
        <v>1134</v>
      </c>
      <c r="B169" s="17" t="s">
        <v>2281</v>
      </c>
      <c r="C169" s="16" t="s">
        <v>1186</v>
      </c>
      <c r="D169" s="13">
        <v>7896058503432</v>
      </c>
    </row>
    <row r="170" spans="1:4">
      <c r="A170" s="70" t="s">
        <v>1134</v>
      </c>
      <c r="B170" s="17" t="s">
        <v>2281</v>
      </c>
      <c r="C170" s="16" t="s">
        <v>1187</v>
      </c>
      <c r="D170" s="13">
        <v>7896058502152</v>
      </c>
    </row>
    <row r="171" spans="1:4">
      <c r="A171" s="70" t="s">
        <v>1134</v>
      </c>
      <c r="B171" s="17" t="s">
        <v>2281</v>
      </c>
      <c r="C171" s="16" t="s">
        <v>1195</v>
      </c>
      <c r="D171" s="13">
        <v>7896058503135</v>
      </c>
    </row>
    <row r="172" spans="1:4">
      <c r="A172" s="70" t="s">
        <v>1134</v>
      </c>
      <c r="B172" s="17" t="s">
        <v>2281</v>
      </c>
      <c r="C172" s="16" t="s">
        <v>1188</v>
      </c>
      <c r="D172" s="13">
        <v>7896058503128</v>
      </c>
    </row>
    <row r="173" spans="1:4">
      <c r="A173" s="70" t="s">
        <v>1137</v>
      </c>
      <c r="B173" s="17" t="s">
        <v>2281</v>
      </c>
      <c r="C173" s="16" t="s">
        <v>1150</v>
      </c>
      <c r="D173" s="13">
        <v>7898591453595</v>
      </c>
    </row>
    <row r="174" spans="1:4">
      <c r="A174" s="70" t="s">
        <v>1137</v>
      </c>
      <c r="B174" s="17" t="s">
        <v>2281</v>
      </c>
      <c r="C174" s="16" t="s">
        <v>1151</v>
      </c>
      <c r="D174" s="13">
        <v>7898591451102</v>
      </c>
    </row>
    <row r="175" spans="1:4">
      <c r="A175" s="70" t="s">
        <v>1137</v>
      </c>
      <c r="B175" s="17" t="s">
        <v>2281</v>
      </c>
      <c r="C175" s="16" t="s">
        <v>1152</v>
      </c>
      <c r="D175" s="13">
        <v>8410525159619</v>
      </c>
    </row>
    <row r="176" spans="1:4">
      <c r="A176" s="70" t="s">
        <v>1137</v>
      </c>
      <c r="B176" s="17" t="s">
        <v>2281</v>
      </c>
      <c r="C176" s="16" t="s">
        <v>1153</v>
      </c>
      <c r="D176" s="13">
        <v>8410525146435</v>
      </c>
    </row>
    <row r="177" spans="1:4">
      <c r="A177" s="70" t="s">
        <v>1137</v>
      </c>
      <c r="B177" s="17" t="s">
        <v>2281</v>
      </c>
      <c r="C177" s="16" t="s">
        <v>1154</v>
      </c>
      <c r="D177" s="13">
        <v>7898279798185</v>
      </c>
    </row>
    <row r="178" spans="1:4">
      <c r="A178" s="70" t="s">
        <v>1137</v>
      </c>
      <c r="B178" s="17" t="s">
        <v>2281</v>
      </c>
      <c r="C178" s="16" t="s">
        <v>1155</v>
      </c>
      <c r="D178" s="13">
        <v>7898591450143</v>
      </c>
    </row>
    <row r="179" spans="1:4">
      <c r="A179" s="70" t="s">
        <v>1137</v>
      </c>
      <c r="B179" s="17" t="s">
        <v>2281</v>
      </c>
      <c r="C179" s="16" t="s">
        <v>1156</v>
      </c>
      <c r="D179" s="13">
        <v>7898591457807</v>
      </c>
    </row>
    <row r="180" spans="1:4">
      <c r="A180" s="70" t="s">
        <v>1137</v>
      </c>
      <c r="B180" s="17" t="s">
        <v>2281</v>
      </c>
      <c r="C180" s="16" t="s">
        <v>1157</v>
      </c>
      <c r="D180" s="13">
        <v>7898591457814</v>
      </c>
    </row>
    <row r="181" spans="1:4">
      <c r="A181" s="70" t="s">
        <v>1137</v>
      </c>
      <c r="B181" s="17" t="s">
        <v>2281</v>
      </c>
      <c r="C181" s="16" t="s">
        <v>1158</v>
      </c>
      <c r="D181" s="13">
        <v>7898591455001</v>
      </c>
    </row>
    <row r="182" spans="1:4">
      <c r="A182" s="70" t="s">
        <v>1137</v>
      </c>
      <c r="B182" s="17" t="s">
        <v>2281</v>
      </c>
      <c r="C182" s="16" t="s">
        <v>1159</v>
      </c>
      <c r="D182" s="13">
        <v>7898591455025</v>
      </c>
    </row>
    <row r="183" spans="1:4">
      <c r="A183" s="70" t="s">
        <v>1137</v>
      </c>
      <c r="B183" s="17" t="s">
        <v>2281</v>
      </c>
      <c r="C183" s="16" t="s">
        <v>1160</v>
      </c>
      <c r="D183" s="13">
        <v>7898279799298</v>
      </c>
    </row>
    <row r="184" spans="1:4">
      <c r="A184" s="70" t="s">
        <v>1137</v>
      </c>
      <c r="B184" s="17" t="s">
        <v>2281</v>
      </c>
      <c r="C184" s="16" t="s">
        <v>1161</v>
      </c>
      <c r="D184" s="13">
        <v>7898591457883</v>
      </c>
    </row>
    <row r="185" spans="1:4">
      <c r="A185" s="70" t="s">
        <v>1137</v>
      </c>
      <c r="B185" s="17" t="s">
        <v>2281</v>
      </c>
      <c r="C185" s="16" t="s">
        <v>1162</v>
      </c>
      <c r="D185" s="13">
        <v>7898591450921</v>
      </c>
    </row>
    <row r="186" spans="1:4">
      <c r="A186" s="70" t="s">
        <v>1137</v>
      </c>
      <c r="B186" s="17" t="s">
        <v>2281</v>
      </c>
      <c r="C186" s="16" t="s">
        <v>1163</v>
      </c>
      <c r="D186" s="13">
        <v>7898591451591</v>
      </c>
    </row>
    <row r="187" spans="1:4">
      <c r="A187" s="70" t="s">
        <v>1137</v>
      </c>
      <c r="B187" s="17" t="s">
        <v>2281</v>
      </c>
      <c r="C187" s="16" t="s">
        <v>1164</v>
      </c>
      <c r="D187" s="13">
        <v>7898591454530</v>
      </c>
    </row>
    <row r="188" spans="1:4">
      <c r="A188" s="70" t="s">
        <v>1137</v>
      </c>
      <c r="B188" s="17" t="s">
        <v>2281</v>
      </c>
      <c r="C188" s="16" t="s">
        <v>1165</v>
      </c>
      <c r="D188" s="13">
        <v>7898279790431</v>
      </c>
    </row>
    <row r="189" spans="1:4">
      <c r="A189" s="70" t="s">
        <v>1137</v>
      </c>
      <c r="B189" s="17" t="s">
        <v>2281</v>
      </c>
      <c r="C189" s="16" t="s">
        <v>1166</v>
      </c>
      <c r="D189" s="13">
        <v>7898279790387</v>
      </c>
    </row>
    <row r="190" spans="1:4">
      <c r="A190" s="70" t="s">
        <v>1137</v>
      </c>
      <c r="B190" s="17" t="s">
        <v>2281</v>
      </c>
      <c r="C190" s="16" t="s">
        <v>1167</v>
      </c>
      <c r="D190" s="13">
        <v>7898279790394</v>
      </c>
    </row>
    <row r="191" spans="1:4">
      <c r="A191" s="70" t="s">
        <v>1137</v>
      </c>
      <c r="B191" s="17" t="s">
        <v>2281</v>
      </c>
      <c r="C191" s="16" t="s">
        <v>1168</v>
      </c>
      <c r="D191" s="13">
        <v>7898279790400</v>
      </c>
    </row>
    <row r="192" spans="1:4">
      <c r="A192" s="70" t="s">
        <v>1137</v>
      </c>
      <c r="B192" s="17" t="s">
        <v>2281</v>
      </c>
      <c r="C192" s="16" t="s">
        <v>1169</v>
      </c>
      <c r="D192" s="13">
        <v>7898279790417</v>
      </c>
    </row>
    <row r="193" spans="1:4">
      <c r="A193" s="70" t="s">
        <v>1137</v>
      </c>
      <c r="B193" s="17" t="s">
        <v>2281</v>
      </c>
      <c r="C193" s="16" t="s">
        <v>1170</v>
      </c>
      <c r="D193" s="13">
        <v>7898279792077</v>
      </c>
    </row>
    <row r="194" spans="1:4">
      <c r="A194" s="70" t="s">
        <v>1137</v>
      </c>
      <c r="B194" s="17" t="s">
        <v>2281</v>
      </c>
      <c r="C194" s="16" t="s">
        <v>1171</v>
      </c>
      <c r="D194" s="13">
        <v>7898279790776</v>
      </c>
    </row>
    <row r="195" spans="1:4">
      <c r="A195" s="70" t="s">
        <v>1137</v>
      </c>
      <c r="B195" s="17" t="s">
        <v>2281</v>
      </c>
      <c r="C195" s="16" t="s">
        <v>1172</v>
      </c>
      <c r="D195" s="13">
        <v>7898279792039</v>
      </c>
    </row>
    <row r="196" spans="1:4">
      <c r="A196" s="70" t="s">
        <v>1137</v>
      </c>
      <c r="B196" s="17" t="s">
        <v>2281</v>
      </c>
      <c r="C196" s="16" t="s">
        <v>1173</v>
      </c>
      <c r="D196" s="13">
        <v>7898279790455</v>
      </c>
    </row>
    <row r="197" spans="1:4">
      <c r="A197" s="70" t="s">
        <v>1137</v>
      </c>
      <c r="B197" s="17" t="s">
        <v>2281</v>
      </c>
      <c r="C197" s="16" t="s">
        <v>1174</v>
      </c>
      <c r="D197" s="13">
        <v>7898279790639</v>
      </c>
    </row>
    <row r="198" spans="1:4">
      <c r="A198" s="70" t="s">
        <v>1137</v>
      </c>
      <c r="B198" s="17" t="s">
        <v>2281</v>
      </c>
      <c r="C198" s="16" t="s">
        <v>1175</v>
      </c>
      <c r="D198" s="13">
        <v>7898279791179</v>
      </c>
    </row>
    <row r="199" spans="1:4">
      <c r="A199" s="70" t="s">
        <v>1137</v>
      </c>
      <c r="B199" s="17" t="s">
        <v>2281</v>
      </c>
      <c r="C199" s="16" t="s">
        <v>1176</v>
      </c>
      <c r="D199" s="13">
        <v>7898279794521</v>
      </c>
    </row>
    <row r="200" spans="1:4">
      <c r="A200" s="70" t="s">
        <v>1137</v>
      </c>
      <c r="B200" s="17" t="s">
        <v>2281</v>
      </c>
      <c r="C200" s="16" t="s">
        <v>1177</v>
      </c>
      <c r="D200" s="13">
        <v>7898279797911</v>
      </c>
    </row>
    <row r="201" spans="1:4">
      <c r="A201" s="70" t="s">
        <v>1137</v>
      </c>
      <c r="B201" s="17" t="s">
        <v>2281</v>
      </c>
      <c r="C201" s="16" t="s">
        <v>1178</v>
      </c>
      <c r="D201" s="13">
        <v>7898279791162</v>
      </c>
    </row>
    <row r="202" spans="1:4">
      <c r="A202" s="70" t="s">
        <v>1137</v>
      </c>
      <c r="B202" s="17" t="s">
        <v>2281</v>
      </c>
      <c r="C202" s="16" t="s">
        <v>1179</v>
      </c>
      <c r="D202" s="13">
        <v>8410525190193</v>
      </c>
    </row>
    <row r="203" spans="1:4">
      <c r="A203" s="70" t="s">
        <v>1137</v>
      </c>
      <c r="B203" s="17" t="s">
        <v>2281</v>
      </c>
      <c r="C203" s="16" t="s">
        <v>1189</v>
      </c>
      <c r="D203" s="13">
        <v>7898279798307</v>
      </c>
    </row>
    <row r="204" spans="1:4">
      <c r="A204" s="70" t="s">
        <v>1137</v>
      </c>
      <c r="B204" s="17" t="s">
        <v>2281</v>
      </c>
      <c r="C204" s="16" t="s">
        <v>1190</v>
      </c>
      <c r="D204" s="13">
        <v>7898591450563</v>
      </c>
    </row>
    <row r="205" spans="1:4">
      <c r="A205" s="70" t="s">
        <v>1137</v>
      </c>
      <c r="B205" s="17" t="s">
        <v>2281</v>
      </c>
      <c r="C205" s="16" t="s">
        <v>1191</v>
      </c>
      <c r="D205" s="13">
        <v>7898279794842</v>
      </c>
    </row>
    <row r="206" spans="1:4">
      <c r="A206" s="70" t="s">
        <v>1137</v>
      </c>
      <c r="B206" s="17" t="s">
        <v>2281</v>
      </c>
      <c r="C206" s="16" t="s">
        <v>1192</v>
      </c>
      <c r="D206" s="13">
        <v>7898279795061</v>
      </c>
    </row>
    <row r="207" spans="1:4">
      <c r="A207" s="70" t="s">
        <v>1137</v>
      </c>
      <c r="B207" s="17" t="s">
        <v>2281</v>
      </c>
      <c r="C207" s="16" t="s">
        <v>1193</v>
      </c>
      <c r="D207" s="13">
        <v>7898279794859</v>
      </c>
    </row>
    <row r="208" spans="1:4">
      <c r="A208" s="70" t="s">
        <v>1767</v>
      </c>
      <c r="B208" s="17" t="s">
        <v>2281</v>
      </c>
      <c r="C208" s="16" t="s">
        <v>1770</v>
      </c>
      <c r="D208" s="13">
        <v>7891331001100</v>
      </c>
    </row>
    <row r="209" spans="1:4">
      <c r="A209" s="70" t="s">
        <v>1767</v>
      </c>
      <c r="B209" s="17" t="s">
        <v>2281</v>
      </c>
      <c r="C209" s="16" t="s">
        <v>1771</v>
      </c>
      <c r="D209" s="13">
        <v>7891331005177</v>
      </c>
    </row>
    <row r="210" spans="1:4">
      <c r="A210" s="70" t="s">
        <v>1767</v>
      </c>
      <c r="B210" s="17" t="s">
        <v>2281</v>
      </c>
      <c r="C210" s="16" t="s">
        <v>1772</v>
      </c>
      <c r="D210" s="13">
        <v>7891331010072</v>
      </c>
    </row>
    <row r="211" spans="1:4">
      <c r="A211" s="70" t="s">
        <v>1504</v>
      </c>
      <c r="B211" s="17" t="s">
        <v>2281</v>
      </c>
      <c r="C211" s="16" t="s">
        <v>1518</v>
      </c>
      <c r="D211" s="13">
        <v>7891331000752</v>
      </c>
    </row>
    <row r="212" spans="1:4">
      <c r="A212" s="70" t="s">
        <v>1504</v>
      </c>
      <c r="B212" s="17" t="s">
        <v>2281</v>
      </c>
      <c r="C212" s="16" t="s">
        <v>1519</v>
      </c>
      <c r="D212" s="13">
        <v>7891331002169</v>
      </c>
    </row>
    <row r="213" spans="1:4">
      <c r="A213" s="70" t="s">
        <v>1504</v>
      </c>
      <c r="B213" s="17" t="s">
        <v>2281</v>
      </c>
      <c r="C213" s="16" t="s">
        <v>1520</v>
      </c>
      <c r="D213" s="13">
        <v>7891331008352</v>
      </c>
    </row>
    <row r="214" spans="1:4">
      <c r="A214" s="70" t="s">
        <v>1504</v>
      </c>
      <c r="B214" s="17" t="s">
        <v>2281</v>
      </c>
      <c r="C214" s="16" t="s">
        <v>1521</v>
      </c>
      <c r="D214" s="13">
        <v>7891331008833</v>
      </c>
    </row>
    <row r="215" spans="1:4">
      <c r="A215" s="70" t="s">
        <v>1504</v>
      </c>
      <c r="B215" s="17" t="s">
        <v>2281</v>
      </c>
      <c r="C215" s="16" t="s">
        <v>1522</v>
      </c>
      <c r="D215" s="13">
        <v>7891331010546</v>
      </c>
    </row>
    <row r="216" spans="1:4">
      <c r="A216" s="70" t="s">
        <v>1504</v>
      </c>
      <c r="B216" s="17" t="s">
        <v>2281</v>
      </c>
      <c r="C216" s="16" t="s">
        <v>1523</v>
      </c>
      <c r="D216" s="13">
        <v>7891331010553</v>
      </c>
    </row>
    <row r="217" spans="1:4">
      <c r="A217" s="70" t="s">
        <v>1504</v>
      </c>
      <c r="B217" s="17" t="s">
        <v>2281</v>
      </c>
      <c r="C217" s="16" t="s">
        <v>1524</v>
      </c>
      <c r="D217" s="13">
        <v>7891331010560</v>
      </c>
    </row>
    <row r="218" spans="1:4">
      <c r="A218" s="70" t="s">
        <v>1504</v>
      </c>
      <c r="B218" s="17" t="s">
        <v>2281</v>
      </c>
      <c r="C218" s="16" t="s">
        <v>1525</v>
      </c>
      <c r="D218" s="13">
        <v>7891331014452</v>
      </c>
    </row>
    <row r="219" spans="1:4">
      <c r="A219" s="70" t="s">
        <v>1504</v>
      </c>
      <c r="B219" s="17" t="s">
        <v>2281</v>
      </c>
      <c r="C219" s="16" t="s">
        <v>1526</v>
      </c>
      <c r="D219" s="13">
        <v>7891331014476</v>
      </c>
    </row>
    <row r="220" spans="1:4">
      <c r="A220" s="70" t="s">
        <v>1504</v>
      </c>
      <c r="B220" s="17" t="s">
        <v>2281</v>
      </c>
      <c r="C220" s="16" t="s">
        <v>1527</v>
      </c>
      <c r="D220" s="13">
        <v>7891331014490</v>
      </c>
    </row>
    <row r="221" spans="1:4">
      <c r="A221" s="70" t="s">
        <v>1814</v>
      </c>
      <c r="B221" s="17" t="s">
        <v>2281</v>
      </c>
      <c r="C221" s="16" t="s">
        <v>1816</v>
      </c>
      <c r="D221" s="13">
        <v>7891331010638</v>
      </c>
    </row>
    <row r="222" spans="1:4">
      <c r="A222" s="70" t="s">
        <v>1814</v>
      </c>
      <c r="B222" s="17" t="s">
        <v>2281</v>
      </c>
      <c r="C222" s="16" t="s">
        <v>1827</v>
      </c>
      <c r="D222" s="13">
        <v>7891331014100</v>
      </c>
    </row>
    <row r="223" spans="1:4">
      <c r="A223" s="70" t="s">
        <v>1814</v>
      </c>
      <c r="B223" s="17" t="s">
        <v>2281</v>
      </c>
      <c r="C223" s="16" t="s">
        <v>1817</v>
      </c>
      <c r="D223" s="13">
        <v>7891331002831</v>
      </c>
    </row>
    <row r="224" spans="1:4">
      <c r="A224" s="70" t="s">
        <v>2064</v>
      </c>
      <c r="B224" s="17" t="s">
        <v>2288</v>
      </c>
      <c r="C224" s="16" t="s">
        <v>2066</v>
      </c>
      <c r="D224" s="13">
        <v>7896105800897</v>
      </c>
    </row>
    <row r="225" spans="1:4">
      <c r="A225" s="70" t="s">
        <v>40</v>
      </c>
      <c r="B225" s="17" t="s">
        <v>2288</v>
      </c>
      <c r="C225" s="16" t="s">
        <v>1916</v>
      </c>
      <c r="D225" s="13">
        <v>7797906002025</v>
      </c>
    </row>
    <row r="226" spans="1:4">
      <c r="A226" s="70" t="s">
        <v>40</v>
      </c>
      <c r="B226" s="17" t="s">
        <v>2288</v>
      </c>
      <c r="C226" s="16" t="s">
        <v>1916</v>
      </c>
      <c r="D226" s="13">
        <v>7896105800040</v>
      </c>
    </row>
    <row r="227" spans="1:4">
      <c r="A227" s="70" t="s">
        <v>1989</v>
      </c>
      <c r="B227" s="17" t="s">
        <v>2288</v>
      </c>
      <c r="C227" s="16" t="s">
        <v>1993</v>
      </c>
      <c r="D227" s="13">
        <v>7797906000892</v>
      </c>
    </row>
    <row r="228" spans="1:4">
      <c r="A228" s="70" t="s">
        <v>1790</v>
      </c>
      <c r="B228" s="17" t="s">
        <v>2281</v>
      </c>
      <c r="C228" s="16" t="s">
        <v>1796</v>
      </c>
      <c r="D228" s="13">
        <v>9557062361217</v>
      </c>
    </row>
    <row r="229" spans="1:4">
      <c r="A229" s="70" t="s">
        <v>1790</v>
      </c>
      <c r="B229" s="17" t="s">
        <v>2281</v>
      </c>
      <c r="C229" s="16" t="s">
        <v>1797</v>
      </c>
      <c r="D229" s="13">
        <v>9557062361194</v>
      </c>
    </row>
    <row r="230" spans="1:4">
      <c r="A230" s="70" t="s">
        <v>1790</v>
      </c>
      <c r="B230" s="17" t="s">
        <v>2281</v>
      </c>
      <c r="C230" s="16" t="s">
        <v>1798</v>
      </c>
      <c r="D230" s="13">
        <v>9557062361187</v>
      </c>
    </row>
    <row r="231" spans="1:4">
      <c r="A231" s="70" t="s">
        <v>1790</v>
      </c>
      <c r="B231" s="17" t="s">
        <v>2281</v>
      </c>
      <c r="C231" s="16" t="s">
        <v>1799</v>
      </c>
      <c r="D231" s="13">
        <v>9557062361491</v>
      </c>
    </row>
    <row r="232" spans="1:4">
      <c r="A232" s="70" t="s">
        <v>1790</v>
      </c>
      <c r="B232" s="17" t="s">
        <v>2281</v>
      </c>
      <c r="C232" s="16" t="s">
        <v>1800</v>
      </c>
      <c r="D232" s="13">
        <v>9557062361224</v>
      </c>
    </row>
    <row r="233" spans="1:4">
      <c r="A233" s="70" t="s">
        <v>527</v>
      </c>
      <c r="B233" s="17" t="s">
        <v>2281</v>
      </c>
      <c r="C233" s="16" t="s">
        <v>536</v>
      </c>
      <c r="D233" s="13">
        <v>9557062332439</v>
      </c>
    </row>
    <row r="234" spans="1:4">
      <c r="A234" s="70" t="s">
        <v>527</v>
      </c>
      <c r="B234" s="17" t="s">
        <v>2281</v>
      </c>
      <c r="C234" s="16" t="s">
        <v>537</v>
      </c>
      <c r="D234" s="13">
        <v>9557062332422</v>
      </c>
    </row>
    <row r="235" spans="1:4">
      <c r="A235" s="70" t="s">
        <v>527</v>
      </c>
      <c r="B235" s="17" t="s">
        <v>2281</v>
      </c>
      <c r="C235" s="16" t="s">
        <v>538</v>
      </c>
      <c r="D235" s="13">
        <v>9557062332446</v>
      </c>
    </row>
    <row r="236" spans="1:4">
      <c r="A236" s="70" t="s">
        <v>527</v>
      </c>
      <c r="B236" s="17" t="s">
        <v>2281</v>
      </c>
      <c r="C236" s="16" t="s">
        <v>539</v>
      </c>
      <c r="D236" s="13">
        <v>9557062332415</v>
      </c>
    </row>
    <row r="237" spans="1:4">
      <c r="A237" s="70" t="s">
        <v>527</v>
      </c>
      <c r="B237" s="17" t="s">
        <v>2281</v>
      </c>
      <c r="C237" s="16" t="s">
        <v>540</v>
      </c>
      <c r="D237" s="13">
        <v>9557062332484</v>
      </c>
    </row>
    <row r="238" spans="1:4">
      <c r="A238" s="70" t="s">
        <v>527</v>
      </c>
      <c r="B238" s="17" t="s">
        <v>2281</v>
      </c>
      <c r="C238" s="16" t="s">
        <v>541</v>
      </c>
      <c r="D238" s="13">
        <v>9557062332576</v>
      </c>
    </row>
    <row r="239" spans="1:4">
      <c r="A239" s="70" t="s">
        <v>99</v>
      </c>
      <c r="B239" s="17" t="s">
        <v>2284</v>
      </c>
      <c r="C239" s="16" t="s">
        <v>711</v>
      </c>
      <c r="D239" s="13">
        <v>7897517203719</v>
      </c>
    </row>
    <row r="240" spans="1:4">
      <c r="A240" s="70" t="s">
        <v>99</v>
      </c>
      <c r="B240" s="17" t="s">
        <v>2284</v>
      </c>
      <c r="C240" s="16" t="s">
        <v>710</v>
      </c>
      <c r="D240" s="13">
        <v>7897517203726</v>
      </c>
    </row>
    <row r="241" spans="1:4">
      <c r="A241" s="70" t="s">
        <v>966</v>
      </c>
      <c r="B241" s="17" t="s">
        <v>2284</v>
      </c>
      <c r="C241" s="16" t="s">
        <v>973</v>
      </c>
      <c r="D241" s="13">
        <v>7891095029709</v>
      </c>
    </row>
    <row r="242" spans="1:4">
      <c r="A242" s="70" t="s">
        <v>966</v>
      </c>
      <c r="B242" s="17" t="s">
        <v>2284</v>
      </c>
      <c r="C242" s="16" t="s">
        <v>974</v>
      </c>
      <c r="D242" s="13">
        <v>7891095011599</v>
      </c>
    </row>
    <row r="243" spans="1:4">
      <c r="A243" s="70" t="s">
        <v>966</v>
      </c>
      <c r="B243" s="17" t="s">
        <v>2284</v>
      </c>
      <c r="C243" s="16" t="s">
        <v>975</v>
      </c>
      <c r="D243" s="13">
        <v>7891095023929</v>
      </c>
    </row>
    <row r="244" spans="1:4">
      <c r="A244" s="70" t="s">
        <v>966</v>
      </c>
      <c r="B244" s="17" t="s">
        <v>2284</v>
      </c>
      <c r="C244" s="16" t="s">
        <v>976</v>
      </c>
      <c r="D244" s="13">
        <v>7891095027781</v>
      </c>
    </row>
    <row r="245" spans="1:4">
      <c r="A245" s="70" t="s">
        <v>966</v>
      </c>
      <c r="B245" s="17" t="s">
        <v>2284</v>
      </c>
      <c r="C245" s="16" t="s">
        <v>977</v>
      </c>
      <c r="D245" s="13">
        <v>7891095008919</v>
      </c>
    </row>
    <row r="246" spans="1:4">
      <c r="A246" s="70" t="s">
        <v>372</v>
      </c>
      <c r="B246" s="17" t="s">
        <v>2284</v>
      </c>
      <c r="C246" s="16" t="s">
        <v>379</v>
      </c>
      <c r="D246" s="13">
        <v>7891095030736</v>
      </c>
    </row>
    <row r="247" spans="1:4">
      <c r="A247" s="70" t="s">
        <v>2270</v>
      </c>
      <c r="B247" s="17" t="s">
        <v>2284</v>
      </c>
      <c r="C247" s="16" t="s">
        <v>1369</v>
      </c>
      <c r="D247" s="13">
        <v>7891095031122</v>
      </c>
    </row>
    <row r="248" spans="1:4">
      <c r="A248" s="70" t="s">
        <v>2270</v>
      </c>
      <c r="B248" s="17" t="s">
        <v>2284</v>
      </c>
      <c r="C248" s="16" t="s">
        <v>1433</v>
      </c>
      <c r="D248" s="13">
        <v>7891095031153</v>
      </c>
    </row>
    <row r="249" spans="1:4">
      <c r="A249" s="70" t="s">
        <v>2270</v>
      </c>
      <c r="B249" s="17" t="s">
        <v>2284</v>
      </c>
      <c r="C249" s="16" t="s">
        <v>1434</v>
      </c>
      <c r="D249" s="13">
        <v>7891095031160</v>
      </c>
    </row>
    <row r="250" spans="1:4">
      <c r="A250" s="70" t="s">
        <v>2270</v>
      </c>
      <c r="B250" s="17" t="s">
        <v>2284</v>
      </c>
      <c r="C250" s="16" t="s">
        <v>1435</v>
      </c>
      <c r="D250" s="13">
        <v>7891095031177</v>
      </c>
    </row>
    <row r="251" spans="1:4">
      <c r="A251" s="70" t="s">
        <v>1312</v>
      </c>
      <c r="B251" s="17" t="s">
        <v>2284</v>
      </c>
      <c r="C251" s="16" t="s">
        <v>1354</v>
      </c>
      <c r="D251" s="13">
        <v>7891095031115</v>
      </c>
    </row>
    <row r="252" spans="1:4">
      <c r="A252" s="70" t="s">
        <v>1925</v>
      </c>
      <c r="B252" s="17" t="s">
        <v>2284</v>
      </c>
      <c r="C252" s="16" t="s">
        <v>1934</v>
      </c>
      <c r="D252" s="13">
        <v>7891095031696</v>
      </c>
    </row>
    <row r="253" spans="1:4">
      <c r="A253" s="70" t="s">
        <v>1360</v>
      </c>
      <c r="B253" s="17" t="s">
        <v>2284</v>
      </c>
      <c r="C253" s="16" t="s">
        <v>1369</v>
      </c>
      <c r="D253" s="13">
        <v>7891095031122</v>
      </c>
    </row>
    <row r="254" spans="1:4">
      <c r="A254" s="70" t="s">
        <v>1360</v>
      </c>
      <c r="B254" s="17" t="s">
        <v>2284</v>
      </c>
      <c r="C254" s="16" t="s">
        <v>1354</v>
      </c>
      <c r="D254" s="13">
        <v>7891095031115</v>
      </c>
    </row>
    <row r="255" spans="1:4">
      <c r="A255" s="70" t="s">
        <v>1428</v>
      </c>
      <c r="B255" s="17" t="s">
        <v>2284</v>
      </c>
      <c r="C255" s="16" t="s">
        <v>1369</v>
      </c>
      <c r="D255" s="13">
        <v>7891095031122</v>
      </c>
    </row>
    <row r="256" spans="1:4">
      <c r="A256" s="70" t="s">
        <v>1428</v>
      </c>
      <c r="B256" s="17" t="s">
        <v>2284</v>
      </c>
      <c r="C256" s="16" t="s">
        <v>1354</v>
      </c>
      <c r="D256" s="13">
        <v>7891095031115</v>
      </c>
    </row>
    <row r="257" spans="1:4">
      <c r="A257" s="70" t="s">
        <v>1428</v>
      </c>
      <c r="B257" s="17" t="s">
        <v>2284</v>
      </c>
      <c r="C257" s="16" t="s">
        <v>1433</v>
      </c>
      <c r="D257" s="13">
        <v>7891095031153</v>
      </c>
    </row>
    <row r="258" spans="1:4">
      <c r="A258" s="70" t="s">
        <v>1428</v>
      </c>
      <c r="B258" s="17" t="s">
        <v>2284</v>
      </c>
      <c r="C258" s="16" t="s">
        <v>1434</v>
      </c>
      <c r="D258" s="13">
        <v>7891095031160</v>
      </c>
    </row>
    <row r="259" spans="1:4">
      <c r="A259" s="70" t="s">
        <v>1428</v>
      </c>
      <c r="B259" s="17" t="s">
        <v>2284</v>
      </c>
      <c r="C259" s="16" t="s">
        <v>1435</v>
      </c>
      <c r="D259" s="13">
        <v>7891095031177</v>
      </c>
    </row>
    <row r="260" spans="1:4">
      <c r="A260" s="70" t="s">
        <v>2429</v>
      </c>
      <c r="B260" s="17" t="s">
        <v>2284</v>
      </c>
      <c r="C260" s="16" t="s">
        <v>996</v>
      </c>
      <c r="D260" s="13">
        <v>7898921567121</v>
      </c>
    </row>
    <row r="261" spans="1:4">
      <c r="A261" s="70" t="s">
        <v>2327</v>
      </c>
      <c r="B261" s="17" t="s">
        <v>2284</v>
      </c>
      <c r="C261" s="16" t="s">
        <v>996</v>
      </c>
      <c r="D261" s="13">
        <v>7898921567121</v>
      </c>
    </row>
    <row r="262" spans="1:4">
      <c r="A262" s="70" t="s">
        <v>2300</v>
      </c>
      <c r="B262" s="17" t="s">
        <v>2283</v>
      </c>
      <c r="C262" s="16" t="s">
        <v>2308</v>
      </c>
      <c r="D262" s="13">
        <v>7893218003610</v>
      </c>
    </row>
    <row r="263" spans="1:4">
      <c r="A263" s="70" t="s">
        <v>43</v>
      </c>
      <c r="B263" s="17" t="s">
        <v>2288</v>
      </c>
      <c r="C263" s="16" t="s">
        <v>381</v>
      </c>
      <c r="D263" s="13">
        <v>7892999160000</v>
      </c>
    </row>
    <row r="264" spans="1:4">
      <c r="A264" s="70" t="s">
        <v>2291</v>
      </c>
      <c r="B264" s="17" t="s">
        <v>2288</v>
      </c>
      <c r="C264" s="16" t="s">
        <v>2294</v>
      </c>
      <c r="D264" s="13">
        <v>7891025121633</v>
      </c>
    </row>
    <row r="265" spans="1:4">
      <c r="A265" s="70" t="s">
        <v>2291</v>
      </c>
      <c r="B265" s="17" t="s">
        <v>2288</v>
      </c>
      <c r="C265" s="16" t="s">
        <v>2295</v>
      </c>
      <c r="D265" s="13">
        <v>7891025121626</v>
      </c>
    </row>
    <row r="266" spans="1:4">
      <c r="A266" s="70" t="s">
        <v>882</v>
      </c>
      <c r="B266" s="17" t="s">
        <v>2288</v>
      </c>
      <c r="C266" s="16" t="s">
        <v>896</v>
      </c>
      <c r="D266" s="13">
        <v>7891025105435</v>
      </c>
    </row>
    <row r="267" spans="1:4">
      <c r="A267" s="70" t="s">
        <v>882</v>
      </c>
      <c r="B267" s="17" t="s">
        <v>2288</v>
      </c>
      <c r="C267" s="16" t="s">
        <v>897</v>
      </c>
      <c r="D267" s="13">
        <v>7891025105428</v>
      </c>
    </row>
    <row r="268" spans="1:4">
      <c r="A268" s="70" t="s">
        <v>882</v>
      </c>
      <c r="B268" s="17" t="s">
        <v>2288</v>
      </c>
      <c r="C268" s="16" t="s">
        <v>898</v>
      </c>
      <c r="D268" s="13">
        <v>7891025105411</v>
      </c>
    </row>
    <row r="269" spans="1:4">
      <c r="A269" s="70" t="s">
        <v>882</v>
      </c>
      <c r="B269" s="17" t="s">
        <v>2288</v>
      </c>
      <c r="C269" s="16" t="s">
        <v>936</v>
      </c>
      <c r="D269" s="13">
        <v>7891025401650</v>
      </c>
    </row>
    <row r="270" spans="1:4">
      <c r="A270" s="70" t="s">
        <v>882</v>
      </c>
      <c r="B270" s="17" t="s">
        <v>2288</v>
      </c>
      <c r="C270" s="16" t="s">
        <v>937</v>
      </c>
      <c r="D270" s="13">
        <v>7891025401667</v>
      </c>
    </row>
    <row r="271" spans="1:4">
      <c r="A271" s="70" t="s">
        <v>15</v>
      </c>
      <c r="B271" s="17" t="s">
        <v>2288</v>
      </c>
      <c r="C271" s="16" t="s">
        <v>970</v>
      </c>
      <c r="D271" s="13">
        <v>7891999000576</v>
      </c>
    </row>
    <row r="272" spans="1:4">
      <c r="A272" s="70" t="s">
        <v>15</v>
      </c>
      <c r="B272" s="17" t="s">
        <v>2288</v>
      </c>
      <c r="C272" s="16" t="s">
        <v>1418</v>
      </c>
      <c r="D272" s="13">
        <v>7891999933263</v>
      </c>
    </row>
    <row r="273" spans="1:4">
      <c r="A273" s="70" t="s">
        <v>15</v>
      </c>
      <c r="B273" s="17" t="s">
        <v>2288</v>
      </c>
      <c r="C273" s="16" t="s">
        <v>1419</v>
      </c>
      <c r="D273" s="13">
        <v>7891999932006</v>
      </c>
    </row>
    <row r="274" spans="1:4">
      <c r="A274" s="70" t="s">
        <v>15</v>
      </c>
      <c r="B274" s="17" t="s">
        <v>2288</v>
      </c>
      <c r="C274" s="16" t="s">
        <v>971</v>
      </c>
      <c r="D274" s="13">
        <v>7891999000521</v>
      </c>
    </row>
    <row r="275" spans="1:4">
      <c r="A275" s="70" t="s">
        <v>15</v>
      </c>
      <c r="B275" s="17" t="s">
        <v>2288</v>
      </c>
      <c r="C275" s="16" t="s">
        <v>972</v>
      </c>
      <c r="D275" s="13">
        <v>7891999000507</v>
      </c>
    </row>
    <row r="276" spans="1:4">
      <c r="A276" s="70" t="s">
        <v>1658</v>
      </c>
      <c r="B276" s="17" t="s">
        <v>2288</v>
      </c>
      <c r="C276" s="16" t="s">
        <v>1665</v>
      </c>
      <c r="D276" s="13">
        <v>7896238105180</v>
      </c>
    </row>
    <row r="277" spans="1:4">
      <c r="A277" s="70" t="s">
        <v>2637</v>
      </c>
      <c r="B277" s="17" t="s">
        <v>2288</v>
      </c>
      <c r="C277" s="16" t="s">
        <v>2136</v>
      </c>
      <c r="D277" s="13">
        <v>7891999014962</v>
      </c>
    </row>
    <row r="278" spans="1:4">
      <c r="A278" s="70" t="s">
        <v>97</v>
      </c>
      <c r="B278" s="17" t="s">
        <v>2288</v>
      </c>
      <c r="C278" s="16" t="s">
        <v>1239</v>
      </c>
      <c r="D278" s="13">
        <v>7891999941879</v>
      </c>
    </row>
    <row r="279" spans="1:4">
      <c r="A279" s="70" t="s">
        <v>97</v>
      </c>
      <c r="B279" s="17" t="s">
        <v>2288</v>
      </c>
      <c r="C279" s="16" t="s">
        <v>1235</v>
      </c>
      <c r="D279" s="13">
        <v>7891999100047</v>
      </c>
    </row>
    <row r="280" spans="1:4">
      <c r="A280" s="70" t="s">
        <v>97</v>
      </c>
      <c r="B280" s="17" t="s">
        <v>2288</v>
      </c>
      <c r="C280" s="16" t="s">
        <v>1236</v>
      </c>
      <c r="D280" s="13">
        <v>7891999340108</v>
      </c>
    </row>
    <row r="281" spans="1:4">
      <c r="A281" s="70" t="s">
        <v>97</v>
      </c>
      <c r="B281" s="17" t="s">
        <v>2288</v>
      </c>
      <c r="C281" s="16" t="s">
        <v>1237</v>
      </c>
      <c r="D281" s="13">
        <v>7891999100023</v>
      </c>
    </row>
    <row r="282" spans="1:4">
      <c r="A282" s="70" t="s">
        <v>97</v>
      </c>
      <c r="B282" s="17" t="s">
        <v>2288</v>
      </c>
      <c r="C282" s="16" t="s">
        <v>1238</v>
      </c>
      <c r="D282" s="13">
        <v>7891999100016</v>
      </c>
    </row>
    <row r="283" spans="1:4">
      <c r="A283" s="70" t="s">
        <v>1091</v>
      </c>
      <c r="B283" s="17" t="s">
        <v>2283</v>
      </c>
      <c r="C283" s="16" t="s">
        <v>1098</v>
      </c>
      <c r="D283" s="13">
        <v>7898192039914</v>
      </c>
    </row>
    <row r="284" spans="1:4">
      <c r="A284" s="70" t="s">
        <v>1091</v>
      </c>
      <c r="B284" s="17" t="s">
        <v>2283</v>
      </c>
      <c r="C284" s="16" t="s">
        <v>1099</v>
      </c>
      <c r="D284" s="13">
        <v>7898192030485</v>
      </c>
    </row>
    <row r="285" spans="1:4">
      <c r="A285" s="70" t="s">
        <v>1091</v>
      </c>
      <c r="B285" s="17" t="s">
        <v>2283</v>
      </c>
      <c r="C285" s="16" t="s">
        <v>1100</v>
      </c>
      <c r="D285" s="13">
        <v>7898192030539</v>
      </c>
    </row>
    <row r="286" spans="1:4">
      <c r="A286" s="70" t="s">
        <v>1091</v>
      </c>
      <c r="B286" s="17" t="s">
        <v>2283</v>
      </c>
      <c r="C286" s="16" t="s">
        <v>1101</v>
      </c>
      <c r="D286" s="13">
        <v>7898192030072</v>
      </c>
    </row>
    <row r="287" spans="1:4">
      <c r="A287" s="70" t="s">
        <v>1091</v>
      </c>
      <c r="B287" s="17" t="s">
        <v>2283</v>
      </c>
      <c r="C287" s="16" t="s">
        <v>1102</v>
      </c>
      <c r="D287" s="13">
        <v>7898192030010</v>
      </c>
    </row>
    <row r="288" spans="1:4">
      <c r="A288" s="70" t="s">
        <v>1091</v>
      </c>
      <c r="B288" s="17" t="s">
        <v>2283</v>
      </c>
      <c r="C288" s="16" t="s">
        <v>1103</v>
      </c>
      <c r="D288" s="13">
        <v>7898192030577</v>
      </c>
    </row>
    <row r="289" spans="1:4">
      <c r="A289" s="70" t="s">
        <v>1091</v>
      </c>
      <c r="B289" s="17" t="s">
        <v>2283</v>
      </c>
      <c r="C289" s="16" t="s">
        <v>1104</v>
      </c>
      <c r="D289" s="13">
        <v>7898192030065</v>
      </c>
    </row>
    <row r="290" spans="1:4">
      <c r="A290" s="70" t="s">
        <v>1091</v>
      </c>
      <c r="B290" s="17" t="s">
        <v>2283</v>
      </c>
      <c r="C290" s="16" t="s">
        <v>1105</v>
      </c>
      <c r="D290" s="13">
        <v>7898192030140</v>
      </c>
    </row>
    <row r="291" spans="1:4">
      <c r="A291" s="70" t="s">
        <v>385</v>
      </c>
      <c r="B291" s="17" t="s">
        <v>2282</v>
      </c>
      <c r="C291" s="16" t="s">
        <v>403</v>
      </c>
      <c r="D291" s="13">
        <v>7891515791179</v>
      </c>
    </row>
    <row r="292" spans="1:4">
      <c r="A292" s="70" t="s">
        <v>385</v>
      </c>
      <c r="B292" s="17" t="s">
        <v>2282</v>
      </c>
      <c r="C292" s="16" t="s">
        <v>404</v>
      </c>
      <c r="D292" s="13">
        <v>7891515786298</v>
      </c>
    </row>
    <row r="293" spans="1:4">
      <c r="A293" s="70" t="s">
        <v>1967</v>
      </c>
      <c r="B293" s="17" t="s">
        <v>2281</v>
      </c>
      <c r="C293" s="16" t="s">
        <v>1969</v>
      </c>
      <c r="D293" s="13">
        <v>7896003738636</v>
      </c>
    </row>
    <row r="294" spans="1:4">
      <c r="A294" s="70" t="s">
        <v>1967</v>
      </c>
      <c r="B294" s="17" t="s">
        <v>2281</v>
      </c>
      <c r="C294" s="16" t="s">
        <v>1970</v>
      </c>
      <c r="D294" s="13">
        <v>7896003738605</v>
      </c>
    </row>
    <row r="295" spans="1:4">
      <c r="A295" s="70" t="s">
        <v>1967</v>
      </c>
      <c r="B295" s="17" t="s">
        <v>2281</v>
      </c>
      <c r="C295" s="16" t="s">
        <v>1971</v>
      </c>
      <c r="D295" s="13">
        <v>7896003738582</v>
      </c>
    </row>
    <row r="296" spans="1:4">
      <c r="A296" s="70" t="s">
        <v>1967</v>
      </c>
      <c r="B296" s="17" t="s">
        <v>2281</v>
      </c>
      <c r="C296" s="16" t="s">
        <v>2028</v>
      </c>
      <c r="D296" s="13">
        <v>7896003738551</v>
      </c>
    </row>
    <row r="297" spans="1:4">
      <c r="A297" s="70" t="s">
        <v>1967</v>
      </c>
      <c r="B297" s="17" t="s">
        <v>2281</v>
      </c>
      <c r="C297" s="16" t="s">
        <v>2029</v>
      </c>
      <c r="D297" s="13">
        <v>7896003738612</v>
      </c>
    </row>
    <row r="298" spans="1:4">
      <c r="A298" s="70" t="s">
        <v>1967</v>
      </c>
      <c r="B298" s="17" t="s">
        <v>2281</v>
      </c>
      <c r="C298" s="16" t="s">
        <v>1976</v>
      </c>
      <c r="D298" s="13">
        <v>7896003738520</v>
      </c>
    </row>
    <row r="299" spans="1:4">
      <c r="A299" s="70" t="s">
        <v>1967</v>
      </c>
      <c r="B299" s="17" t="s">
        <v>2281</v>
      </c>
      <c r="C299" s="16" t="s">
        <v>1972</v>
      </c>
      <c r="D299" s="13">
        <v>7896003738575</v>
      </c>
    </row>
    <row r="300" spans="1:4">
      <c r="A300" s="70" t="s">
        <v>92</v>
      </c>
      <c r="B300" s="17" t="s">
        <v>2281</v>
      </c>
      <c r="C300" s="16" t="s">
        <v>170</v>
      </c>
      <c r="D300" s="13">
        <v>7896003703245</v>
      </c>
    </row>
    <row r="301" spans="1:4">
      <c r="A301" s="70" t="s">
        <v>92</v>
      </c>
      <c r="B301" s="17" t="s">
        <v>2281</v>
      </c>
      <c r="C301" s="16" t="s">
        <v>171</v>
      </c>
      <c r="D301" s="13">
        <v>7896003703214</v>
      </c>
    </row>
    <row r="302" spans="1:4">
      <c r="A302" s="70" t="s">
        <v>92</v>
      </c>
      <c r="B302" s="17" t="s">
        <v>2281</v>
      </c>
      <c r="C302" s="16" t="s">
        <v>172</v>
      </c>
      <c r="D302" s="13">
        <v>7896003703047</v>
      </c>
    </row>
    <row r="303" spans="1:4">
      <c r="A303" s="70" t="s">
        <v>92</v>
      </c>
      <c r="B303" s="17" t="s">
        <v>2281</v>
      </c>
      <c r="C303" s="16" t="s">
        <v>173</v>
      </c>
      <c r="D303" s="13">
        <v>7896003703061</v>
      </c>
    </row>
    <row r="304" spans="1:4">
      <c r="A304" s="70" t="s">
        <v>92</v>
      </c>
      <c r="B304" s="17" t="s">
        <v>2281</v>
      </c>
      <c r="C304" s="16" t="s">
        <v>174</v>
      </c>
      <c r="D304" s="13">
        <v>7896003703078</v>
      </c>
    </row>
    <row r="305" spans="1:4">
      <c r="A305" s="70" t="s">
        <v>92</v>
      </c>
      <c r="B305" s="17" t="s">
        <v>2281</v>
      </c>
      <c r="C305" s="16" t="s">
        <v>175</v>
      </c>
      <c r="D305" s="13">
        <v>7896003703085</v>
      </c>
    </row>
    <row r="306" spans="1:4">
      <c r="A306" s="70" t="s">
        <v>92</v>
      </c>
      <c r="B306" s="17" t="s">
        <v>2281</v>
      </c>
      <c r="C306" s="16" t="s">
        <v>176</v>
      </c>
      <c r="D306" s="13">
        <v>7896003703054</v>
      </c>
    </row>
    <row r="307" spans="1:4">
      <c r="A307" s="70" t="s">
        <v>2273</v>
      </c>
      <c r="B307" s="17" t="s">
        <v>2281</v>
      </c>
      <c r="C307" s="16" t="s">
        <v>2277</v>
      </c>
      <c r="D307" s="13">
        <v>7896412802621</v>
      </c>
    </row>
    <row r="308" spans="1:4">
      <c r="A308" s="70" t="s">
        <v>2045</v>
      </c>
      <c r="B308" s="17" t="s">
        <v>2281</v>
      </c>
      <c r="C308" s="16" t="s">
        <v>2056</v>
      </c>
      <c r="D308" s="13">
        <v>7896003706536</v>
      </c>
    </row>
    <row r="309" spans="1:4">
      <c r="A309" s="70" t="s">
        <v>2045</v>
      </c>
      <c r="B309" s="17" t="s">
        <v>2281</v>
      </c>
      <c r="C309" s="16" t="s">
        <v>2057</v>
      </c>
      <c r="D309" s="13">
        <v>7896003706598</v>
      </c>
    </row>
    <row r="310" spans="1:4">
      <c r="A310" s="70" t="s">
        <v>2045</v>
      </c>
      <c r="B310" s="17" t="s">
        <v>2281</v>
      </c>
      <c r="C310" s="16" t="s">
        <v>2058</v>
      </c>
      <c r="D310" s="13">
        <v>7896003702880</v>
      </c>
    </row>
    <row r="311" spans="1:4">
      <c r="A311" s="70" t="s">
        <v>2045</v>
      </c>
      <c r="B311" s="17" t="s">
        <v>2281</v>
      </c>
      <c r="C311" s="16" t="s">
        <v>2059</v>
      </c>
      <c r="D311" s="13">
        <v>7896003702866</v>
      </c>
    </row>
    <row r="312" spans="1:4">
      <c r="A312" s="70" t="s">
        <v>2045</v>
      </c>
      <c r="B312" s="17" t="s">
        <v>2281</v>
      </c>
      <c r="C312" s="16" t="s">
        <v>2060</v>
      </c>
      <c r="D312" s="13">
        <v>7896003706581</v>
      </c>
    </row>
    <row r="313" spans="1:4">
      <c r="A313" s="70" t="s">
        <v>2045</v>
      </c>
      <c r="B313" s="17" t="s">
        <v>2281</v>
      </c>
      <c r="C313" s="16" t="s">
        <v>2061</v>
      </c>
      <c r="D313" s="13">
        <v>7896003706246</v>
      </c>
    </row>
    <row r="314" spans="1:4">
      <c r="A314" s="70" t="s">
        <v>2045</v>
      </c>
      <c r="B314" s="17" t="s">
        <v>2281</v>
      </c>
      <c r="C314" s="16" t="s">
        <v>2062</v>
      </c>
      <c r="D314" s="13">
        <v>7896003706550</v>
      </c>
    </row>
    <row r="315" spans="1:4">
      <c r="A315" s="70" t="s">
        <v>2045</v>
      </c>
      <c r="B315" s="17" t="s">
        <v>2281</v>
      </c>
      <c r="C315" s="16" t="s">
        <v>2063</v>
      </c>
      <c r="D315" s="13">
        <v>7896003706086</v>
      </c>
    </row>
    <row r="316" spans="1:4">
      <c r="A316" s="70" t="s">
        <v>881</v>
      </c>
      <c r="B316" s="17" t="s">
        <v>2281</v>
      </c>
      <c r="C316" s="16" t="s">
        <v>895</v>
      </c>
      <c r="D316" s="13">
        <v>7891000241356</v>
      </c>
    </row>
    <row r="317" spans="1:4">
      <c r="A317" s="70" t="s">
        <v>835</v>
      </c>
      <c r="B317" s="17" t="s">
        <v>2281</v>
      </c>
      <c r="C317" s="16" t="s">
        <v>853</v>
      </c>
      <c r="D317" s="13">
        <v>7896058256239</v>
      </c>
    </row>
    <row r="318" spans="1:4">
      <c r="A318" s="70" t="s">
        <v>835</v>
      </c>
      <c r="B318" s="17" t="s">
        <v>2281</v>
      </c>
      <c r="C318" s="16" t="s">
        <v>854</v>
      </c>
      <c r="D318" s="13">
        <v>7896058256215</v>
      </c>
    </row>
    <row r="319" spans="1:4">
      <c r="A319" s="70" t="s">
        <v>835</v>
      </c>
      <c r="B319" s="17" t="s">
        <v>2281</v>
      </c>
      <c r="C319" s="16" t="s">
        <v>855</v>
      </c>
      <c r="D319" s="13">
        <v>7896058256222</v>
      </c>
    </row>
    <row r="320" spans="1:4">
      <c r="A320" s="70" t="s">
        <v>835</v>
      </c>
      <c r="B320" s="17" t="s">
        <v>2281</v>
      </c>
      <c r="C320" s="16" t="s">
        <v>856</v>
      </c>
      <c r="D320" s="13">
        <v>7896058256246</v>
      </c>
    </row>
    <row r="321" spans="1:4">
      <c r="A321" s="70" t="s">
        <v>122</v>
      </c>
      <c r="B321" s="17" t="s">
        <v>2281</v>
      </c>
      <c r="C321" s="16" t="s">
        <v>1509</v>
      </c>
      <c r="D321" s="13">
        <v>7896003700992</v>
      </c>
    </row>
    <row r="322" spans="1:4">
      <c r="A322" s="70" t="s">
        <v>122</v>
      </c>
      <c r="B322" s="17" t="s">
        <v>2281</v>
      </c>
      <c r="C322" s="16" t="s">
        <v>1510</v>
      </c>
      <c r="D322" s="13">
        <v>7896003702538</v>
      </c>
    </row>
    <row r="323" spans="1:4">
      <c r="A323" s="70" t="s">
        <v>122</v>
      </c>
      <c r="B323" s="17" t="s">
        <v>2281</v>
      </c>
      <c r="C323" s="16" t="s">
        <v>1511</v>
      </c>
      <c r="D323" s="13">
        <v>7896003700657</v>
      </c>
    </row>
    <row r="324" spans="1:4">
      <c r="A324" s="70" t="s">
        <v>122</v>
      </c>
      <c r="B324" s="17" t="s">
        <v>2281</v>
      </c>
      <c r="C324" s="16" t="s">
        <v>1512</v>
      </c>
      <c r="D324" s="13">
        <v>7896003703399</v>
      </c>
    </row>
    <row r="325" spans="1:4">
      <c r="A325" s="70" t="s">
        <v>122</v>
      </c>
      <c r="B325" s="17" t="s">
        <v>2281</v>
      </c>
      <c r="C325" s="16" t="s">
        <v>1513</v>
      </c>
      <c r="D325" s="13">
        <v>7896003701425</v>
      </c>
    </row>
    <row r="326" spans="1:4">
      <c r="A326" s="70" t="s">
        <v>122</v>
      </c>
      <c r="B326" s="17" t="s">
        <v>2281</v>
      </c>
      <c r="C326" s="16" t="s">
        <v>1514</v>
      </c>
      <c r="D326" s="13">
        <v>7896003700978</v>
      </c>
    </row>
    <row r="327" spans="1:4">
      <c r="A327" s="70" t="s">
        <v>122</v>
      </c>
      <c r="B327" s="17" t="s">
        <v>2281</v>
      </c>
      <c r="C327" s="16" t="s">
        <v>1515</v>
      </c>
      <c r="D327" s="13">
        <v>7896003702545</v>
      </c>
    </row>
    <row r="328" spans="1:4">
      <c r="A328" s="70" t="s">
        <v>964</v>
      </c>
      <c r="B328" s="17" t="s">
        <v>2288</v>
      </c>
      <c r="C328" s="16" t="s">
        <v>978</v>
      </c>
      <c r="D328" s="13">
        <v>7896002360234</v>
      </c>
    </row>
    <row r="329" spans="1:4">
      <c r="A329" s="70" t="s">
        <v>1475</v>
      </c>
      <c r="B329" s="17" t="s">
        <v>2288</v>
      </c>
      <c r="C329" s="16" t="s">
        <v>1476</v>
      </c>
      <c r="D329" s="13">
        <v>7898904874246</v>
      </c>
    </row>
    <row r="330" spans="1:4">
      <c r="A330" s="70" t="s">
        <v>1115</v>
      </c>
      <c r="B330" s="17" t="s">
        <v>2288</v>
      </c>
      <c r="C330" s="16" t="s">
        <v>1123</v>
      </c>
      <c r="D330" s="13">
        <v>7896002361002</v>
      </c>
    </row>
    <row r="331" spans="1:4">
      <c r="A331" s="70" t="s">
        <v>1115</v>
      </c>
      <c r="B331" s="17" t="s">
        <v>2288</v>
      </c>
      <c r="C331" s="16" t="s">
        <v>1124</v>
      </c>
      <c r="D331" s="13">
        <v>7896002361019</v>
      </c>
    </row>
    <row r="332" spans="1:4">
      <c r="A332" s="70" t="s">
        <v>1115</v>
      </c>
      <c r="B332" s="17" t="s">
        <v>2288</v>
      </c>
      <c r="C332" s="16" t="s">
        <v>1125</v>
      </c>
      <c r="D332" s="13">
        <v>7896002361026</v>
      </c>
    </row>
    <row r="333" spans="1:4">
      <c r="A333" s="70" t="s">
        <v>1115</v>
      </c>
      <c r="B333" s="17" t="s">
        <v>2288</v>
      </c>
      <c r="C333" s="16" t="s">
        <v>1126</v>
      </c>
      <c r="D333" s="13">
        <v>7896002360982</v>
      </c>
    </row>
    <row r="334" spans="1:4">
      <c r="A334" s="70" t="s">
        <v>1115</v>
      </c>
      <c r="B334" s="17" t="s">
        <v>2288</v>
      </c>
      <c r="C334" s="16" t="s">
        <v>1127</v>
      </c>
      <c r="D334" s="13">
        <v>7896002362146</v>
      </c>
    </row>
    <row r="335" spans="1:4">
      <c r="A335" s="70" t="s">
        <v>1115</v>
      </c>
      <c r="B335" s="17" t="s">
        <v>2288</v>
      </c>
      <c r="C335" s="16" t="s">
        <v>1128</v>
      </c>
      <c r="D335" s="13">
        <v>7896002361033</v>
      </c>
    </row>
    <row r="336" spans="1:4">
      <c r="A336" s="70" t="s">
        <v>2130</v>
      </c>
      <c r="B336" s="17" t="s">
        <v>2281</v>
      </c>
      <c r="C336" s="16" t="s">
        <v>2065</v>
      </c>
      <c r="D336" s="13">
        <v>7898142859173</v>
      </c>
    </row>
    <row r="337" spans="1:4">
      <c r="A337" s="70" t="s">
        <v>2425</v>
      </c>
      <c r="B337" s="17" t="s">
        <v>2281</v>
      </c>
      <c r="C337" s="16" t="s">
        <v>1982</v>
      </c>
      <c r="D337" s="13">
        <v>7898142865143</v>
      </c>
    </row>
    <row r="338" spans="1:4">
      <c r="A338" s="70" t="s">
        <v>1829</v>
      </c>
      <c r="B338" s="17" t="s">
        <v>2281</v>
      </c>
      <c r="C338" s="16" t="s">
        <v>1831</v>
      </c>
      <c r="D338" s="13">
        <v>7898142862104</v>
      </c>
    </row>
    <row r="339" spans="1:4">
      <c r="A339" s="70" t="s">
        <v>492</v>
      </c>
      <c r="B339" s="17" t="s">
        <v>2281</v>
      </c>
      <c r="C339" s="16" t="s">
        <v>493</v>
      </c>
      <c r="D339" s="13">
        <v>7891000295304</v>
      </c>
    </row>
    <row r="340" spans="1:4">
      <c r="A340" s="70" t="s">
        <v>492</v>
      </c>
      <c r="B340" s="17" t="s">
        <v>2281</v>
      </c>
      <c r="C340" s="16" t="s">
        <v>493</v>
      </c>
      <c r="D340" s="13">
        <v>7891000325131</v>
      </c>
    </row>
    <row r="341" spans="1:4">
      <c r="A341" s="70" t="s">
        <v>660</v>
      </c>
      <c r="B341" s="17" t="s">
        <v>2281</v>
      </c>
      <c r="C341" s="16" t="s">
        <v>696</v>
      </c>
      <c r="D341" s="13">
        <v>7622210596413</v>
      </c>
    </row>
    <row r="342" spans="1:4">
      <c r="A342" s="70" t="s">
        <v>125</v>
      </c>
      <c r="B342" s="17" t="s">
        <v>2281</v>
      </c>
      <c r="C342" s="16" t="s">
        <v>158</v>
      </c>
      <c r="D342" s="13">
        <v>7896019602006</v>
      </c>
    </row>
    <row r="343" spans="1:4">
      <c r="A343" s="70" t="s">
        <v>125</v>
      </c>
      <c r="B343" s="17" t="s">
        <v>2281</v>
      </c>
      <c r="C343" s="16" t="s">
        <v>159</v>
      </c>
      <c r="D343" s="13">
        <v>7896019602105</v>
      </c>
    </row>
    <row r="344" spans="1:4">
      <c r="A344" s="70" t="s">
        <v>1743</v>
      </c>
      <c r="B344" s="17" t="s">
        <v>2281</v>
      </c>
      <c r="C344" s="16" t="s">
        <v>1746</v>
      </c>
      <c r="D344" s="13">
        <v>7896079820037</v>
      </c>
    </row>
    <row r="345" spans="1:4">
      <c r="A345" s="70" t="s">
        <v>1743</v>
      </c>
      <c r="B345" s="17" t="s">
        <v>2281</v>
      </c>
      <c r="C345" s="16" t="s">
        <v>1747</v>
      </c>
      <c r="D345" s="13">
        <v>7896079820532</v>
      </c>
    </row>
    <row r="346" spans="1:4">
      <c r="A346" s="70" t="s">
        <v>1743</v>
      </c>
      <c r="B346" s="17" t="s">
        <v>2281</v>
      </c>
      <c r="C346" s="16" t="s">
        <v>1748</v>
      </c>
      <c r="D346" s="13">
        <v>7896079820631</v>
      </c>
    </row>
    <row r="347" spans="1:4">
      <c r="A347" s="70" t="s">
        <v>2260</v>
      </c>
      <c r="B347" s="17" t="s">
        <v>2283</v>
      </c>
      <c r="C347" s="16" t="s">
        <v>2265</v>
      </c>
      <c r="D347" s="13">
        <v>7896383700681</v>
      </c>
    </row>
    <row r="348" spans="1:4">
      <c r="A348" s="70" t="s">
        <v>4</v>
      </c>
      <c r="B348" s="17" t="s">
        <v>2281</v>
      </c>
      <c r="C348" s="16" t="s">
        <v>454</v>
      </c>
      <c r="D348" s="13">
        <v>7896005800010</v>
      </c>
    </row>
    <row r="349" spans="1:4">
      <c r="A349" s="70" t="s">
        <v>4</v>
      </c>
      <c r="B349" s="17" t="s">
        <v>2281</v>
      </c>
      <c r="C349" s="16" t="s">
        <v>448</v>
      </c>
      <c r="D349" s="13">
        <v>7896005801529</v>
      </c>
    </row>
    <row r="350" spans="1:4">
      <c r="A350" s="70" t="s">
        <v>1248</v>
      </c>
      <c r="B350" s="17" t="s">
        <v>2281</v>
      </c>
      <c r="C350" s="16" t="s">
        <v>449</v>
      </c>
      <c r="D350" s="13">
        <v>7896005800188</v>
      </c>
    </row>
    <row r="351" spans="1:4">
      <c r="A351" s="70" t="s">
        <v>1248</v>
      </c>
      <c r="B351" s="17" t="s">
        <v>2281</v>
      </c>
      <c r="C351" s="16" t="s">
        <v>450</v>
      </c>
      <c r="D351" s="13">
        <v>7896045102396</v>
      </c>
    </row>
    <row r="352" spans="1:4">
      <c r="A352" s="70" t="s">
        <v>1248</v>
      </c>
      <c r="B352" s="17" t="s">
        <v>2281</v>
      </c>
      <c r="C352" s="16" t="s">
        <v>449</v>
      </c>
      <c r="D352" s="13">
        <v>7896045102440</v>
      </c>
    </row>
    <row r="353" spans="1:4">
      <c r="A353" s="70" t="s">
        <v>1248</v>
      </c>
      <c r="B353" s="17" t="s">
        <v>2281</v>
      </c>
      <c r="C353" s="16" t="s">
        <v>450</v>
      </c>
      <c r="D353" s="13">
        <v>7896005801826</v>
      </c>
    </row>
    <row r="354" spans="1:4">
      <c r="A354" s="70" t="s">
        <v>136</v>
      </c>
      <c r="B354" s="17" t="s">
        <v>2281</v>
      </c>
      <c r="C354" s="16" t="s">
        <v>448</v>
      </c>
      <c r="D354" s="13">
        <v>7896005801529</v>
      </c>
    </row>
    <row r="355" spans="1:4">
      <c r="A355" s="70" t="s">
        <v>136</v>
      </c>
      <c r="B355" s="17" t="s">
        <v>2281</v>
      </c>
      <c r="C355" s="16" t="s">
        <v>450</v>
      </c>
      <c r="D355" s="13">
        <v>7896005801826</v>
      </c>
    </row>
    <row r="356" spans="1:4">
      <c r="A356" s="70" t="s">
        <v>136</v>
      </c>
      <c r="B356" s="17" t="s">
        <v>2281</v>
      </c>
      <c r="C356" s="16" t="s">
        <v>2691</v>
      </c>
      <c r="D356" s="13">
        <v>7896045102396</v>
      </c>
    </row>
    <row r="357" spans="1:4">
      <c r="A357" s="70" t="s">
        <v>136</v>
      </c>
      <c r="B357" s="17" t="s">
        <v>2281</v>
      </c>
      <c r="C357" s="16" t="s">
        <v>449</v>
      </c>
      <c r="D357" s="13">
        <v>7896005800188</v>
      </c>
    </row>
    <row r="358" spans="1:4">
      <c r="A358" s="70" t="s">
        <v>136</v>
      </c>
      <c r="B358" s="17" t="s">
        <v>2281</v>
      </c>
      <c r="C358" s="16" t="s">
        <v>454</v>
      </c>
      <c r="D358" s="13">
        <v>7896005800010</v>
      </c>
    </row>
    <row r="359" spans="1:4">
      <c r="A359" s="70" t="s">
        <v>136</v>
      </c>
      <c r="B359" s="17" t="s">
        <v>2281</v>
      </c>
      <c r="C359" s="16" t="s">
        <v>2690</v>
      </c>
      <c r="D359" s="13">
        <v>7896045102440</v>
      </c>
    </row>
    <row r="360" spans="1:4">
      <c r="A360" s="70" t="s">
        <v>1437</v>
      </c>
      <c r="B360" s="17" t="s">
        <v>2281</v>
      </c>
      <c r="C360" s="16" t="s">
        <v>1440</v>
      </c>
      <c r="D360" s="13">
        <v>7896035731438</v>
      </c>
    </row>
    <row r="361" spans="1:4">
      <c r="A361" s="70" t="s">
        <v>1437</v>
      </c>
      <c r="B361" s="17" t="s">
        <v>2281</v>
      </c>
      <c r="C361" s="16" t="s">
        <v>1441</v>
      </c>
      <c r="D361" s="13">
        <v>7896035731384</v>
      </c>
    </row>
    <row r="362" spans="1:4">
      <c r="A362" s="70" t="s">
        <v>1696</v>
      </c>
      <c r="B362" s="17" t="s">
        <v>2281</v>
      </c>
      <c r="C362" s="16" t="s">
        <v>802</v>
      </c>
      <c r="D362" s="13">
        <v>7896089016215</v>
      </c>
    </row>
    <row r="363" spans="1:4">
      <c r="A363" s="70" t="s">
        <v>10</v>
      </c>
      <c r="B363" s="17" t="s">
        <v>2281</v>
      </c>
      <c r="C363" s="16" t="s">
        <v>785</v>
      </c>
      <c r="D363" s="13">
        <v>7896089010916</v>
      </c>
    </row>
    <row r="364" spans="1:4">
      <c r="A364" s="70" t="s">
        <v>134</v>
      </c>
      <c r="B364" s="17" t="s">
        <v>2281</v>
      </c>
      <c r="C364" s="16" t="s">
        <v>371</v>
      </c>
      <c r="D364" s="13">
        <v>7896469101319</v>
      </c>
    </row>
    <row r="365" spans="1:4">
      <c r="A365" s="70" t="s">
        <v>2166</v>
      </c>
      <c r="B365" s="17" t="s">
        <v>2281</v>
      </c>
      <c r="C365" s="16" t="s">
        <v>2171</v>
      </c>
      <c r="D365" s="13">
        <v>7891021060769</v>
      </c>
    </row>
    <row r="366" spans="1:4">
      <c r="A366" s="70" t="s">
        <v>47</v>
      </c>
      <c r="B366" s="17" t="s">
        <v>2281</v>
      </c>
      <c r="C366" s="16" t="s">
        <v>439</v>
      </c>
      <c r="D366" s="13">
        <v>7891021006125</v>
      </c>
    </row>
    <row r="367" spans="1:4">
      <c r="A367" s="70" t="s">
        <v>47</v>
      </c>
      <c r="B367" s="17" t="s">
        <v>2281</v>
      </c>
      <c r="C367" s="16" t="s">
        <v>440</v>
      </c>
      <c r="D367" s="13">
        <v>7891021006934</v>
      </c>
    </row>
    <row r="368" spans="1:4">
      <c r="A368" s="70" t="s">
        <v>116</v>
      </c>
      <c r="B368" s="17" t="s">
        <v>2281</v>
      </c>
      <c r="C368" s="16" t="s">
        <v>212</v>
      </c>
      <c r="D368" s="13">
        <v>7892222300500</v>
      </c>
    </row>
    <row r="369" spans="1:4">
      <c r="A369" s="70" t="s">
        <v>116</v>
      </c>
      <c r="B369" s="17" t="s">
        <v>2281</v>
      </c>
      <c r="C369" s="16" t="s">
        <v>213</v>
      </c>
      <c r="D369" s="13">
        <v>7892222310547</v>
      </c>
    </row>
    <row r="370" spans="1:4">
      <c r="A370" s="70" t="s">
        <v>1217</v>
      </c>
      <c r="B370" s="17" t="s">
        <v>2281</v>
      </c>
      <c r="C370" s="16" t="s">
        <v>1221</v>
      </c>
      <c r="D370" s="13">
        <v>7896089011357</v>
      </c>
    </row>
    <row r="371" spans="1:4">
      <c r="A371" s="70" t="s">
        <v>1020</v>
      </c>
      <c r="B371" s="17" t="s">
        <v>2287</v>
      </c>
      <c r="C371" s="16" t="s">
        <v>1028</v>
      </c>
      <c r="D371" s="13">
        <v>7896005808573</v>
      </c>
    </row>
    <row r="372" spans="1:4">
      <c r="A372" s="70" t="s">
        <v>72</v>
      </c>
      <c r="B372" s="17" t="s">
        <v>2281</v>
      </c>
      <c r="C372" s="16" t="s">
        <v>704</v>
      </c>
      <c r="D372" s="13">
        <v>7896005800157</v>
      </c>
    </row>
    <row r="373" spans="1:4">
      <c r="A373" s="70" t="s">
        <v>72</v>
      </c>
      <c r="B373" s="17" t="s">
        <v>2281</v>
      </c>
      <c r="C373" s="16" t="s">
        <v>705</v>
      </c>
      <c r="D373" s="13">
        <v>7896005802892</v>
      </c>
    </row>
    <row r="374" spans="1:4">
      <c r="A374" s="70" t="s">
        <v>2662</v>
      </c>
      <c r="B374" s="17" t="s">
        <v>2281</v>
      </c>
      <c r="C374" s="16" t="s">
        <v>1787</v>
      </c>
      <c r="D374" s="13">
        <v>7891021007078</v>
      </c>
    </row>
    <row r="375" spans="1:4">
      <c r="A375" s="70" t="s">
        <v>2662</v>
      </c>
      <c r="B375" s="17" t="s">
        <v>2281</v>
      </c>
      <c r="C375" s="16" t="s">
        <v>1788</v>
      </c>
      <c r="D375" s="13">
        <v>7891021007290</v>
      </c>
    </row>
    <row r="376" spans="1:4">
      <c r="A376" s="70" t="s">
        <v>65</v>
      </c>
      <c r="B376" s="17" t="s">
        <v>2281</v>
      </c>
      <c r="C376" s="16" t="s">
        <v>178</v>
      </c>
      <c r="D376" s="13">
        <v>7896005805121</v>
      </c>
    </row>
    <row r="377" spans="1:4">
      <c r="A377" s="70" t="s">
        <v>65</v>
      </c>
      <c r="B377" s="17" t="s">
        <v>2281</v>
      </c>
      <c r="C377" s="16" t="s">
        <v>179</v>
      </c>
      <c r="D377" s="13">
        <v>7896005805107</v>
      </c>
    </row>
    <row r="378" spans="1:4">
      <c r="A378" s="70" t="s">
        <v>65</v>
      </c>
      <c r="B378" s="17" t="s">
        <v>2281</v>
      </c>
      <c r="C378" s="16" t="s">
        <v>180</v>
      </c>
      <c r="D378" s="13">
        <v>7896005805114</v>
      </c>
    </row>
    <row r="379" spans="1:4">
      <c r="A379" s="70" t="s">
        <v>65</v>
      </c>
      <c r="B379" s="17" t="s">
        <v>2281</v>
      </c>
      <c r="C379" s="16" t="s">
        <v>181</v>
      </c>
      <c r="D379" s="13">
        <v>7896005805077</v>
      </c>
    </row>
    <row r="380" spans="1:4">
      <c r="A380" s="70" t="s">
        <v>65</v>
      </c>
      <c r="B380" s="17" t="s">
        <v>2281</v>
      </c>
      <c r="C380" s="16" t="s">
        <v>182</v>
      </c>
      <c r="D380" s="13">
        <v>7896005806463</v>
      </c>
    </row>
    <row r="381" spans="1:4">
      <c r="A381" s="70" t="s">
        <v>65</v>
      </c>
      <c r="B381" s="17" t="s">
        <v>2281</v>
      </c>
      <c r="C381" s="16" t="s">
        <v>183</v>
      </c>
      <c r="D381" s="13">
        <v>7896005805039</v>
      </c>
    </row>
    <row r="382" spans="1:4">
      <c r="A382" s="70" t="s">
        <v>65</v>
      </c>
      <c r="B382" s="17" t="s">
        <v>2281</v>
      </c>
      <c r="C382" s="16" t="s">
        <v>184</v>
      </c>
      <c r="D382" s="13">
        <v>7896005805046</v>
      </c>
    </row>
    <row r="383" spans="1:4">
      <c r="A383" s="70" t="s">
        <v>65</v>
      </c>
      <c r="B383" s="17" t="s">
        <v>2281</v>
      </c>
      <c r="C383" s="16" t="s">
        <v>185</v>
      </c>
      <c r="D383" s="13">
        <v>7896005805053</v>
      </c>
    </row>
    <row r="384" spans="1:4">
      <c r="A384" s="70" t="s">
        <v>65</v>
      </c>
      <c r="B384" s="17" t="s">
        <v>2281</v>
      </c>
      <c r="C384" s="16" t="s">
        <v>186</v>
      </c>
      <c r="D384" s="13">
        <v>7896005805695</v>
      </c>
    </row>
    <row r="385" spans="1:4">
      <c r="A385" s="70" t="s">
        <v>65</v>
      </c>
      <c r="B385" s="17" t="s">
        <v>2281</v>
      </c>
      <c r="C385" s="16" t="s">
        <v>187</v>
      </c>
      <c r="D385" s="13">
        <v>7896005806210</v>
      </c>
    </row>
    <row r="386" spans="1:4">
      <c r="A386" s="70" t="s">
        <v>65</v>
      </c>
      <c r="B386" s="17" t="s">
        <v>2281</v>
      </c>
      <c r="C386" s="16" t="s">
        <v>188</v>
      </c>
      <c r="D386" s="13">
        <v>7896005806203</v>
      </c>
    </row>
    <row r="387" spans="1:4">
      <c r="A387" s="70" t="s">
        <v>65</v>
      </c>
      <c r="B387" s="17" t="s">
        <v>2281</v>
      </c>
      <c r="C387" s="16" t="s">
        <v>189</v>
      </c>
      <c r="D387" s="13">
        <v>7896005805138</v>
      </c>
    </row>
    <row r="388" spans="1:4">
      <c r="A388" s="70" t="s">
        <v>65</v>
      </c>
      <c r="B388" s="17" t="s">
        <v>2281</v>
      </c>
      <c r="C388" s="16" t="s">
        <v>190</v>
      </c>
      <c r="D388" s="13">
        <v>7896005805701</v>
      </c>
    </row>
    <row r="389" spans="1:4">
      <c r="A389" s="70" t="s">
        <v>65</v>
      </c>
      <c r="B389" s="17" t="s">
        <v>2281</v>
      </c>
      <c r="C389" s="16" t="s">
        <v>191</v>
      </c>
      <c r="D389" s="13">
        <v>7896005805718</v>
      </c>
    </row>
    <row r="390" spans="1:4">
      <c r="A390" s="70" t="s">
        <v>65</v>
      </c>
      <c r="B390" s="17" t="s">
        <v>2281</v>
      </c>
      <c r="C390" s="16" t="s">
        <v>192</v>
      </c>
      <c r="D390" s="13">
        <v>7896005806340</v>
      </c>
    </row>
    <row r="391" spans="1:4">
      <c r="A391" s="70" t="s">
        <v>65</v>
      </c>
      <c r="B391" s="17" t="s">
        <v>2281</v>
      </c>
      <c r="C391" s="16" t="s">
        <v>193</v>
      </c>
      <c r="D391" s="13">
        <v>7896005805022</v>
      </c>
    </row>
    <row r="392" spans="1:4">
      <c r="A392" s="70" t="s">
        <v>65</v>
      </c>
      <c r="B392" s="17" t="s">
        <v>2281</v>
      </c>
      <c r="C392" s="16" t="s">
        <v>194</v>
      </c>
      <c r="D392" s="13">
        <v>7896005804995</v>
      </c>
    </row>
    <row r="393" spans="1:4">
      <c r="A393" s="70" t="s">
        <v>65</v>
      </c>
      <c r="B393" s="17" t="s">
        <v>2281</v>
      </c>
      <c r="C393" s="16" t="s">
        <v>195</v>
      </c>
      <c r="D393" s="13">
        <v>7896005805008</v>
      </c>
    </row>
    <row r="394" spans="1:4">
      <c r="A394" s="70" t="s">
        <v>65</v>
      </c>
      <c r="B394" s="17" t="s">
        <v>2281</v>
      </c>
      <c r="C394" s="16" t="s">
        <v>196</v>
      </c>
      <c r="D394" s="13">
        <v>7896005805015</v>
      </c>
    </row>
    <row r="395" spans="1:4">
      <c r="A395" s="70" t="s">
        <v>1058</v>
      </c>
      <c r="B395" s="17" t="s">
        <v>2281</v>
      </c>
      <c r="C395" s="16" t="s">
        <v>185</v>
      </c>
      <c r="D395" s="13">
        <v>789600580505</v>
      </c>
    </row>
    <row r="396" spans="1:4">
      <c r="A396" s="70" t="s">
        <v>1058</v>
      </c>
      <c r="B396" s="17" t="s">
        <v>2281</v>
      </c>
      <c r="C396" s="16" t="s">
        <v>1261</v>
      </c>
      <c r="D396" s="13">
        <v>7896045101733</v>
      </c>
    </row>
    <row r="397" spans="1:4">
      <c r="A397" s="70" t="s">
        <v>1058</v>
      </c>
      <c r="B397" s="17" t="s">
        <v>2281</v>
      </c>
      <c r="C397" s="16" t="s">
        <v>2384</v>
      </c>
      <c r="D397" s="13">
        <v>7896045105199</v>
      </c>
    </row>
    <row r="398" spans="1:4">
      <c r="A398" s="70" t="s">
        <v>1058</v>
      </c>
      <c r="B398" s="17" t="s">
        <v>2281</v>
      </c>
      <c r="C398" s="16" t="s">
        <v>2385</v>
      </c>
      <c r="D398" s="13">
        <v>7896045104871</v>
      </c>
    </row>
    <row r="399" spans="1:4">
      <c r="A399" s="70" t="s">
        <v>1058</v>
      </c>
      <c r="B399" s="17" t="s">
        <v>2281</v>
      </c>
      <c r="C399" s="16" t="s">
        <v>2386</v>
      </c>
      <c r="D399" s="13">
        <v>7896045100545</v>
      </c>
    </row>
    <row r="400" spans="1:4">
      <c r="A400" s="70" t="s">
        <v>1058</v>
      </c>
      <c r="B400" s="17" t="s">
        <v>2281</v>
      </c>
      <c r="C400" s="16" t="s">
        <v>2387</v>
      </c>
      <c r="D400" s="13">
        <v>7896045105274</v>
      </c>
    </row>
    <row r="401" spans="1:4">
      <c r="A401" s="70" t="s">
        <v>1058</v>
      </c>
      <c r="B401" s="17" t="s">
        <v>2281</v>
      </c>
      <c r="C401" s="16" t="s">
        <v>2388</v>
      </c>
      <c r="D401" s="13">
        <v>7896045104734</v>
      </c>
    </row>
    <row r="402" spans="1:4">
      <c r="A402" s="70" t="s">
        <v>1058</v>
      </c>
      <c r="B402" s="17" t="s">
        <v>2281</v>
      </c>
      <c r="C402" s="16" t="s">
        <v>2389</v>
      </c>
      <c r="D402" s="13">
        <v>7896045100552</v>
      </c>
    </row>
    <row r="403" spans="1:4">
      <c r="A403" s="70" t="s">
        <v>1358</v>
      </c>
      <c r="B403" s="17" t="s">
        <v>2281</v>
      </c>
      <c r="C403" s="16" t="s">
        <v>1389</v>
      </c>
      <c r="D403" s="13">
        <v>7896045102570</v>
      </c>
    </row>
    <row r="404" spans="1:4">
      <c r="A404" s="70" t="s">
        <v>1740</v>
      </c>
      <c r="B404" s="17" t="s">
        <v>2281</v>
      </c>
      <c r="C404" s="16" t="s">
        <v>1750</v>
      </c>
      <c r="D404" s="13">
        <v>7896089088441</v>
      </c>
    </row>
    <row r="405" spans="1:4">
      <c r="A405" s="70" t="s">
        <v>1740</v>
      </c>
      <c r="B405" s="17" t="s">
        <v>2281</v>
      </c>
      <c r="C405" s="16" t="s">
        <v>1751</v>
      </c>
      <c r="D405" s="13">
        <v>7896089088373</v>
      </c>
    </row>
    <row r="406" spans="1:4">
      <c r="A406" s="70" t="s">
        <v>1740</v>
      </c>
      <c r="B406" s="17" t="s">
        <v>2281</v>
      </c>
      <c r="C406" s="16" t="s">
        <v>1752</v>
      </c>
      <c r="D406" s="13">
        <v>7896089088380</v>
      </c>
    </row>
    <row r="407" spans="1:4">
      <c r="A407" s="70" t="s">
        <v>1740</v>
      </c>
      <c r="B407" s="17" t="s">
        <v>2281</v>
      </c>
      <c r="C407" s="16" t="s">
        <v>1753</v>
      </c>
      <c r="D407" s="13">
        <v>7896089088410</v>
      </c>
    </row>
    <row r="408" spans="1:4">
      <c r="A408" s="70" t="s">
        <v>1740</v>
      </c>
      <c r="B408" s="17" t="s">
        <v>2281</v>
      </c>
      <c r="C408" s="16" t="s">
        <v>1754</v>
      </c>
      <c r="D408" s="13">
        <v>7896089088427</v>
      </c>
    </row>
    <row r="409" spans="1:4">
      <c r="A409" s="70" t="s">
        <v>1740</v>
      </c>
      <c r="B409" s="17" t="s">
        <v>2281</v>
      </c>
      <c r="C409" s="16" t="s">
        <v>1755</v>
      </c>
      <c r="D409" s="13">
        <v>7896089088403</v>
      </c>
    </row>
    <row r="410" spans="1:4">
      <c r="A410" s="70" t="s">
        <v>1726</v>
      </c>
      <c r="B410" s="17" t="s">
        <v>3406</v>
      </c>
      <c r="C410" s="16" t="s">
        <v>1727</v>
      </c>
      <c r="D410" s="13">
        <v>99189</v>
      </c>
    </row>
    <row r="411" spans="1:4">
      <c r="A411" s="70" t="s">
        <v>1757</v>
      </c>
      <c r="B411" s="17" t="s">
        <v>3406</v>
      </c>
      <c r="C411" s="16" t="s">
        <v>1758</v>
      </c>
      <c r="D411" s="13">
        <v>98311</v>
      </c>
    </row>
    <row r="412" spans="1:4">
      <c r="A412" s="70" t="s">
        <v>1409</v>
      </c>
      <c r="B412" s="17" t="s">
        <v>3406</v>
      </c>
      <c r="C412" s="16" t="s">
        <v>1409</v>
      </c>
      <c r="D412" s="13">
        <v>98182</v>
      </c>
    </row>
    <row r="413" spans="1:4">
      <c r="A413" s="10" t="s">
        <v>2695</v>
      </c>
      <c r="B413" s="17" t="s">
        <v>2281</v>
      </c>
      <c r="C413" s="16" t="s">
        <v>2020</v>
      </c>
      <c r="D413" s="13">
        <v>7896004007427</v>
      </c>
    </row>
    <row r="414" spans="1:4">
      <c r="A414" s="10" t="s">
        <v>2695</v>
      </c>
      <c r="B414" s="17" t="s">
        <v>2281</v>
      </c>
      <c r="C414" s="16" t="s">
        <v>2021</v>
      </c>
      <c r="D414" s="13">
        <v>7896004007366</v>
      </c>
    </row>
    <row r="415" spans="1:4">
      <c r="A415" s="70" t="s">
        <v>1602</v>
      </c>
      <c r="B415" s="17" t="s">
        <v>2283</v>
      </c>
      <c r="C415" s="16" t="s">
        <v>2896</v>
      </c>
      <c r="D415" s="13">
        <v>7896045504831</v>
      </c>
    </row>
    <row r="416" spans="1:4">
      <c r="A416" s="70" t="s">
        <v>1602</v>
      </c>
      <c r="B416" s="17" t="s">
        <v>2283</v>
      </c>
      <c r="C416" s="16" t="s">
        <v>2896</v>
      </c>
      <c r="D416" s="13">
        <v>7896045506934</v>
      </c>
    </row>
    <row r="417" spans="1:4">
      <c r="A417" s="70" t="s">
        <v>1602</v>
      </c>
      <c r="B417" s="17" t="s">
        <v>2283</v>
      </c>
      <c r="C417" s="72" t="s">
        <v>165</v>
      </c>
      <c r="D417" s="75">
        <v>7896045506941</v>
      </c>
    </row>
    <row r="418" spans="1:4">
      <c r="A418" s="70" t="s">
        <v>1602</v>
      </c>
      <c r="B418" s="17" t="s">
        <v>2283</v>
      </c>
      <c r="C418" s="72" t="s">
        <v>165</v>
      </c>
      <c r="D418" s="75">
        <v>7896045504848</v>
      </c>
    </row>
    <row r="419" spans="1:4">
      <c r="A419" s="70" t="s">
        <v>2263</v>
      </c>
      <c r="B419" s="17" t="s">
        <v>2283</v>
      </c>
      <c r="C419" s="16" t="s">
        <v>2264</v>
      </c>
      <c r="D419" s="13">
        <v>7891991000796</v>
      </c>
    </row>
    <row r="420" spans="1:4">
      <c r="A420" s="70" t="s">
        <v>2263</v>
      </c>
      <c r="B420" s="17" t="s">
        <v>2283</v>
      </c>
      <c r="C420" s="16" t="s">
        <v>2267</v>
      </c>
      <c r="D420" s="13">
        <v>7891991002141</v>
      </c>
    </row>
    <row r="421" spans="1:4">
      <c r="A421" s="70" t="s">
        <v>121</v>
      </c>
      <c r="B421" s="17" t="s">
        <v>2283</v>
      </c>
      <c r="C421" s="16" t="s">
        <v>164</v>
      </c>
      <c r="D421" s="13">
        <v>7891991010023</v>
      </c>
    </row>
    <row r="422" spans="1:4">
      <c r="A422" s="70" t="s">
        <v>121</v>
      </c>
      <c r="B422" s="17" t="s">
        <v>2283</v>
      </c>
      <c r="C422" s="16" t="s">
        <v>165</v>
      </c>
      <c r="D422" s="13">
        <v>7891991010030</v>
      </c>
    </row>
    <row r="423" spans="1:4">
      <c r="A423" s="70" t="s">
        <v>2317</v>
      </c>
      <c r="B423" s="17" t="s">
        <v>2283</v>
      </c>
      <c r="C423" s="16" t="s">
        <v>2321</v>
      </c>
      <c r="D423" s="13">
        <v>7898230710102</v>
      </c>
    </row>
    <row r="424" spans="1:4">
      <c r="A424" s="70" t="s">
        <v>2316</v>
      </c>
      <c r="B424" s="17" t="s">
        <v>2283</v>
      </c>
      <c r="C424" s="16" t="s">
        <v>2320</v>
      </c>
      <c r="D424" s="13">
        <v>7898230716616</v>
      </c>
    </row>
    <row r="425" spans="1:4">
      <c r="A425" s="70" t="s">
        <v>2316</v>
      </c>
      <c r="B425" s="17" t="s">
        <v>2283</v>
      </c>
      <c r="C425" s="73" t="s">
        <v>321</v>
      </c>
      <c r="D425" s="75">
        <v>7898230716623</v>
      </c>
    </row>
    <row r="426" spans="1:4">
      <c r="A426" s="70" t="s">
        <v>1204</v>
      </c>
      <c r="B426" s="17" t="s">
        <v>2283</v>
      </c>
      <c r="C426" s="16" t="s">
        <v>164</v>
      </c>
      <c r="D426" s="13">
        <v>7891991294942</v>
      </c>
    </row>
    <row r="427" spans="1:4">
      <c r="A427" s="70" t="s">
        <v>1204</v>
      </c>
      <c r="B427" s="17" t="s">
        <v>2283</v>
      </c>
      <c r="C427" s="16" t="s">
        <v>247</v>
      </c>
      <c r="D427" s="13">
        <v>7891991294959</v>
      </c>
    </row>
    <row r="428" spans="1:4">
      <c r="A428" s="10" t="s">
        <v>3009</v>
      </c>
      <c r="B428" s="17" t="s">
        <v>2283</v>
      </c>
      <c r="C428" s="16" t="s">
        <v>164</v>
      </c>
      <c r="D428" s="13">
        <v>7891149010509</v>
      </c>
    </row>
    <row r="429" spans="1:4">
      <c r="A429" s="10" t="s">
        <v>3009</v>
      </c>
      <c r="B429" s="17" t="s">
        <v>2283</v>
      </c>
      <c r="C429" s="72" t="s">
        <v>197</v>
      </c>
      <c r="D429" s="77">
        <v>7891149100019</v>
      </c>
    </row>
    <row r="430" spans="1:4">
      <c r="A430" s="70" t="s">
        <v>21</v>
      </c>
      <c r="B430" s="17" t="s">
        <v>2283</v>
      </c>
      <c r="C430" s="16" t="s">
        <v>162</v>
      </c>
      <c r="D430" s="13">
        <v>7891991014762</v>
      </c>
    </row>
    <row r="431" spans="1:4">
      <c r="A431" s="70" t="s">
        <v>21</v>
      </c>
      <c r="B431" s="17" t="s">
        <v>2283</v>
      </c>
      <c r="C431" s="16" t="s">
        <v>163</v>
      </c>
      <c r="D431" s="13">
        <v>7891991014779</v>
      </c>
    </row>
    <row r="432" spans="1:4">
      <c r="A432" s="70" t="s">
        <v>1404</v>
      </c>
      <c r="B432" s="17" t="s">
        <v>2283</v>
      </c>
      <c r="C432" s="16" t="s">
        <v>164</v>
      </c>
      <c r="D432" s="13">
        <v>7898295301352</v>
      </c>
    </row>
    <row r="433" spans="1:4">
      <c r="A433" s="70" t="s">
        <v>1404</v>
      </c>
      <c r="B433" s="17" t="s">
        <v>2283</v>
      </c>
      <c r="C433" s="16" t="s">
        <v>197</v>
      </c>
      <c r="D433" s="13">
        <v>7898295301376</v>
      </c>
    </row>
    <row r="434" spans="1:4">
      <c r="A434" s="70" t="s">
        <v>1407</v>
      </c>
      <c r="B434" s="17" t="s">
        <v>2283</v>
      </c>
      <c r="C434" s="16" t="s">
        <v>164</v>
      </c>
      <c r="D434" s="13">
        <v>7898295300850</v>
      </c>
    </row>
    <row r="435" spans="1:4">
      <c r="A435" s="70" t="s">
        <v>1407</v>
      </c>
      <c r="B435" s="17" t="s">
        <v>2283</v>
      </c>
      <c r="C435" s="16" t="s">
        <v>247</v>
      </c>
      <c r="D435" s="13">
        <v>7898295301383</v>
      </c>
    </row>
    <row r="436" spans="1:4" ht="30">
      <c r="A436" s="70" t="s">
        <v>2393</v>
      </c>
      <c r="B436" s="17" t="s">
        <v>2283</v>
      </c>
      <c r="C436" s="16" t="s">
        <v>2159</v>
      </c>
      <c r="D436" s="13">
        <v>7898295303226</v>
      </c>
    </row>
    <row r="437" spans="1:4">
      <c r="A437" s="70" t="s">
        <v>1501</v>
      </c>
      <c r="B437" s="17" t="s">
        <v>2283</v>
      </c>
      <c r="C437" s="16" t="s">
        <v>164</v>
      </c>
      <c r="D437" s="13">
        <v>7897395060107</v>
      </c>
    </row>
    <row r="438" spans="1:4">
      <c r="A438" s="70" t="s">
        <v>1501</v>
      </c>
      <c r="B438" s="17" t="s">
        <v>2283</v>
      </c>
      <c r="C438" s="16" t="s">
        <v>1502</v>
      </c>
      <c r="D438" s="13">
        <v>7897395060138</v>
      </c>
    </row>
    <row r="439" spans="1:4">
      <c r="A439" s="70" t="s">
        <v>461</v>
      </c>
      <c r="B439" s="17" t="s">
        <v>2283</v>
      </c>
      <c r="C439" s="16" t="s">
        <v>164</v>
      </c>
      <c r="D439" s="13">
        <v>7898904771606</v>
      </c>
    </row>
    <row r="440" spans="1:4">
      <c r="A440" s="70" t="s">
        <v>461</v>
      </c>
      <c r="B440" s="17" t="s">
        <v>2283</v>
      </c>
      <c r="C440" s="16" t="s">
        <v>247</v>
      </c>
      <c r="D440" s="13">
        <v>7898904771613</v>
      </c>
    </row>
    <row r="441" spans="1:4">
      <c r="A441" s="70" t="s">
        <v>1660</v>
      </c>
      <c r="B441" s="17" t="s">
        <v>2283</v>
      </c>
      <c r="C441" s="16" t="s">
        <v>1410</v>
      </c>
      <c r="D441" s="13">
        <v>7898367983639</v>
      </c>
    </row>
    <row r="442" spans="1:4">
      <c r="A442" s="70" t="s">
        <v>1660</v>
      </c>
      <c r="B442" s="17" t="s">
        <v>2283</v>
      </c>
      <c r="C442" s="16" t="s">
        <v>1411</v>
      </c>
      <c r="D442" s="13">
        <v>7898367983615</v>
      </c>
    </row>
    <row r="443" spans="1:4">
      <c r="A443" s="70" t="s">
        <v>962</v>
      </c>
      <c r="B443" s="17" t="s">
        <v>2283</v>
      </c>
      <c r="C443" s="16" t="s">
        <v>164</v>
      </c>
      <c r="D443" s="13">
        <v>7898367983790</v>
      </c>
    </row>
    <row r="444" spans="1:4">
      <c r="A444" s="70" t="s">
        <v>962</v>
      </c>
      <c r="B444" s="17" t="s">
        <v>2283</v>
      </c>
      <c r="C444" s="16" t="s">
        <v>165</v>
      </c>
      <c r="D444" s="13">
        <v>7898367984018</v>
      </c>
    </row>
    <row r="445" spans="1:4">
      <c r="A445" s="70" t="s">
        <v>129</v>
      </c>
      <c r="B445" s="17" t="s">
        <v>2283</v>
      </c>
      <c r="C445" s="16" t="s">
        <v>162</v>
      </c>
      <c r="D445" s="13">
        <v>7898367980010</v>
      </c>
    </row>
    <row r="446" spans="1:4">
      <c r="A446" s="70" t="s">
        <v>129</v>
      </c>
      <c r="B446" s="17" t="s">
        <v>2283</v>
      </c>
      <c r="C446" s="16" t="s">
        <v>291</v>
      </c>
      <c r="D446" s="13">
        <v>7898367980058</v>
      </c>
    </row>
    <row r="447" spans="1:4">
      <c r="A447" s="70" t="s">
        <v>420</v>
      </c>
      <c r="B447" s="17" t="s">
        <v>2283</v>
      </c>
      <c r="C447" s="16" t="s">
        <v>164</v>
      </c>
      <c r="D447" s="13">
        <v>7896052601882</v>
      </c>
    </row>
    <row r="448" spans="1:4">
      <c r="A448" s="70" t="s">
        <v>420</v>
      </c>
      <c r="B448" s="17" t="s">
        <v>2283</v>
      </c>
      <c r="C448" s="16" t="s">
        <v>165</v>
      </c>
      <c r="D448" s="13">
        <v>7896052601899</v>
      </c>
    </row>
    <row r="449" spans="1:4">
      <c r="A449" s="70" t="s">
        <v>1966</v>
      </c>
      <c r="B449" s="17" t="s">
        <v>2283</v>
      </c>
      <c r="C449" s="16" t="s">
        <v>1945</v>
      </c>
      <c r="D449" s="13">
        <v>8712000025649</v>
      </c>
    </row>
    <row r="450" spans="1:4">
      <c r="A450" s="70" t="s">
        <v>1388</v>
      </c>
      <c r="B450" s="17" t="s">
        <v>2283</v>
      </c>
      <c r="C450" s="16" t="s">
        <v>164</v>
      </c>
      <c r="D450" s="13">
        <v>7896045523412</v>
      </c>
    </row>
    <row r="451" spans="1:4">
      <c r="A451" s="70" t="s">
        <v>1388</v>
      </c>
      <c r="B451" s="17" t="s">
        <v>2283</v>
      </c>
      <c r="C451" s="72" t="s">
        <v>216</v>
      </c>
      <c r="D451" s="75">
        <v>7896045501038</v>
      </c>
    </row>
    <row r="452" spans="1:4">
      <c r="A452" s="70" t="s">
        <v>1388</v>
      </c>
      <c r="B452" s="17" t="s">
        <v>2283</v>
      </c>
      <c r="C452" s="16" t="s">
        <v>2847</v>
      </c>
      <c r="D452" s="13">
        <v>7896045506873</v>
      </c>
    </row>
    <row r="453" spans="1:4">
      <c r="A453" s="70" t="s">
        <v>1388</v>
      </c>
      <c r="B453" s="17" t="s">
        <v>2283</v>
      </c>
      <c r="C453" s="72" t="s">
        <v>2848</v>
      </c>
      <c r="D453" s="75">
        <v>7896045506880</v>
      </c>
    </row>
    <row r="454" spans="1:4">
      <c r="A454" s="70" t="s">
        <v>1704</v>
      </c>
      <c r="B454" s="17" t="s">
        <v>2283</v>
      </c>
      <c r="C454" s="16" t="s">
        <v>162</v>
      </c>
      <c r="D454" s="13">
        <v>78936683</v>
      </c>
    </row>
    <row r="455" spans="1:4">
      <c r="A455" s="70" t="s">
        <v>1704</v>
      </c>
      <c r="B455" s="17" t="s">
        <v>2283</v>
      </c>
      <c r="C455" s="72" t="s">
        <v>321</v>
      </c>
      <c r="D455" s="75">
        <v>7896045505371</v>
      </c>
    </row>
    <row r="456" spans="1:4">
      <c r="A456" s="70" t="s">
        <v>1951</v>
      </c>
      <c r="B456" s="17" t="s">
        <v>2283</v>
      </c>
      <c r="C456" s="16" t="s">
        <v>162</v>
      </c>
      <c r="D456" s="13">
        <v>7896045506040</v>
      </c>
    </row>
    <row r="457" spans="1:4">
      <c r="A457" s="70" t="s">
        <v>1951</v>
      </c>
      <c r="B457" s="17" t="s">
        <v>2283</v>
      </c>
      <c r="C457" s="72" t="s">
        <v>321</v>
      </c>
      <c r="D457" s="75">
        <v>7896045506057</v>
      </c>
    </row>
    <row r="458" spans="1:4">
      <c r="A458" s="70" t="s">
        <v>292</v>
      </c>
      <c r="B458" s="17" t="s">
        <v>2283</v>
      </c>
      <c r="C458" s="16" t="s">
        <v>162</v>
      </c>
      <c r="D458" s="13">
        <v>7897395010164</v>
      </c>
    </row>
    <row r="459" spans="1:4">
      <c r="A459" s="70" t="s">
        <v>292</v>
      </c>
      <c r="B459" s="17" t="s">
        <v>2283</v>
      </c>
      <c r="C459" s="16" t="s">
        <v>291</v>
      </c>
      <c r="D459" s="13">
        <v>7897395010171</v>
      </c>
    </row>
    <row r="460" spans="1:4">
      <c r="A460" s="70" t="s">
        <v>1835</v>
      </c>
      <c r="B460" s="17" t="s">
        <v>2283</v>
      </c>
      <c r="C460" s="16" t="s">
        <v>164</v>
      </c>
      <c r="D460" s="13">
        <v>7897395020101</v>
      </c>
    </row>
    <row r="461" spans="1:4">
      <c r="A461" s="70" t="s">
        <v>1835</v>
      </c>
      <c r="B461" s="17" t="s">
        <v>2283</v>
      </c>
      <c r="C461" s="16" t="s">
        <v>216</v>
      </c>
      <c r="D461" s="13">
        <v>7897395020132</v>
      </c>
    </row>
    <row r="462" spans="1:4">
      <c r="A462" s="70" t="s">
        <v>1406</v>
      </c>
      <c r="B462" s="17" t="s">
        <v>2283</v>
      </c>
      <c r="C462" s="72" t="s">
        <v>216</v>
      </c>
      <c r="D462" s="75">
        <v>7897395020132</v>
      </c>
    </row>
    <row r="463" spans="1:4">
      <c r="A463" s="70" t="s">
        <v>1406</v>
      </c>
      <c r="B463" s="17" t="s">
        <v>2283</v>
      </c>
      <c r="C463" s="16" t="s">
        <v>164</v>
      </c>
      <c r="D463" s="13">
        <v>7897395020101</v>
      </c>
    </row>
    <row r="464" spans="1:4">
      <c r="A464" s="70" t="s">
        <v>1405</v>
      </c>
      <c r="B464" s="17" t="s">
        <v>2283</v>
      </c>
      <c r="C464" s="16" t="s">
        <v>164</v>
      </c>
      <c r="D464" s="13">
        <v>7897395040390</v>
      </c>
    </row>
    <row r="465" spans="1:4">
      <c r="A465" s="70" t="s">
        <v>1405</v>
      </c>
      <c r="B465" s="17" t="s">
        <v>2283</v>
      </c>
      <c r="C465" s="16" t="s">
        <v>197</v>
      </c>
      <c r="D465" s="13">
        <v>7897395040406</v>
      </c>
    </row>
    <row r="466" spans="1:4">
      <c r="A466" s="70" t="s">
        <v>19</v>
      </c>
      <c r="B466" s="17" t="s">
        <v>2283</v>
      </c>
      <c r="C466" s="16" t="s">
        <v>164</v>
      </c>
      <c r="D466" s="13">
        <v>7897395099329</v>
      </c>
    </row>
    <row r="467" spans="1:4">
      <c r="A467" s="70" t="s">
        <v>19</v>
      </c>
      <c r="B467" s="17" t="s">
        <v>2283</v>
      </c>
      <c r="C467" s="72" t="s">
        <v>165</v>
      </c>
      <c r="D467" s="75">
        <v>7897395099336</v>
      </c>
    </row>
    <row r="468" spans="1:4">
      <c r="A468" s="70" t="s">
        <v>117</v>
      </c>
      <c r="B468" s="17" t="s">
        <v>2283</v>
      </c>
      <c r="C468" s="16" t="s">
        <v>217</v>
      </c>
      <c r="D468" s="13">
        <v>7897395099350</v>
      </c>
    </row>
    <row r="469" spans="1:4">
      <c r="A469" s="70" t="s">
        <v>117</v>
      </c>
      <c r="B469" s="17" t="s">
        <v>2283</v>
      </c>
      <c r="C469" s="16" t="s">
        <v>164</v>
      </c>
      <c r="D469" s="13">
        <v>7897395099343</v>
      </c>
    </row>
    <row r="470" spans="1:4">
      <c r="A470" s="70" t="s">
        <v>264</v>
      </c>
      <c r="B470" s="17" t="s">
        <v>2283</v>
      </c>
      <c r="C470" s="16" t="s">
        <v>164</v>
      </c>
      <c r="D470" s="13">
        <v>7891149108466</v>
      </c>
    </row>
    <row r="471" spans="1:4">
      <c r="A471" s="70" t="s">
        <v>264</v>
      </c>
      <c r="B471" s="17" t="s">
        <v>2283</v>
      </c>
      <c r="C471" s="16" t="s">
        <v>164</v>
      </c>
      <c r="D471" s="13">
        <v>7891149109746</v>
      </c>
    </row>
    <row r="472" spans="1:4">
      <c r="A472" s="70" t="s">
        <v>264</v>
      </c>
      <c r="B472" s="17" t="s">
        <v>2283</v>
      </c>
      <c r="C472" s="16" t="s">
        <v>251</v>
      </c>
      <c r="D472" s="13">
        <v>7891149109005</v>
      </c>
    </row>
    <row r="473" spans="1:4">
      <c r="A473" s="70" t="s">
        <v>264</v>
      </c>
      <c r="B473" s="17" t="s">
        <v>2283</v>
      </c>
      <c r="C473" s="16" t="s">
        <v>216</v>
      </c>
      <c r="D473" s="13">
        <v>7891149109753</v>
      </c>
    </row>
    <row r="474" spans="1:4">
      <c r="A474" s="70" t="s">
        <v>264</v>
      </c>
      <c r="B474" s="17" t="s">
        <v>2283</v>
      </c>
      <c r="C474" s="16" t="s">
        <v>216</v>
      </c>
      <c r="D474" s="13">
        <v>7891149108473</v>
      </c>
    </row>
    <row r="475" spans="1:4">
      <c r="A475" s="70" t="s">
        <v>295</v>
      </c>
      <c r="B475" s="17" t="s">
        <v>2283</v>
      </c>
      <c r="C475" s="16" t="s">
        <v>162</v>
      </c>
      <c r="D475" s="13">
        <v>7891149101900</v>
      </c>
    </row>
    <row r="476" spans="1:4">
      <c r="A476" s="70" t="s">
        <v>295</v>
      </c>
      <c r="B476" s="17" t="s">
        <v>2283</v>
      </c>
      <c r="C476" s="16" t="s">
        <v>217</v>
      </c>
      <c r="D476" s="13">
        <v>7891149101917</v>
      </c>
    </row>
    <row r="477" spans="1:4">
      <c r="A477" s="70" t="s">
        <v>708</v>
      </c>
      <c r="B477" s="17" t="s">
        <v>2281</v>
      </c>
      <c r="C477" s="16" t="s">
        <v>712</v>
      </c>
      <c r="D477" s="13">
        <v>7896045000197</v>
      </c>
    </row>
    <row r="478" spans="1:4">
      <c r="A478" s="70" t="s">
        <v>1315</v>
      </c>
      <c r="B478" s="17" t="s">
        <v>3406</v>
      </c>
      <c r="C478" s="16" t="s">
        <v>1343</v>
      </c>
      <c r="D478" s="13">
        <v>98137</v>
      </c>
    </row>
    <row r="479" spans="1:4">
      <c r="A479" s="70" t="s">
        <v>2229</v>
      </c>
      <c r="B479" s="17" t="s">
        <v>2287</v>
      </c>
      <c r="C479" s="16" t="str">
        <f>UPPER(A479)</f>
        <v>CHINELO CARTAGO ATLANTA ADULTO MASCULINO – (REF:11840)</v>
      </c>
      <c r="D479" s="13">
        <v>7891261670445</v>
      </c>
    </row>
    <row r="480" spans="1:4">
      <c r="A480" s="70" t="s">
        <v>2229</v>
      </c>
      <c r="B480" s="17" t="s">
        <v>2287</v>
      </c>
      <c r="C480" s="16" t="s">
        <v>2240</v>
      </c>
      <c r="D480" s="13">
        <v>7891261671190</v>
      </c>
    </row>
    <row r="481" spans="1:4">
      <c r="A481" s="70" t="s">
        <v>1830</v>
      </c>
      <c r="B481" s="17" t="s">
        <v>2287</v>
      </c>
      <c r="C481" s="16" t="s">
        <v>1832</v>
      </c>
      <c r="D481" s="13">
        <v>7909006187889</v>
      </c>
    </row>
    <row r="482" spans="1:4">
      <c r="A482" s="70" t="s">
        <v>2201</v>
      </c>
      <c r="B482" s="17" t="s">
        <v>2287</v>
      </c>
      <c r="C482" s="16" t="s">
        <v>2209</v>
      </c>
      <c r="D482" s="13">
        <v>7890875033561</v>
      </c>
    </row>
    <row r="483" spans="1:4">
      <c r="A483" s="70" t="s">
        <v>2201</v>
      </c>
      <c r="B483" s="17" t="s">
        <v>2287</v>
      </c>
      <c r="C483" s="16" t="s">
        <v>2210</v>
      </c>
      <c r="D483" s="13">
        <v>7890875124245</v>
      </c>
    </row>
    <row r="484" spans="1:4">
      <c r="A484" s="70" t="s">
        <v>2202</v>
      </c>
      <c r="B484" s="17" t="s">
        <v>2287</v>
      </c>
      <c r="C484" s="16" t="s">
        <v>2211</v>
      </c>
      <c r="D484" s="13">
        <v>7890875227601</v>
      </c>
    </row>
    <row r="485" spans="1:4">
      <c r="A485" s="70" t="s">
        <v>2230</v>
      </c>
      <c r="B485" s="17" t="s">
        <v>2287</v>
      </c>
      <c r="C485" s="16" t="str">
        <f>UPPER(A485)</f>
        <v>CHINELO IPANEMA ELO PRINT ADULTO FEMININO CORES - (REF: 26468)</v>
      </c>
      <c r="D485" s="13">
        <v>7909510464902</v>
      </c>
    </row>
    <row r="486" spans="1:4">
      <c r="A486" s="70" t="s">
        <v>2142</v>
      </c>
      <c r="B486" s="17" t="s">
        <v>2287</v>
      </c>
      <c r="C486" s="16" t="s">
        <v>2150</v>
      </c>
      <c r="D486" s="13">
        <v>7909806391929</v>
      </c>
    </row>
    <row r="487" spans="1:4">
      <c r="A487" s="70" t="s">
        <v>2142</v>
      </c>
      <c r="B487" s="17" t="s">
        <v>2287</v>
      </c>
      <c r="C487" s="16" t="s">
        <v>2152</v>
      </c>
      <c r="D487" s="13">
        <v>7909806392124</v>
      </c>
    </row>
    <row r="488" spans="1:4">
      <c r="A488" s="70" t="s">
        <v>2142</v>
      </c>
      <c r="B488" s="17" t="s">
        <v>2287</v>
      </c>
      <c r="C488" s="16" t="s">
        <v>2153</v>
      </c>
      <c r="D488" s="13">
        <v>7909806391875</v>
      </c>
    </row>
    <row r="489" spans="1:4">
      <c r="A489" s="70" t="s">
        <v>2143</v>
      </c>
      <c r="B489" s="17" t="s">
        <v>2287</v>
      </c>
      <c r="C489" s="16" t="s">
        <v>2151</v>
      </c>
      <c r="D489" s="13">
        <v>7909510862418</v>
      </c>
    </row>
    <row r="490" spans="1:4">
      <c r="A490" s="70" t="s">
        <v>1532</v>
      </c>
      <c r="B490" s="17" t="s">
        <v>2287</v>
      </c>
      <c r="C490" s="16" t="s">
        <v>1544</v>
      </c>
      <c r="D490" s="13">
        <v>7909510751170</v>
      </c>
    </row>
    <row r="491" spans="1:4">
      <c r="A491" s="70" t="s">
        <v>1532</v>
      </c>
      <c r="B491" s="17" t="s">
        <v>2287</v>
      </c>
      <c r="C491" s="16" t="s">
        <v>1543</v>
      </c>
      <c r="D491" s="13">
        <v>7909510751194</v>
      </c>
    </row>
    <row r="492" spans="1:4">
      <c r="A492" s="70" t="s">
        <v>2198</v>
      </c>
      <c r="B492" s="17" t="s">
        <v>2281</v>
      </c>
      <c r="C492" s="16" t="s">
        <v>284</v>
      </c>
      <c r="D492" s="13">
        <v>7898142863842</v>
      </c>
    </row>
    <row r="493" spans="1:4">
      <c r="A493" s="70" t="s">
        <v>2198</v>
      </c>
      <c r="B493" s="17" t="s">
        <v>2281</v>
      </c>
      <c r="C493" s="16" t="s">
        <v>285</v>
      </c>
      <c r="D493" s="13">
        <v>7898142863804</v>
      </c>
    </row>
    <row r="494" spans="1:4">
      <c r="A494" s="70" t="s">
        <v>2198</v>
      </c>
      <c r="B494" s="17" t="s">
        <v>2281</v>
      </c>
      <c r="C494" s="16" t="s">
        <v>286</v>
      </c>
      <c r="D494" s="13">
        <v>7898142863965</v>
      </c>
    </row>
    <row r="495" spans="1:4">
      <c r="A495" s="70" t="s">
        <v>2198</v>
      </c>
      <c r="B495" s="17" t="s">
        <v>2281</v>
      </c>
      <c r="C495" s="16" t="s">
        <v>287</v>
      </c>
      <c r="D495" s="13">
        <v>7898142863927</v>
      </c>
    </row>
    <row r="496" spans="1:4">
      <c r="A496" s="70" t="s">
        <v>2198</v>
      </c>
      <c r="B496" s="17" t="s">
        <v>2281</v>
      </c>
      <c r="C496" s="16" t="s">
        <v>288</v>
      </c>
      <c r="D496" s="13">
        <v>7898142863941</v>
      </c>
    </row>
    <row r="497" spans="1:4">
      <c r="A497" s="70" t="s">
        <v>2198</v>
      </c>
      <c r="B497" s="17" t="s">
        <v>2281</v>
      </c>
      <c r="C497" s="16" t="s">
        <v>289</v>
      </c>
      <c r="D497" s="13">
        <v>7898142863880</v>
      </c>
    </row>
    <row r="498" spans="1:4">
      <c r="A498" s="70" t="s">
        <v>2198</v>
      </c>
      <c r="B498" s="17" t="s">
        <v>2281</v>
      </c>
      <c r="C498" s="16" t="s">
        <v>290</v>
      </c>
      <c r="D498" s="13">
        <v>7898142863989</v>
      </c>
    </row>
    <row r="499" spans="1:4">
      <c r="A499" s="70" t="s">
        <v>2198</v>
      </c>
      <c r="B499" s="17" t="s">
        <v>2281</v>
      </c>
      <c r="C499" s="16" t="s">
        <v>652</v>
      </c>
      <c r="D499" s="13">
        <v>7898142863798</v>
      </c>
    </row>
    <row r="500" spans="1:4">
      <c r="A500" s="70" t="s">
        <v>2198</v>
      </c>
      <c r="B500" s="17" t="s">
        <v>2281</v>
      </c>
      <c r="C500" s="16" t="s">
        <v>653</v>
      </c>
      <c r="D500" s="13">
        <v>7898142863958</v>
      </c>
    </row>
    <row r="501" spans="1:4">
      <c r="A501" s="70" t="s">
        <v>2198</v>
      </c>
      <c r="B501" s="17" t="s">
        <v>2281</v>
      </c>
      <c r="C501" s="16" t="s">
        <v>654</v>
      </c>
      <c r="D501" s="13">
        <v>7898142863910</v>
      </c>
    </row>
    <row r="502" spans="1:4">
      <c r="A502" s="70" t="s">
        <v>2198</v>
      </c>
      <c r="B502" s="17" t="s">
        <v>2281</v>
      </c>
      <c r="C502" s="16" t="s">
        <v>655</v>
      </c>
      <c r="D502" s="13">
        <v>7898142863835</v>
      </c>
    </row>
    <row r="503" spans="1:4">
      <c r="A503" s="70" t="s">
        <v>2198</v>
      </c>
      <c r="B503" s="17" t="s">
        <v>2281</v>
      </c>
      <c r="C503" s="16" t="s">
        <v>2311</v>
      </c>
      <c r="D503" s="13">
        <v>7898142865464</v>
      </c>
    </row>
    <row r="504" spans="1:4">
      <c r="A504" s="70" t="s">
        <v>2198</v>
      </c>
      <c r="B504" s="17" t="s">
        <v>2281</v>
      </c>
      <c r="C504" s="16" t="s">
        <v>656</v>
      </c>
      <c r="D504" s="13">
        <v>7898142863972</v>
      </c>
    </row>
    <row r="505" spans="1:4">
      <c r="A505" s="70" t="s">
        <v>2198</v>
      </c>
      <c r="B505" s="17" t="s">
        <v>2281</v>
      </c>
      <c r="C505" s="16" t="s">
        <v>2899</v>
      </c>
      <c r="D505" s="13">
        <v>7898142864962</v>
      </c>
    </row>
    <row r="506" spans="1:4">
      <c r="A506" s="70" t="s">
        <v>2198</v>
      </c>
      <c r="B506" s="17" t="s">
        <v>2281</v>
      </c>
      <c r="C506" s="16" t="s">
        <v>657</v>
      </c>
      <c r="D506" s="13">
        <v>7898142863873</v>
      </c>
    </row>
    <row r="507" spans="1:4">
      <c r="A507" s="70" t="s">
        <v>2198</v>
      </c>
      <c r="B507" s="17" t="s">
        <v>2281</v>
      </c>
      <c r="C507" s="16" t="s">
        <v>658</v>
      </c>
      <c r="D507" s="13">
        <v>7898142863934</v>
      </c>
    </row>
    <row r="508" spans="1:4" ht="30">
      <c r="A508" s="70" t="s">
        <v>1627</v>
      </c>
      <c r="B508" s="17" t="s">
        <v>2281</v>
      </c>
      <c r="C508" s="16" t="s">
        <v>284</v>
      </c>
      <c r="D508" s="13">
        <v>7898142863842</v>
      </c>
    </row>
    <row r="509" spans="1:4" ht="30">
      <c r="A509" s="70" t="s">
        <v>1627</v>
      </c>
      <c r="B509" s="17" t="s">
        <v>2281</v>
      </c>
      <c r="C509" s="16" t="s">
        <v>285</v>
      </c>
      <c r="D509" s="13">
        <v>7898142863804</v>
      </c>
    </row>
    <row r="510" spans="1:4" ht="30">
      <c r="A510" s="70" t="s">
        <v>1627</v>
      </c>
      <c r="B510" s="17" t="s">
        <v>2281</v>
      </c>
      <c r="C510" s="16" t="s">
        <v>286</v>
      </c>
      <c r="D510" s="13">
        <v>7898142863965</v>
      </c>
    </row>
    <row r="511" spans="1:4" ht="30">
      <c r="A511" s="70" t="s">
        <v>1627</v>
      </c>
      <c r="B511" s="17" t="s">
        <v>2281</v>
      </c>
      <c r="C511" s="16" t="s">
        <v>287</v>
      </c>
      <c r="D511" s="13">
        <v>7898142863927</v>
      </c>
    </row>
    <row r="512" spans="1:4" ht="30">
      <c r="A512" s="70" t="s">
        <v>1627</v>
      </c>
      <c r="B512" s="17" t="s">
        <v>2281</v>
      </c>
      <c r="C512" s="16" t="s">
        <v>288</v>
      </c>
      <c r="D512" s="13">
        <v>7898142863941</v>
      </c>
    </row>
    <row r="513" spans="1:4" ht="30">
      <c r="A513" s="70" t="s">
        <v>1627</v>
      </c>
      <c r="B513" s="17" t="s">
        <v>2281</v>
      </c>
      <c r="C513" s="16" t="s">
        <v>289</v>
      </c>
      <c r="D513" s="13">
        <v>7898142863880</v>
      </c>
    </row>
    <row r="514" spans="1:4" ht="30">
      <c r="A514" s="70" t="s">
        <v>1627</v>
      </c>
      <c r="B514" s="17" t="s">
        <v>2281</v>
      </c>
      <c r="C514" s="16" t="s">
        <v>290</v>
      </c>
      <c r="D514" s="13">
        <v>7898142863989</v>
      </c>
    </row>
    <row r="515" spans="1:4" ht="30">
      <c r="A515" s="70" t="s">
        <v>1627</v>
      </c>
      <c r="B515" s="17" t="s">
        <v>2281</v>
      </c>
      <c r="C515" s="16" t="s">
        <v>652</v>
      </c>
      <c r="D515" s="13">
        <v>7898142863798</v>
      </c>
    </row>
    <row r="516" spans="1:4" ht="30">
      <c r="A516" s="70" t="s">
        <v>1627</v>
      </c>
      <c r="B516" s="17" t="s">
        <v>2281</v>
      </c>
      <c r="C516" s="16" t="s">
        <v>653</v>
      </c>
      <c r="D516" s="13">
        <v>7898142863958</v>
      </c>
    </row>
    <row r="517" spans="1:4" ht="30">
      <c r="A517" s="70" t="s">
        <v>1627</v>
      </c>
      <c r="B517" s="17" t="s">
        <v>2281</v>
      </c>
      <c r="C517" s="16" t="s">
        <v>654</v>
      </c>
      <c r="D517" s="13">
        <v>7898142863910</v>
      </c>
    </row>
    <row r="518" spans="1:4" ht="30">
      <c r="A518" s="70" t="s">
        <v>1627</v>
      </c>
      <c r="B518" s="17" t="s">
        <v>2281</v>
      </c>
      <c r="C518" s="16" t="s">
        <v>655</v>
      </c>
      <c r="D518" s="13">
        <v>7898142863835</v>
      </c>
    </row>
    <row r="519" spans="1:4" ht="30">
      <c r="A519" s="70" t="s">
        <v>1627</v>
      </c>
      <c r="B519" s="17" t="s">
        <v>2281</v>
      </c>
      <c r="C519" s="16" t="s">
        <v>656</v>
      </c>
      <c r="D519" s="13">
        <v>7898142863972</v>
      </c>
    </row>
    <row r="520" spans="1:4" ht="30">
      <c r="A520" s="70" t="s">
        <v>1627</v>
      </c>
      <c r="B520" s="17" t="s">
        <v>2281</v>
      </c>
      <c r="C520" s="16" t="s">
        <v>657</v>
      </c>
      <c r="D520" s="13">
        <v>7898142863873</v>
      </c>
    </row>
    <row r="521" spans="1:4" ht="30">
      <c r="A521" s="70" t="s">
        <v>1627</v>
      </c>
      <c r="B521" s="17" t="s">
        <v>2281</v>
      </c>
      <c r="C521" s="16" t="s">
        <v>658</v>
      </c>
      <c r="D521" s="13">
        <v>7898142863934</v>
      </c>
    </row>
    <row r="522" spans="1:4">
      <c r="A522" s="70" t="s">
        <v>732</v>
      </c>
      <c r="B522" s="17" t="s">
        <v>2281</v>
      </c>
      <c r="C522" s="16" t="s">
        <v>738</v>
      </c>
      <c r="D522" s="13">
        <v>7622210961716</v>
      </c>
    </row>
    <row r="523" spans="1:4">
      <c r="A523" s="70" t="s">
        <v>732</v>
      </c>
      <c r="B523" s="17" t="s">
        <v>2281</v>
      </c>
      <c r="C523" s="16" t="s">
        <v>801</v>
      </c>
      <c r="D523" s="13">
        <v>7622300991456</v>
      </c>
    </row>
    <row r="524" spans="1:4">
      <c r="A524" s="70" t="s">
        <v>732</v>
      </c>
      <c r="B524" s="17" t="s">
        <v>2281</v>
      </c>
      <c r="C524" s="16" t="s">
        <v>739</v>
      </c>
      <c r="D524" s="13">
        <v>7622210961679</v>
      </c>
    </row>
    <row r="525" spans="1:4">
      <c r="A525" s="70" t="s">
        <v>732</v>
      </c>
      <c r="B525" s="17" t="s">
        <v>2281</v>
      </c>
      <c r="C525" s="16" t="s">
        <v>740</v>
      </c>
      <c r="D525" s="13">
        <v>7622210936707</v>
      </c>
    </row>
    <row r="526" spans="1:4">
      <c r="A526" s="70" t="s">
        <v>732</v>
      </c>
      <c r="B526" s="17" t="s">
        <v>2281</v>
      </c>
      <c r="C526" s="16" t="s">
        <v>741</v>
      </c>
      <c r="D526" s="13">
        <v>7622300991500</v>
      </c>
    </row>
    <row r="527" spans="1:4">
      <c r="A527" s="70" t="s">
        <v>732</v>
      </c>
      <c r="B527" s="17" t="s">
        <v>2281</v>
      </c>
      <c r="C527" s="16" t="s">
        <v>742</v>
      </c>
      <c r="D527" s="13">
        <v>7622300991418</v>
      </c>
    </row>
    <row r="528" spans="1:4">
      <c r="A528" s="70" t="s">
        <v>732</v>
      </c>
      <c r="B528" s="17" t="s">
        <v>2281</v>
      </c>
      <c r="C528" s="16" t="s">
        <v>1096</v>
      </c>
      <c r="D528" s="13">
        <v>7622300991470</v>
      </c>
    </row>
    <row r="529" spans="1:4">
      <c r="A529" s="70" t="s">
        <v>732</v>
      </c>
      <c r="B529" s="17" t="s">
        <v>2281</v>
      </c>
      <c r="C529" s="16" t="s">
        <v>743</v>
      </c>
      <c r="D529" s="13">
        <v>7622300991371</v>
      </c>
    </row>
    <row r="530" spans="1:4">
      <c r="A530" s="70" t="s">
        <v>732</v>
      </c>
      <c r="B530" s="17" t="s">
        <v>2281</v>
      </c>
      <c r="C530" s="16" t="s">
        <v>2289</v>
      </c>
      <c r="D530" s="13">
        <v>7622210567567</v>
      </c>
    </row>
    <row r="531" spans="1:4">
      <c r="A531" s="70" t="s">
        <v>1713</v>
      </c>
      <c r="B531" s="17" t="s">
        <v>2281</v>
      </c>
      <c r="C531" s="16" t="s">
        <v>1624</v>
      </c>
      <c r="D531" s="13">
        <v>7622300786601</v>
      </c>
    </row>
    <row r="532" spans="1:4">
      <c r="A532" s="70" t="s">
        <v>1713</v>
      </c>
      <c r="B532" s="17" t="s">
        <v>2281</v>
      </c>
      <c r="C532" s="16" t="s">
        <v>1097</v>
      </c>
      <c r="D532" s="13">
        <v>7622210866790</v>
      </c>
    </row>
    <row r="533" spans="1:4">
      <c r="A533" s="70" t="s">
        <v>2000</v>
      </c>
      <c r="B533" s="17" t="s">
        <v>2281</v>
      </c>
      <c r="C533" s="16" t="s">
        <v>2002</v>
      </c>
      <c r="D533" s="13">
        <v>7896423419276</v>
      </c>
    </row>
    <row r="534" spans="1:4">
      <c r="A534" s="70" t="s">
        <v>2720</v>
      </c>
      <c r="B534" s="17" t="s">
        <v>2281</v>
      </c>
      <c r="C534" s="16" t="s">
        <v>1744</v>
      </c>
      <c r="D534" s="13">
        <v>7896423405743</v>
      </c>
    </row>
    <row r="535" spans="1:4">
      <c r="A535" s="70" t="s">
        <v>2720</v>
      </c>
      <c r="B535" s="17" t="s">
        <v>2281</v>
      </c>
      <c r="C535" s="16" t="s">
        <v>1745</v>
      </c>
      <c r="D535" s="13">
        <v>7896423406054</v>
      </c>
    </row>
    <row r="536" spans="1:4">
      <c r="A536" s="70" t="s">
        <v>1570</v>
      </c>
      <c r="B536" s="17" t="s">
        <v>2281</v>
      </c>
      <c r="C536" s="16" t="s">
        <v>1571</v>
      </c>
      <c r="D536" s="13">
        <v>7622210286123</v>
      </c>
    </row>
    <row r="537" spans="1:4">
      <c r="A537" s="70" t="s">
        <v>1570</v>
      </c>
      <c r="B537" s="17" t="s">
        <v>2281</v>
      </c>
      <c r="C537" s="16" t="s">
        <v>1572</v>
      </c>
      <c r="D537" s="13">
        <v>7622210286109</v>
      </c>
    </row>
    <row r="538" spans="1:4">
      <c r="A538" s="70" t="s">
        <v>1570</v>
      </c>
      <c r="B538" s="17" t="s">
        <v>2281</v>
      </c>
      <c r="C538" s="16" t="s">
        <v>1598</v>
      </c>
      <c r="D538" s="13">
        <v>7622300291785</v>
      </c>
    </row>
    <row r="539" spans="1:4">
      <c r="A539" s="70" t="s">
        <v>1570</v>
      </c>
      <c r="B539" s="17" t="s">
        <v>2281</v>
      </c>
      <c r="C539" s="16" t="s">
        <v>1599</v>
      </c>
      <c r="D539" s="13">
        <v>7622210824721</v>
      </c>
    </row>
    <row r="540" spans="1:4">
      <c r="A540" s="70" t="s">
        <v>1570</v>
      </c>
      <c r="B540" s="17" t="s">
        <v>2281</v>
      </c>
      <c r="C540" s="16" t="s">
        <v>1573</v>
      </c>
      <c r="D540" s="13">
        <v>7622210516091</v>
      </c>
    </row>
    <row r="541" spans="1:4">
      <c r="A541" s="70" t="s">
        <v>1570</v>
      </c>
      <c r="B541" s="17" t="s">
        <v>2281</v>
      </c>
      <c r="C541" s="16" t="s">
        <v>1574</v>
      </c>
      <c r="D541" s="13">
        <v>7622210615084</v>
      </c>
    </row>
    <row r="542" spans="1:4">
      <c r="A542" s="70" t="s">
        <v>1570</v>
      </c>
      <c r="B542" s="17" t="s">
        <v>2281</v>
      </c>
      <c r="C542" s="16" t="s">
        <v>1575</v>
      </c>
      <c r="D542" s="13">
        <v>7622210822383</v>
      </c>
    </row>
    <row r="543" spans="1:4">
      <c r="A543" s="70" t="s">
        <v>1570</v>
      </c>
      <c r="B543" s="17" t="s">
        <v>2281</v>
      </c>
      <c r="C543" s="16" t="s">
        <v>1576</v>
      </c>
      <c r="D543" s="13">
        <v>7622210369444</v>
      </c>
    </row>
    <row r="544" spans="1:4">
      <c r="A544" s="70" t="s">
        <v>1570</v>
      </c>
      <c r="B544" s="17" t="s">
        <v>2281</v>
      </c>
      <c r="C544" s="16" t="s">
        <v>1577</v>
      </c>
      <c r="D544" s="13">
        <v>7622210489760</v>
      </c>
    </row>
    <row r="545" spans="1:4">
      <c r="A545" s="70" t="s">
        <v>1570</v>
      </c>
      <c r="B545" s="17" t="s">
        <v>2281</v>
      </c>
      <c r="C545" s="16" t="s">
        <v>1578</v>
      </c>
      <c r="D545" s="13">
        <v>7622210489289</v>
      </c>
    </row>
    <row r="546" spans="1:4">
      <c r="A546" s="70" t="s">
        <v>1570</v>
      </c>
      <c r="B546" s="17" t="s">
        <v>2281</v>
      </c>
      <c r="C546" s="16" t="s">
        <v>2674</v>
      </c>
      <c r="D546" s="13">
        <v>7622210611239</v>
      </c>
    </row>
    <row r="547" spans="1:4">
      <c r="A547" s="70" t="s">
        <v>1570</v>
      </c>
      <c r="B547" s="17" t="s">
        <v>2281</v>
      </c>
      <c r="C547" s="16" t="s">
        <v>2678</v>
      </c>
      <c r="D547" s="13">
        <v>7622201098544</v>
      </c>
    </row>
    <row r="548" spans="1:4">
      <c r="A548" s="70" t="s">
        <v>1570</v>
      </c>
      <c r="B548" s="17" t="s">
        <v>2281</v>
      </c>
      <c r="C548" s="15" t="s">
        <v>2675</v>
      </c>
      <c r="D548" s="13">
        <v>7622210609885</v>
      </c>
    </row>
    <row r="549" spans="1:4">
      <c r="A549" s="70" t="s">
        <v>1570</v>
      </c>
      <c r="B549" s="17" t="s">
        <v>2281</v>
      </c>
      <c r="C549" s="15" t="s">
        <v>2676</v>
      </c>
      <c r="D549" s="13">
        <v>7622210269249</v>
      </c>
    </row>
    <row r="550" spans="1:4">
      <c r="A550" s="70" t="s">
        <v>1570</v>
      </c>
      <c r="B550" s="17" t="s">
        <v>2281</v>
      </c>
      <c r="C550" s="15" t="s">
        <v>3003</v>
      </c>
      <c r="D550" s="13">
        <v>7622210163899</v>
      </c>
    </row>
    <row r="551" spans="1:4">
      <c r="A551" s="70" t="s">
        <v>1570</v>
      </c>
      <c r="B551" s="17" t="s">
        <v>2281</v>
      </c>
      <c r="C551" s="15" t="s">
        <v>3004</v>
      </c>
      <c r="D551" s="13">
        <v>7622300086404</v>
      </c>
    </row>
    <row r="552" spans="1:4">
      <c r="A552" s="70" t="s">
        <v>1570</v>
      </c>
      <c r="B552" s="17" t="s">
        <v>2281</v>
      </c>
      <c r="C552" s="15" t="s">
        <v>3005</v>
      </c>
      <c r="D552" s="13">
        <v>7622210476838</v>
      </c>
    </row>
    <row r="553" spans="1:4">
      <c r="A553" s="70" t="s">
        <v>1570</v>
      </c>
      <c r="B553" s="17" t="s">
        <v>2281</v>
      </c>
      <c r="C553" s="15" t="s">
        <v>2677</v>
      </c>
      <c r="D553" s="13">
        <v>7622210262202</v>
      </c>
    </row>
    <row r="554" spans="1:4">
      <c r="A554" s="70" t="s">
        <v>1570</v>
      </c>
      <c r="B554" s="17" t="s">
        <v>2281</v>
      </c>
      <c r="C554" s="16" t="s">
        <v>1997</v>
      </c>
      <c r="D554" s="13">
        <v>7622210030597</v>
      </c>
    </row>
    <row r="555" spans="1:4">
      <c r="A555" s="70" t="s">
        <v>1570</v>
      </c>
      <c r="B555" s="17" t="s">
        <v>2281</v>
      </c>
      <c r="C555" s="16" t="s">
        <v>1998</v>
      </c>
      <c r="D555" s="13">
        <v>7622210642134</v>
      </c>
    </row>
    <row r="556" spans="1:4">
      <c r="A556" s="70" t="s">
        <v>1570</v>
      </c>
      <c r="B556" s="17" t="s">
        <v>2281</v>
      </c>
      <c r="C556" s="16" t="s">
        <v>1999</v>
      </c>
      <c r="D556" s="13">
        <v>7622210369543</v>
      </c>
    </row>
    <row r="557" spans="1:4">
      <c r="A557" s="70" t="s">
        <v>1570</v>
      </c>
      <c r="B557" s="17" t="s">
        <v>2281</v>
      </c>
      <c r="C557" s="16" t="s">
        <v>2652</v>
      </c>
      <c r="D557" s="13">
        <v>7622210007469</v>
      </c>
    </row>
    <row r="558" spans="1:4">
      <c r="A558" s="70" t="s">
        <v>1570</v>
      </c>
      <c r="B558" s="17" t="s">
        <v>2281</v>
      </c>
      <c r="C558" s="16" t="s">
        <v>2651</v>
      </c>
      <c r="D558" s="13">
        <v>7622300498429</v>
      </c>
    </row>
    <row r="559" spans="1:4">
      <c r="A559" s="70" t="s">
        <v>1570</v>
      </c>
      <c r="B559" s="17" t="s">
        <v>2281</v>
      </c>
      <c r="C559" s="16" t="s">
        <v>1579</v>
      </c>
      <c r="D559" s="13">
        <v>3800005103075</v>
      </c>
    </row>
    <row r="560" spans="1:4">
      <c r="A560" s="70" t="s">
        <v>1570</v>
      </c>
      <c r="B560" s="17" t="s">
        <v>2281</v>
      </c>
      <c r="C560" s="16" t="s">
        <v>1580</v>
      </c>
      <c r="D560" s="13">
        <v>7622300530518</v>
      </c>
    </row>
    <row r="561" spans="1:4">
      <c r="A561" s="70" t="s">
        <v>1570</v>
      </c>
      <c r="B561" s="17" t="s">
        <v>2281</v>
      </c>
      <c r="C561" s="16" t="s">
        <v>1581</v>
      </c>
      <c r="D561" s="13">
        <v>3045140280902</v>
      </c>
    </row>
    <row r="562" spans="1:4">
      <c r="A562" s="70" t="s">
        <v>1570</v>
      </c>
      <c r="B562" s="17" t="s">
        <v>2281</v>
      </c>
      <c r="C562" s="16" t="s">
        <v>1582</v>
      </c>
      <c r="D562" s="13">
        <v>7622210956163</v>
      </c>
    </row>
    <row r="563" spans="1:4">
      <c r="A563" s="70" t="s">
        <v>1570</v>
      </c>
      <c r="B563" s="17" t="s">
        <v>2281</v>
      </c>
      <c r="C563" s="16" t="s">
        <v>1583</v>
      </c>
      <c r="D563" s="13">
        <v>7622300617820</v>
      </c>
    </row>
    <row r="564" spans="1:4">
      <c r="A564" s="70" t="s">
        <v>1570</v>
      </c>
      <c r="B564" s="17" t="s">
        <v>2281</v>
      </c>
      <c r="C564" s="16" t="s">
        <v>1584</v>
      </c>
      <c r="D564" s="13">
        <v>4025700001030</v>
      </c>
    </row>
    <row r="565" spans="1:4">
      <c r="A565" s="70" t="s">
        <v>1570</v>
      </c>
      <c r="B565" s="17" t="s">
        <v>2281</v>
      </c>
      <c r="C565" s="16" t="s">
        <v>1585</v>
      </c>
      <c r="D565" s="13">
        <v>4025700001023</v>
      </c>
    </row>
    <row r="566" spans="1:4">
      <c r="A566" s="70" t="s">
        <v>1570</v>
      </c>
      <c r="B566" s="17" t="s">
        <v>2281</v>
      </c>
      <c r="C566" s="16" t="s">
        <v>1586</v>
      </c>
      <c r="D566" s="13">
        <v>7622400005190</v>
      </c>
    </row>
    <row r="567" spans="1:4">
      <c r="A567" s="70" t="s">
        <v>1570</v>
      </c>
      <c r="B567" s="17" t="s">
        <v>2281</v>
      </c>
      <c r="C567" s="16" t="s">
        <v>1587</v>
      </c>
      <c r="D567" s="13">
        <v>7622300250225</v>
      </c>
    </row>
    <row r="568" spans="1:4">
      <c r="A568" s="70" t="s">
        <v>1570</v>
      </c>
      <c r="B568" s="17" t="s">
        <v>2281</v>
      </c>
      <c r="C568" s="16" t="s">
        <v>1588</v>
      </c>
      <c r="D568" s="13">
        <v>7622210397119</v>
      </c>
    </row>
    <row r="569" spans="1:4">
      <c r="A569" s="70" t="s">
        <v>1570</v>
      </c>
      <c r="B569" s="17" t="s">
        <v>2281</v>
      </c>
      <c r="C569" s="16" t="s">
        <v>1589</v>
      </c>
      <c r="D569" s="13">
        <v>7622300185015</v>
      </c>
    </row>
    <row r="570" spans="1:4">
      <c r="A570" s="70" t="s">
        <v>1570</v>
      </c>
      <c r="B570" s="17" t="s">
        <v>2281</v>
      </c>
      <c r="C570" s="16" t="s">
        <v>1590</v>
      </c>
      <c r="D570" s="13">
        <v>7622210262530</v>
      </c>
    </row>
    <row r="571" spans="1:4">
      <c r="A571" s="70" t="s">
        <v>1570</v>
      </c>
      <c r="B571" s="17" t="s">
        <v>2281</v>
      </c>
      <c r="C571" s="16" t="s">
        <v>1591</v>
      </c>
      <c r="D571" s="13">
        <v>7622300674595</v>
      </c>
    </row>
    <row r="572" spans="1:4">
      <c r="A572" s="70" t="s">
        <v>1570</v>
      </c>
      <c r="B572" s="17" t="s">
        <v>2281</v>
      </c>
      <c r="C572" s="16" t="s">
        <v>1592</v>
      </c>
      <c r="D572" s="13">
        <v>7622201050757</v>
      </c>
    </row>
    <row r="573" spans="1:4">
      <c r="A573" s="70" t="s">
        <v>1570</v>
      </c>
      <c r="B573" s="17" t="s">
        <v>2281</v>
      </c>
      <c r="C573" s="16" t="s">
        <v>1593</v>
      </c>
      <c r="D573" s="13">
        <v>7622201432157</v>
      </c>
    </row>
    <row r="574" spans="1:4">
      <c r="A574" s="70" t="s">
        <v>1570</v>
      </c>
      <c r="B574" s="17" t="s">
        <v>2281</v>
      </c>
      <c r="C574" s="16" t="s">
        <v>1594</v>
      </c>
      <c r="D574" s="13">
        <v>4025700001962</v>
      </c>
    </row>
    <row r="575" spans="1:4">
      <c r="A575" s="70" t="s">
        <v>1570</v>
      </c>
      <c r="B575" s="17" t="s">
        <v>2281</v>
      </c>
      <c r="C575" s="16" t="s">
        <v>1595</v>
      </c>
      <c r="D575" s="13">
        <v>3045140105502</v>
      </c>
    </row>
    <row r="576" spans="1:4">
      <c r="A576" s="70" t="s">
        <v>1130</v>
      </c>
      <c r="B576" s="17" t="s">
        <v>2281</v>
      </c>
      <c r="C576" s="16" t="s">
        <v>542</v>
      </c>
      <c r="D576" s="13">
        <v>7891000249239</v>
      </c>
    </row>
    <row r="577" spans="1:4">
      <c r="A577" s="70" t="s">
        <v>1130</v>
      </c>
      <c r="B577" s="17" t="s">
        <v>2281</v>
      </c>
      <c r="C577" s="16" t="s">
        <v>543</v>
      </c>
      <c r="D577" s="13">
        <v>7891000248829</v>
      </c>
    </row>
    <row r="578" spans="1:4">
      <c r="A578" s="70" t="s">
        <v>1130</v>
      </c>
      <c r="B578" s="17" t="s">
        <v>2281</v>
      </c>
      <c r="C578" s="16" t="s">
        <v>544</v>
      </c>
      <c r="D578" s="13">
        <v>7891000248768</v>
      </c>
    </row>
    <row r="579" spans="1:4">
      <c r="A579" s="70" t="s">
        <v>530</v>
      </c>
      <c r="B579" s="17" t="s">
        <v>2281</v>
      </c>
      <c r="C579" s="16" t="s">
        <v>542</v>
      </c>
      <c r="D579" s="13">
        <v>7891000249239</v>
      </c>
    </row>
    <row r="580" spans="1:4">
      <c r="A580" s="70" t="s">
        <v>530</v>
      </c>
      <c r="B580" s="17" t="s">
        <v>2281</v>
      </c>
      <c r="C580" s="16" t="s">
        <v>543</v>
      </c>
      <c r="D580" s="13">
        <v>7891000248829</v>
      </c>
    </row>
    <row r="581" spans="1:4">
      <c r="A581" s="70" t="s">
        <v>530</v>
      </c>
      <c r="B581" s="17" t="s">
        <v>2281</v>
      </c>
      <c r="C581" s="16" t="s">
        <v>544</v>
      </c>
      <c r="D581" s="13">
        <v>7891000248768</v>
      </c>
    </row>
    <row r="582" spans="1:4">
      <c r="A582" s="70" t="s">
        <v>2995</v>
      </c>
      <c r="B582" s="17" t="s">
        <v>2281</v>
      </c>
      <c r="C582" s="16" t="s">
        <v>2986</v>
      </c>
      <c r="D582" s="13">
        <v>7891000369098</v>
      </c>
    </row>
    <row r="583" spans="1:4">
      <c r="A583" s="70" t="s">
        <v>2995</v>
      </c>
      <c r="B583" s="17" t="s">
        <v>2281</v>
      </c>
      <c r="C583" s="16" t="s">
        <v>2987</v>
      </c>
      <c r="D583" s="13">
        <v>7891000368992</v>
      </c>
    </row>
    <row r="584" spans="1:4">
      <c r="A584" s="70" t="s">
        <v>2995</v>
      </c>
      <c r="B584" s="17" t="s">
        <v>2281</v>
      </c>
      <c r="C584" s="16" t="s">
        <v>2988</v>
      </c>
      <c r="D584" s="13">
        <v>7891000369371</v>
      </c>
    </row>
    <row r="585" spans="1:4">
      <c r="A585" s="70" t="s">
        <v>2995</v>
      </c>
      <c r="B585" s="17" t="s">
        <v>2281</v>
      </c>
      <c r="C585" s="16" t="s">
        <v>2989</v>
      </c>
      <c r="D585" s="13">
        <v>7891000368893</v>
      </c>
    </row>
    <row r="586" spans="1:4">
      <c r="A586" s="70" t="s">
        <v>2995</v>
      </c>
      <c r="B586" s="17" t="s">
        <v>2281</v>
      </c>
      <c r="C586" s="16" t="s">
        <v>2990</v>
      </c>
      <c r="D586" s="13">
        <v>7891000368626</v>
      </c>
    </row>
    <row r="587" spans="1:4">
      <c r="A587" s="70" t="s">
        <v>2995</v>
      </c>
      <c r="B587" s="17" t="s">
        <v>2281</v>
      </c>
      <c r="C587" s="16" t="s">
        <v>2991</v>
      </c>
      <c r="D587" s="13">
        <v>7891000368572</v>
      </c>
    </row>
    <row r="588" spans="1:4">
      <c r="A588" s="70" t="s">
        <v>2995</v>
      </c>
      <c r="B588" s="17" t="s">
        <v>2281</v>
      </c>
      <c r="C588" s="16" t="s">
        <v>2992</v>
      </c>
      <c r="D588" s="13">
        <v>7891000368947</v>
      </c>
    </row>
    <row r="589" spans="1:4">
      <c r="A589" s="70" t="s">
        <v>2995</v>
      </c>
      <c r="B589" s="17" t="s">
        <v>2281</v>
      </c>
      <c r="C589" s="16" t="s">
        <v>2993</v>
      </c>
      <c r="D589" s="13">
        <v>7891000329856</v>
      </c>
    </row>
    <row r="590" spans="1:4">
      <c r="A590" s="70" t="s">
        <v>2995</v>
      </c>
      <c r="B590" s="17" t="s">
        <v>2281</v>
      </c>
      <c r="C590" s="16" t="s">
        <v>2994</v>
      </c>
      <c r="D590" s="13">
        <v>7891000329665</v>
      </c>
    </row>
    <row r="591" spans="1:4">
      <c r="A591" s="70" t="s">
        <v>2078</v>
      </c>
      <c r="B591" s="17" t="s">
        <v>2281</v>
      </c>
      <c r="C591" s="16" t="s">
        <v>2081</v>
      </c>
      <c r="D591" s="13">
        <v>7891000104828</v>
      </c>
    </row>
    <row r="592" spans="1:4">
      <c r="A592" s="70" t="s">
        <v>1949</v>
      </c>
      <c r="B592" s="17" t="s">
        <v>2281</v>
      </c>
      <c r="C592" s="16" t="s">
        <v>1902</v>
      </c>
      <c r="D592" s="13">
        <v>7896423420180</v>
      </c>
    </row>
    <row r="593" spans="1:4">
      <c r="A593" s="70" t="s">
        <v>1949</v>
      </c>
      <c r="B593" s="17" t="s">
        <v>2281</v>
      </c>
      <c r="C593" s="16" t="s">
        <v>1903</v>
      </c>
      <c r="D593" s="13">
        <v>7896423481853</v>
      </c>
    </row>
    <row r="594" spans="1:4">
      <c r="A594" s="70" t="s">
        <v>1897</v>
      </c>
      <c r="B594" s="17" t="s">
        <v>2281</v>
      </c>
      <c r="C594" s="16" t="s">
        <v>1902</v>
      </c>
      <c r="D594" s="13">
        <v>7896423420180</v>
      </c>
    </row>
    <row r="595" spans="1:4">
      <c r="A595" s="70" t="s">
        <v>1897</v>
      </c>
      <c r="B595" s="17" t="s">
        <v>2281</v>
      </c>
      <c r="C595" s="16" t="s">
        <v>1903</v>
      </c>
      <c r="D595" s="13">
        <v>7896423481853</v>
      </c>
    </row>
    <row r="596" spans="1:4">
      <c r="A596" s="70" t="s">
        <v>1897</v>
      </c>
      <c r="B596" s="17" t="s">
        <v>2281</v>
      </c>
      <c r="C596" s="16" t="s">
        <v>1904</v>
      </c>
      <c r="D596" s="13">
        <v>7896423497984</v>
      </c>
    </row>
    <row r="597" spans="1:4">
      <c r="A597" s="70" t="s">
        <v>1761</v>
      </c>
      <c r="B597" s="17" t="s">
        <v>2281</v>
      </c>
      <c r="C597" s="16" t="s">
        <v>1762</v>
      </c>
      <c r="D597" s="13">
        <v>7896423470994</v>
      </c>
    </row>
    <row r="598" spans="1:4">
      <c r="A598" s="70" t="s">
        <v>1761</v>
      </c>
      <c r="B598" s="17" t="s">
        <v>2281</v>
      </c>
      <c r="C598" s="16" t="s">
        <v>1763</v>
      </c>
      <c r="D598" s="13">
        <v>7896423405491</v>
      </c>
    </row>
    <row r="599" spans="1:4">
      <c r="A599" s="70" t="s">
        <v>1403</v>
      </c>
      <c r="B599" s="17" t="s">
        <v>2283</v>
      </c>
      <c r="C599" s="16" t="s">
        <v>1412</v>
      </c>
      <c r="D599" s="13">
        <v>7896266107842</v>
      </c>
    </row>
    <row r="600" spans="1:4">
      <c r="A600" s="70" t="s">
        <v>1403</v>
      </c>
      <c r="B600" s="17" t="s">
        <v>2283</v>
      </c>
      <c r="C600" s="16" t="s">
        <v>1426</v>
      </c>
      <c r="D600" s="13">
        <v>7896266107811</v>
      </c>
    </row>
    <row r="601" spans="1:4">
      <c r="A601" s="70" t="s">
        <v>1403</v>
      </c>
      <c r="B601" s="17" t="s">
        <v>2283</v>
      </c>
      <c r="C601" s="16" t="s">
        <v>914</v>
      </c>
      <c r="D601" s="13">
        <v>7896266107798</v>
      </c>
    </row>
    <row r="602" spans="1:4">
      <c r="A602" s="70" t="s">
        <v>1403</v>
      </c>
      <c r="B602" s="17" t="s">
        <v>2283</v>
      </c>
      <c r="C602" s="16" t="s">
        <v>1413</v>
      </c>
      <c r="D602" s="13">
        <v>7896266107828</v>
      </c>
    </row>
    <row r="603" spans="1:4">
      <c r="A603" s="70" t="s">
        <v>887</v>
      </c>
      <c r="B603" s="17" t="s">
        <v>2283</v>
      </c>
      <c r="C603" s="16" t="s">
        <v>914</v>
      </c>
      <c r="D603" s="13">
        <v>7896266107798</v>
      </c>
    </row>
    <row r="604" spans="1:4">
      <c r="A604" s="10" t="s">
        <v>2276</v>
      </c>
      <c r="B604" s="17" t="s">
        <v>2287</v>
      </c>
      <c r="C604" s="16" t="s">
        <v>715</v>
      </c>
      <c r="D604" s="13">
        <v>7896451844811</v>
      </c>
    </row>
    <row r="605" spans="1:4">
      <c r="A605" s="10" t="s">
        <v>2276</v>
      </c>
      <c r="B605" s="17" t="s">
        <v>2287</v>
      </c>
      <c r="C605" s="16" t="s">
        <v>1676</v>
      </c>
      <c r="D605" s="13">
        <v>7896451844859</v>
      </c>
    </row>
    <row r="606" spans="1:4">
      <c r="A606" s="10" t="s">
        <v>2276</v>
      </c>
      <c r="B606" s="17" t="s">
        <v>2287</v>
      </c>
      <c r="C606" s="16" t="s">
        <v>1675</v>
      </c>
      <c r="D606" s="13">
        <v>7896451844842</v>
      </c>
    </row>
    <row r="607" spans="1:4">
      <c r="A607" s="10" t="s">
        <v>2276</v>
      </c>
      <c r="B607" s="17" t="s">
        <v>2287</v>
      </c>
      <c r="C607" s="16" t="s">
        <v>1249</v>
      </c>
      <c r="D607" s="13">
        <v>7896451844828</v>
      </c>
    </row>
    <row r="608" spans="1:4">
      <c r="A608" s="70" t="s">
        <v>2500</v>
      </c>
      <c r="B608" s="17" t="s">
        <v>2287</v>
      </c>
      <c r="C608" s="16" t="s">
        <v>715</v>
      </c>
      <c r="D608" s="13">
        <v>7896451844811</v>
      </c>
    </row>
    <row r="609" spans="1:4">
      <c r="A609" s="70" t="s">
        <v>2500</v>
      </c>
      <c r="B609" s="17" t="s">
        <v>2287</v>
      </c>
      <c r="C609" s="16" t="s">
        <v>1676</v>
      </c>
      <c r="D609" s="13">
        <v>7896451844859</v>
      </c>
    </row>
    <row r="610" spans="1:4">
      <c r="A610" s="70" t="s">
        <v>2500</v>
      </c>
      <c r="B610" s="17" t="s">
        <v>2287</v>
      </c>
      <c r="C610" s="16" t="s">
        <v>1675</v>
      </c>
      <c r="D610" s="13">
        <v>7896451844842</v>
      </c>
    </row>
    <row r="611" spans="1:4">
      <c r="A611" s="70" t="s">
        <v>2500</v>
      </c>
      <c r="B611" s="17" t="s">
        <v>2287</v>
      </c>
      <c r="C611" s="16" t="s">
        <v>2514</v>
      </c>
      <c r="D611" s="13">
        <v>7896451844804</v>
      </c>
    </row>
    <row r="612" spans="1:4">
      <c r="A612" s="70" t="s">
        <v>2500</v>
      </c>
      <c r="B612" s="17" t="s">
        <v>2287</v>
      </c>
      <c r="C612" s="16" t="s">
        <v>2515</v>
      </c>
      <c r="D612" s="13">
        <v>7896451844828</v>
      </c>
    </row>
    <row r="613" spans="1:4">
      <c r="A613" s="70" t="s">
        <v>2244</v>
      </c>
      <c r="B613" s="17" t="s">
        <v>2287</v>
      </c>
      <c r="C613" s="16" t="s">
        <v>2246</v>
      </c>
      <c r="D613" s="13">
        <v>7896451880482</v>
      </c>
    </row>
    <row r="614" spans="1:4">
      <c r="A614" s="70" t="s">
        <v>2244</v>
      </c>
      <c r="B614" s="17" t="s">
        <v>2287</v>
      </c>
      <c r="C614" s="16" t="s">
        <v>2247</v>
      </c>
      <c r="D614" s="13">
        <v>7896451878953</v>
      </c>
    </row>
    <row r="615" spans="1:4">
      <c r="A615" s="70" t="s">
        <v>943</v>
      </c>
      <c r="B615" s="17" t="s">
        <v>2287</v>
      </c>
      <c r="C615" s="16" t="s">
        <v>958</v>
      </c>
      <c r="D615" s="13">
        <v>7896451862662</v>
      </c>
    </row>
    <row r="616" spans="1:4">
      <c r="A616" s="70" t="s">
        <v>943</v>
      </c>
      <c r="B616" s="17" t="s">
        <v>2287</v>
      </c>
      <c r="C616" s="16" t="s">
        <v>959</v>
      </c>
      <c r="D616" s="13">
        <v>7896451862686</v>
      </c>
    </row>
    <row r="617" spans="1:4">
      <c r="A617" s="70" t="s">
        <v>2035</v>
      </c>
      <c r="B617" s="17" t="s">
        <v>2287</v>
      </c>
      <c r="C617" s="16" t="s">
        <v>1850</v>
      </c>
      <c r="D617" s="13">
        <v>7896451825216</v>
      </c>
    </row>
    <row r="618" spans="1:4">
      <c r="A618" s="70" t="s">
        <v>2035</v>
      </c>
      <c r="B618" s="17" t="s">
        <v>2287</v>
      </c>
      <c r="C618" s="16" t="s">
        <v>1974</v>
      </c>
      <c r="D618" s="13">
        <v>7896451824776</v>
      </c>
    </row>
    <row r="619" spans="1:4">
      <c r="A619" s="70" t="s">
        <v>2035</v>
      </c>
      <c r="B619" s="17" t="s">
        <v>2287</v>
      </c>
      <c r="C619" s="16" t="s">
        <v>1974</v>
      </c>
      <c r="D619" s="13">
        <v>7896451824783</v>
      </c>
    </row>
    <row r="620" spans="1:4">
      <c r="A620" s="70" t="s">
        <v>1845</v>
      </c>
      <c r="B620" s="17" t="s">
        <v>2287</v>
      </c>
      <c r="C620" s="16" t="s">
        <v>1850</v>
      </c>
      <c r="D620" s="13">
        <v>7896451825216</v>
      </c>
    </row>
    <row r="621" spans="1:4">
      <c r="A621" s="70" t="s">
        <v>1845</v>
      </c>
      <c r="B621" s="17" t="s">
        <v>2287</v>
      </c>
      <c r="C621" s="16" t="s">
        <v>1974</v>
      </c>
      <c r="D621" s="13">
        <v>7896451824776</v>
      </c>
    </row>
    <row r="622" spans="1:4">
      <c r="A622" s="70" t="s">
        <v>1845</v>
      </c>
      <c r="B622" s="17" t="s">
        <v>2287</v>
      </c>
      <c r="C622" s="16" t="s">
        <v>1974</v>
      </c>
      <c r="D622" s="13">
        <v>7896451824783</v>
      </c>
    </row>
    <row r="623" spans="1:4">
      <c r="A623" s="70" t="s">
        <v>1845</v>
      </c>
      <c r="B623" s="17" t="s">
        <v>2287</v>
      </c>
      <c r="C623" s="16" t="s">
        <v>1975</v>
      </c>
      <c r="D623" s="13">
        <v>7896451824790</v>
      </c>
    </row>
    <row r="624" spans="1:4">
      <c r="A624" s="70" t="s">
        <v>1845</v>
      </c>
      <c r="B624" s="17" t="s">
        <v>2287</v>
      </c>
      <c r="C624" s="16" t="s">
        <v>1975</v>
      </c>
      <c r="D624" s="13">
        <v>7896451824806</v>
      </c>
    </row>
    <row r="625" spans="1:4">
      <c r="A625" s="70" t="s">
        <v>1845</v>
      </c>
      <c r="B625" s="17" t="s">
        <v>2287</v>
      </c>
      <c r="C625" s="16" t="s">
        <v>1851</v>
      </c>
      <c r="D625" s="13">
        <v>7896451825230</v>
      </c>
    </row>
    <row r="626" spans="1:4">
      <c r="A626" s="70" t="s">
        <v>2227</v>
      </c>
      <c r="B626" s="17" t="s">
        <v>2287</v>
      </c>
      <c r="C626" s="16" t="s">
        <v>1850</v>
      </c>
      <c r="D626" s="13">
        <v>7896451825216</v>
      </c>
    </row>
    <row r="627" spans="1:4">
      <c r="A627" s="70" t="s">
        <v>2227</v>
      </c>
      <c r="B627" s="17" t="s">
        <v>2287</v>
      </c>
      <c r="C627" s="16" t="s">
        <v>1850</v>
      </c>
      <c r="D627" s="14">
        <v>7896451824806</v>
      </c>
    </row>
    <row r="628" spans="1:4">
      <c r="A628" s="70" t="s">
        <v>2227</v>
      </c>
      <c r="B628" s="17" t="s">
        <v>2287</v>
      </c>
      <c r="C628" s="16" t="s">
        <v>1851</v>
      </c>
      <c r="D628" s="13">
        <v>7896451825230</v>
      </c>
    </row>
    <row r="629" spans="1:4">
      <c r="A629" s="70" t="s">
        <v>2227</v>
      </c>
      <c r="B629" s="17" t="s">
        <v>2287</v>
      </c>
      <c r="C629" s="16" t="s">
        <v>1851</v>
      </c>
      <c r="D629" s="14">
        <v>7896451824783</v>
      </c>
    </row>
    <row r="630" spans="1:4">
      <c r="A630" s="70" t="s">
        <v>2227</v>
      </c>
      <c r="B630" s="17" t="s">
        <v>2287</v>
      </c>
      <c r="C630" s="31" t="s">
        <v>3046</v>
      </c>
      <c r="D630" s="14">
        <v>7896451824776</v>
      </c>
    </row>
    <row r="631" spans="1:4">
      <c r="A631" s="70" t="s">
        <v>2227</v>
      </c>
      <c r="B631" s="17" t="s">
        <v>2287</v>
      </c>
      <c r="C631" s="31" t="s">
        <v>3045</v>
      </c>
      <c r="D631" s="14">
        <v>7896451824790</v>
      </c>
    </row>
    <row r="632" spans="1:4">
      <c r="A632" s="70" t="s">
        <v>81</v>
      </c>
      <c r="B632" s="17" t="s">
        <v>2287</v>
      </c>
      <c r="C632" s="16" t="s">
        <v>829</v>
      </c>
      <c r="D632" s="13">
        <v>7896544402133</v>
      </c>
    </row>
    <row r="633" spans="1:4">
      <c r="A633" s="70" t="s">
        <v>1895</v>
      </c>
      <c r="B633" s="17" t="s">
        <v>2287</v>
      </c>
      <c r="C633" s="16" t="s">
        <v>1915</v>
      </c>
      <c r="D633" s="13">
        <v>7896544403482</v>
      </c>
    </row>
    <row r="634" spans="1:4">
      <c r="A634" s="70" t="s">
        <v>2080</v>
      </c>
      <c r="B634" s="17" t="s">
        <v>2285</v>
      </c>
      <c r="C634" s="16" t="s">
        <v>2094</v>
      </c>
      <c r="D634" s="13">
        <v>7896014137169</v>
      </c>
    </row>
    <row r="635" spans="1:4">
      <c r="A635" s="70" t="s">
        <v>2080</v>
      </c>
      <c r="B635" s="17" t="s">
        <v>2285</v>
      </c>
      <c r="C635" s="16" t="s">
        <v>2095</v>
      </c>
      <c r="D635" s="13">
        <v>7899026425088</v>
      </c>
    </row>
    <row r="636" spans="1:4">
      <c r="A636" s="70" t="s">
        <v>2080</v>
      </c>
      <c r="B636" s="17" t="s">
        <v>2285</v>
      </c>
      <c r="C636" s="16" t="s">
        <v>2128</v>
      </c>
      <c r="D636" s="13">
        <v>7899706139038</v>
      </c>
    </row>
    <row r="637" spans="1:4">
      <c r="A637" s="70" t="s">
        <v>2080</v>
      </c>
      <c r="B637" s="17" t="s">
        <v>2285</v>
      </c>
      <c r="C637" s="16" t="s">
        <v>2096</v>
      </c>
      <c r="D637" s="13">
        <v>7896014123476</v>
      </c>
    </row>
    <row r="638" spans="1:4">
      <c r="A638" s="70" t="s">
        <v>2080</v>
      </c>
      <c r="B638" s="17" t="s">
        <v>2285</v>
      </c>
      <c r="C638" s="16" t="s">
        <v>2097</v>
      </c>
      <c r="D638" s="13">
        <v>7896014148844</v>
      </c>
    </row>
    <row r="639" spans="1:4">
      <c r="A639" s="70" t="s">
        <v>2080</v>
      </c>
      <c r="B639" s="17" t="s">
        <v>2285</v>
      </c>
      <c r="C639" s="16" t="s">
        <v>2098</v>
      </c>
      <c r="D639" s="13">
        <v>7899026421776</v>
      </c>
    </row>
    <row r="640" spans="1:4">
      <c r="A640" s="70" t="s">
        <v>2080</v>
      </c>
      <c r="B640" s="17" t="s">
        <v>2285</v>
      </c>
      <c r="C640" s="16" t="s">
        <v>2099</v>
      </c>
      <c r="D640" s="13">
        <v>7899026487321</v>
      </c>
    </row>
    <row r="641" spans="1:4">
      <c r="A641" s="70" t="s">
        <v>2080</v>
      </c>
      <c r="B641" s="17" t="s">
        <v>2285</v>
      </c>
      <c r="C641" s="16" t="s">
        <v>2100</v>
      </c>
      <c r="D641" s="13">
        <v>7899026487208</v>
      </c>
    </row>
    <row r="642" spans="1:4">
      <c r="A642" s="70" t="s">
        <v>2080</v>
      </c>
      <c r="B642" s="17" t="s">
        <v>2285</v>
      </c>
      <c r="C642" s="16" t="s">
        <v>2101</v>
      </c>
      <c r="D642" s="13">
        <v>7896014146420</v>
      </c>
    </row>
    <row r="643" spans="1:4">
      <c r="A643" s="70" t="s">
        <v>2080</v>
      </c>
      <c r="B643" s="17" t="s">
        <v>2285</v>
      </c>
      <c r="C643" s="16" t="s">
        <v>2102</v>
      </c>
      <c r="D643" s="13">
        <v>7899026420571</v>
      </c>
    </row>
    <row r="644" spans="1:4">
      <c r="A644" s="70" t="s">
        <v>2080</v>
      </c>
      <c r="B644" s="17" t="s">
        <v>2285</v>
      </c>
      <c r="C644" s="16" t="s">
        <v>2106</v>
      </c>
      <c r="D644" s="13">
        <v>7899706187404</v>
      </c>
    </row>
    <row r="645" spans="1:4">
      <c r="A645" s="70" t="s">
        <v>2080</v>
      </c>
      <c r="B645" s="17" t="s">
        <v>2285</v>
      </c>
      <c r="C645" s="16" t="s">
        <v>2112</v>
      </c>
      <c r="D645" s="13">
        <v>7899706180962</v>
      </c>
    </row>
    <row r="646" spans="1:4">
      <c r="A646" s="70" t="s">
        <v>2080</v>
      </c>
      <c r="B646" s="17" t="s">
        <v>2285</v>
      </c>
      <c r="C646" s="16" t="s">
        <v>2113</v>
      </c>
      <c r="D646" s="13">
        <v>7899706152129</v>
      </c>
    </row>
    <row r="647" spans="1:4">
      <c r="A647" s="70" t="s">
        <v>2080</v>
      </c>
      <c r="B647" s="17" t="s">
        <v>2285</v>
      </c>
      <c r="C647" s="16" t="s">
        <v>2114</v>
      </c>
      <c r="D647" s="13">
        <v>7896014123902</v>
      </c>
    </row>
    <row r="648" spans="1:4">
      <c r="A648" s="70" t="s">
        <v>2080</v>
      </c>
      <c r="B648" s="17" t="s">
        <v>2285</v>
      </c>
      <c r="C648" s="16" t="s">
        <v>2122</v>
      </c>
      <c r="D648" s="13">
        <v>7898587774352</v>
      </c>
    </row>
    <row r="649" spans="1:4">
      <c r="A649" s="70" t="s">
        <v>2080</v>
      </c>
      <c r="B649" s="17" t="s">
        <v>2285</v>
      </c>
      <c r="C649" s="16" t="s">
        <v>2123</v>
      </c>
      <c r="D649" s="13">
        <v>7898587774437</v>
      </c>
    </row>
    <row r="650" spans="1:4">
      <c r="A650" s="70" t="s">
        <v>2080</v>
      </c>
      <c r="B650" s="17" t="s">
        <v>2285</v>
      </c>
      <c r="C650" s="16" t="s">
        <v>2124</v>
      </c>
      <c r="D650" s="13">
        <v>7899706117753</v>
      </c>
    </row>
    <row r="651" spans="1:4">
      <c r="A651" s="70" t="s">
        <v>2080</v>
      </c>
      <c r="B651" s="17" t="s">
        <v>2285</v>
      </c>
      <c r="C651" s="16" t="s">
        <v>2125</v>
      </c>
      <c r="D651" s="13">
        <v>7899026483781</v>
      </c>
    </row>
    <row r="652" spans="1:4">
      <c r="A652" s="70" t="s">
        <v>2080</v>
      </c>
      <c r="B652" s="17" t="s">
        <v>2285</v>
      </c>
      <c r="C652" s="16" t="s">
        <v>2126</v>
      </c>
      <c r="D652" s="13">
        <v>7899706113182</v>
      </c>
    </row>
    <row r="653" spans="1:4">
      <c r="A653" s="70" t="s">
        <v>2080</v>
      </c>
      <c r="B653" s="17" t="s">
        <v>2285</v>
      </c>
      <c r="C653" s="16" t="s">
        <v>2115</v>
      </c>
      <c r="D653" s="13">
        <v>7899026464933</v>
      </c>
    </row>
    <row r="654" spans="1:4">
      <c r="A654" s="70" t="s">
        <v>2080</v>
      </c>
      <c r="B654" s="17" t="s">
        <v>2285</v>
      </c>
      <c r="C654" s="16" t="s">
        <v>2116</v>
      </c>
      <c r="D654" s="13">
        <v>7899706133418</v>
      </c>
    </row>
    <row r="655" spans="1:4">
      <c r="A655" s="70" t="s">
        <v>2080</v>
      </c>
      <c r="B655" s="17" t="s">
        <v>2285</v>
      </c>
      <c r="C655" s="16" t="s">
        <v>2117</v>
      </c>
      <c r="D655" s="13">
        <v>7899706170857</v>
      </c>
    </row>
    <row r="656" spans="1:4">
      <c r="A656" s="70" t="s">
        <v>2080</v>
      </c>
      <c r="B656" s="17" t="s">
        <v>2285</v>
      </c>
      <c r="C656" s="16" t="s">
        <v>2103</v>
      </c>
      <c r="D656" s="13">
        <v>7899026440234</v>
      </c>
    </row>
    <row r="657" spans="1:4">
      <c r="A657" s="70" t="s">
        <v>2080</v>
      </c>
      <c r="B657" s="17" t="s">
        <v>2285</v>
      </c>
      <c r="C657" s="16" t="s">
        <v>2104</v>
      </c>
      <c r="D657" s="13">
        <v>7898587764926</v>
      </c>
    </row>
    <row r="658" spans="1:4">
      <c r="A658" s="70" t="s">
        <v>736</v>
      </c>
      <c r="B658" s="17" t="s">
        <v>2285</v>
      </c>
      <c r="C658" s="16" t="s">
        <v>765</v>
      </c>
      <c r="D658" s="13">
        <v>7891150060722</v>
      </c>
    </row>
    <row r="659" spans="1:4">
      <c r="A659" s="70" t="s">
        <v>736</v>
      </c>
      <c r="B659" s="17" t="s">
        <v>2285</v>
      </c>
      <c r="C659" s="16" t="s">
        <v>766</v>
      </c>
      <c r="D659" s="13">
        <v>7891150056589</v>
      </c>
    </row>
    <row r="660" spans="1:4">
      <c r="A660" s="70" t="s">
        <v>736</v>
      </c>
      <c r="B660" s="17" t="s">
        <v>2285</v>
      </c>
      <c r="C660" s="16" t="s">
        <v>767</v>
      </c>
      <c r="D660" s="13">
        <v>7891150049604</v>
      </c>
    </row>
    <row r="661" spans="1:4">
      <c r="A661" s="70" t="s">
        <v>736</v>
      </c>
      <c r="B661" s="17" t="s">
        <v>2285</v>
      </c>
      <c r="C661" s="16" t="s">
        <v>768</v>
      </c>
      <c r="D661" s="13">
        <v>7891150055636</v>
      </c>
    </row>
    <row r="662" spans="1:4">
      <c r="A662" s="70" t="s">
        <v>736</v>
      </c>
      <c r="B662" s="17" t="s">
        <v>2285</v>
      </c>
      <c r="C662" s="16" t="s">
        <v>769</v>
      </c>
      <c r="D662" s="13">
        <v>7891150042780</v>
      </c>
    </row>
    <row r="663" spans="1:4">
      <c r="A663" s="70" t="s">
        <v>736</v>
      </c>
      <c r="B663" s="17" t="s">
        <v>2285</v>
      </c>
      <c r="C663" s="16" t="s">
        <v>1729</v>
      </c>
      <c r="D663" s="13">
        <v>7891150080096</v>
      </c>
    </row>
    <row r="664" spans="1:4">
      <c r="A664" s="70" t="s">
        <v>736</v>
      </c>
      <c r="B664" s="17" t="s">
        <v>2285</v>
      </c>
      <c r="C664" s="16" t="s">
        <v>798</v>
      </c>
      <c r="D664" s="13">
        <v>7891150063457</v>
      </c>
    </row>
    <row r="665" spans="1:4">
      <c r="A665" s="70" t="s">
        <v>736</v>
      </c>
      <c r="B665" s="17" t="s">
        <v>2285</v>
      </c>
      <c r="C665" s="16" t="s">
        <v>799</v>
      </c>
      <c r="D665" s="13">
        <v>7891150070295</v>
      </c>
    </row>
    <row r="666" spans="1:4">
      <c r="A666" s="70" t="s">
        <v>736</v>
      </c>
      <c r="B666" s="17" t="s">
        <v>2285</v>
      </c>
      <c r="C666" s="16" t="s">
        <v>800</v>
      </c>
      <c r="D666" s="13">
        <v>7891150067516</v>
      </c>
    </row>
    <row r="667" spans="1:4">
      <c r="A667" s="70" t="s">
        <v>736</v>
      </c>
      <c r="B667" s="17" t="s">
        <v>2285</v>
      </c>
      <c r="C667" s="16" t="s">
        <v>770</v>
      </c>
      <c r="D667" s="13">
        <v>7891150037465</v>
      </c>
    </row>
    <row r="668" spans="1:4">
      <c r="A668" s="70" t="s">
        <v>736</v>
      </c>
      <c r="B668" s="17" t="s">
        <v>2285</v>
      </c>
      <c r="C668" s="16" t="s">
        <v>771</v>
      </c>
      <c r="D668" s="13">
        <v>7891150037274</v>
      </c>
    </row>
    <row r="669" spans="1:4">
      <c r="A669" s="70" t="s">
        <v>736</v>
      </c>
      <c r="B669" s="17" t="s">
        <v>2285</v>
      </c>
      <c r="C669" s="16" t="s">
        <v>772</v>
      </c>
      <c r="D669" s="13">
        <v>7891150037489</v>
      </c>
    </row>
    <row r="670" spans="1:4">
      <c r="A670" s="70" t="s">
        <v>736</v>
      </c>
      <c r="B670" s="17" t="s">
        <v>2285</v>
      </c>
      <c r="C670" s="16" t="s">
        <v>773</v>
      </c>
      <c r="D670" s="13">
        <v>7891150043206</v>
      </c>
    </row>
    <row r="671" spans="1:4">
      <c r="A671" s="70" t="s">
        <v>736</v>
      </c>
      <c r="B671" s="17" t="s">
        <v>2285</v>
      </c>
      <c r="C671" s="16" t="s">
        <v>774</v>
      </c>
      <c r="D671" s="13">
        <v>7891150037618</v>
      </c>
    </row>
    <row r="672" spans="1:4">
      <c r="A672" s="70" t="s">
        <v>736</v>
      </c>
      <c r="B672" s="17" t="s">
        <v>2285</v>
      </c>
      <c r="C672" s="16" t="s">
        <v>775</v>
      </c>
      <c r="D672" s="13">
        <v>7891150037632</v>
      </c>
    </row>
    <row r="673" spans="1:4">
      <c r="A673" s="70" t="s">
        <v>736</v>
      </c>
      <c r="B673" s="17" t="s">
        <v>2285</v>
      </c>
      <c r="C673" s="16" t="s">
        <v>776</v>
      </c>
      <c r="D673" s="13">
        <v>7891150037328</v>
      </c>
    </row>
    <row r="674" spans="1:4">
      <c r="A674" s="70" t="s">
        <v>736</v>
      </c>
      <c r="B674" s="17" t="s">
        <v>2285</v>
      </c>
      <c r="C674" s="16" t="s">
        <v>777</v>
      </c>
      <c r="D674" s="13">
        <v>7891150037441</v>
      </c>
    </row>
    <row r="675" spans="1:4">
      <c r="A675" s="70" t="s">
        <v>736</v>
      </c>
      <c r="B675" s="17" t="s">
        <v>2285</v>
      </c>
      <c r="C675" s="16" t="s">
        <v>778</v>
      </c>
      <c r="D675" s="13">
        <v>7891150037366</v>
      </c>
    </row>
    <row r="676" spans="1:4">
      <c r="A676" s="70" t="s">
        <v>736</v>
      </c>
      <c r="B676" s="17" t="s">
        <v>2285</v>
      </c>
      <c r="C676" s="16" t="s">
        <v>779</v>
      </c>
      <c r="D676" s="13">
        <v>7891150037380</v>
      </c>
    </row>
    <row r="677" spans="1:4">
      <c r="A677" s="70" t="s">
        <v>736</v>
      </c>
      <c r="B677" s="17" t="s">
        <v>2285</v>
      </c>
      <c r="C677" s="16" t="s">
        <v>780</v>
      </c>
      <c r="D677" s="13">
        <v>7891150037342</v>
      </c>
    </row>
    <row r="678" spans="1:4">
      <c r="A678" s="70" t="s">
        <v>736</v>
      </c>
      <c r="B678" s="17" t="s">
        <v>2285</v>
      </c>
      <c r="C678" s="16" t="s">
        <v>781</v>
      </c>
      <c r="D678" s="13">
        <v>7891150037403</v>
      </c>
    </row>
    <row r="679" spans="1:4">
      <c r="A679" s="70" t="s">
        <v>736</v>
      </c>
      <c r="B679" s="17" t="s">
        <v>2285</v>
      </c>
      <c r="C679" s="16" t="s">
        <v>782</v>
      </c>
      <c r="D679" s="13">
        <v>7891150037250</v>
      </c>
    </row>
    <row r="680" spans="1:4">
      <c r="A680" s="70" t="s">
        <v>736</v>
      </c>
      <c r="B680" s="17" t="s">
        <v>2285</v>
      </c>
      <c r="C680" s="16" t="s">
        <v>783</v>
      </c>
      <c r="D680" s="13">
        <v>7891150037243</v>
      </c>
    </row>
    <row r="681" spans="1:4">
      <c r="A681" s="70" t="s">
        <v>736</v>
      </c>
      <c r="B681" s="17" t="s">
        <v>2285</v>
      </c>
      <c r="C681" s="16" t="s">
        <v>784</v>
      </c>
      <c r="D681" s="13">
        <v>7891150037427</v>
      </c>
    </row>
    <row r="682" spans="1:4">
      <c r="A682" s="70" t="s">
        <v>736</v>
      </c>
      <c r="B682" s="17" t="s">
        <v>2285</v>
      </c>
      <c r="C682" s="16" t="s">
        <v>1310</v>
      </c>
      <c r="D682" s="13">
        <v>7891150074019</v>
      </c>
    </row>
    <row r="683" spans="1:4">
      <c r="A683" s="70" t="s">
        <v>1783</v>
      </c>
      <c r="B683" s="17" t="s">
        <v>2284</v>
      </c>
      <c r="C683" s="16" t="s">
        <v>1784</v>
      </c>
      <c r="D683" s="13">
        <v>7896292301702</v>
      </c>
    </row>
    <row r="684" spans="1:4">
      <c r="A684" s="70" t="s">
        <v>2138</v>
      </c>
      <c r="B684" s="17" t="s">
        <v>2287</v>
      </c>
      <c r="C684" s="16" t="s">
        <v>2139</v>
      </c>
      <c r="D684" s="13">
        <v>7896042041155</v>
      </c>
    </row>
    <row r="685" spans="1:4">
      <c r="A685" s="70" t="s">
        <v>1495</v>
      </c>
      <c r="B685" s="17" t="s">
        <v>2282</v>
      </c>
      <c r="C685" s="16" t="s">
        <v>1500</v>
      </c>
      <c r="D685" s="13">
        <v>7891515427610</v>
      </c>
    </row>
    <row r="686" spans="1:4">
      <c r="A686" s="70" t="s">
        <v>1495</v>
      </c>
      <c r="B686" s="17" t="s">
        <v>2282</v>
      </c>
      <c r="C686" s="16" t="s">
        <v>1500</v>
      </c>
      <c r="D686" s="13">
        <v>7893000081581</v>
      </c>
    </row>
    <row r="687" spans="1:4">
      <c r="A687" s="70" t="s">
        <v>1651</v>
      </c>
      <c r="B687" s="17" t="s">
        <v>3406</v>
      </c>
      <c r="C687" s="16" t="s">
        <v>1180</v>
      </c>
      <c r="D687" s="13">
        <v>99691</v>
      </c>
    </row>
    <row r="688" spans="1:4">
      <c r="A688" s="70" t="s">
        <v>1825</v>
      </c>
      <c r="B688" s="17" t="s">
        <v>3406</v>
      </c>
      <c r="C688" s="16" t="s">
        <v>1530</v>
      </c>
      <c r="D688" s="13">
        <v>98281</v>
      </c>
    </row>
    <row r="689" spans="1:4">
      <c r="A689" s="70" t="s">
        <v>1387</v>
      </c>
      <c r="B689" s="17" t="s">
        <v>3406</v>
      </c>
      <c r="C689" s="16" t="s">
        <v>1398</v>
      </c>
      <c r="D689" s="13">
        <v>98168</v>
      </c>
    </row>
    <row r="690" spans="1:4">
      <c r="A690" s="70" t="s">
        <v>1823</v>
      </c>
      <c r="B690" s="17" t="s">
        <v>3406</v>
      </c>
      <c r="C690" s="16" t="s">
        <v>1242</v>
      </c>
      <c r="D690" s="13">
        <v>99905</v>
      </c>
    </row>
    <row r="691" spans="1:4">
      <c r="A691" s="70" t="s">
        <v>1824</v>
      </c>
      <c r="B691" s="17" t="s">
        <v>3406</v>
      </c>
      <c r="C691" s="16" t="s">
        <v>1275</v>
      </c>
      <c r="D691" s="13">
        <v>98007</v>
      </c>
    </row>
    <row r="692" spans="1:4">
      <c r="A692" s="70" t="s">
        <v>2269</v>
      </c>
      <c r="B692" s="17" t="s">
        <v>2288</v>
      </c>
      <c r="C692" s="16" t="s">
        <v>2271</v>
      </c>
      <c r="D692" s="13">
        <v>7893333325109</v>
      </c>
    </row>
    <row r="693" spans="1:4">
      <c r="A693" s="70" t="s">
        <v>2269</v>
      </c>
      <c r="B693" s="17" t="s">
        <v>2288</v>
      </c>
      <c r="C693" s="16" t="s">
        <v>2272</v>
      </c>
      <c r="D693" s="13">
        <v>7893333325000</v>
      </c>
    </row>
    <row r="694" spans="1:4">
      <c r="A694" s="70" t="s">
        <v>1657</v>
      </c>
      <c r="B694" s="17" t="s">
        <v>2281</v>
      </c>
      <c r="C694" s="16" t="s">
        <v>1662</v>
      </c>
      <c r="D694" s="13">
        <v>7898024394181</v>
      </c>
    </row>
    <row r="695" spans="1:4">
      <c r="A695" s="70" t="s">
        <v>1657</v>
      </c>
      <c r="B695" s="17" t="s">
        <v>2281</v>
      </c>
      <c r="C695" s="16" t="s">
        <v>1662</v>
      </c>
      <c r="D695" s="13">
        <v>7898024398622</v>
      </c>
    </row>
    <row r="696" spans="1:4">
      <c r="A696" s="70" t="s">
        <v>1657</v>
      </c>
      <c r="B696" s="17" t="s">
        <v>2281</v>
      </c>
      <c r="C696" s="16" t="s">
        <v>1662</v>
      </c>
      <c r="D696" s="13">
        <v>7898024397892</v>
      </c>
    </row>
    <row r="697" spans="1:4">
      <c r="A697" s="70" t="s">
        <v>13</v>
      </c>
      <c r="B697" s="17" t="s">
        <v>2281</v>
      </c>
      <c r="C697" s="16" t="s">
        <v>409</v>
      </c>
      <c r="D697" s="13">
        <v>7896275960575</v>
      </c>
    </row>
    <row r="698" spans="1:4">
      <c r="A698" s="70" t="s">
        <v>139</v>
      </c>
      <c r="B698" s="17" t="s">
        <v>2281</v>
      </c>
      <c r="C698" s="16" t="s">
        <v>139</v>
      </c>
      <c r="D698" s="13">
        <v>7896051114086</v>
      </c>
    </row>
    <row r="699" spans="1:4">
      <c r="A699" s="70" t="s">
        <v>67</v>
      </c>
      <c r="B699" s="17" t="s">
        <v>2281</v>
      </c>
      <c r="C699" s="16" t="s">
        <v>283</v>
      </c>
      <c r="D699" s="13">
        <v>7898215151784</v>
      </c>
    </row>
    <row r="700" spans="1:4">
      <c r="A700" s="70" t="s">
        <v>1926</v>
      </c>
      <c r="B700" s="17" t="s">
        <v>2285</v>
      </c>
      <c r="C700" s="16" t="s">
        <v>1927</v>
      </c>
      <c r="D700" s="13">
        <v>0</v>
      </c>
    </row>
    <row r="701" spans="1:4">
      <c r="A701" s="70" t="s">
        <v>1491</v>
      </c>
      <c r="B701" s="17" t="s">
        <v>2285</v>
      </c>
      <c r="C701" s="16" t="s">
        <v>1496</v>
      </c>
      <c r="D701" s="13">
        <v>7500435153164</v>
      </c>
    </row>
    <row r="702" spans="1:4">
      <c r="A702" s="70" t="s">
        <v>2170</v>
      </c>
      <c r="B702" s="17" t="s">
        <v>2285</v>
      </c>
      <c r="C702" s="16" t="s">
        <v>261</v>
      </c>
      <c r="D702" s="13">
        <v>7506339363883</v>
      </c>
    </row>
    <row r="703" spans="1:4">
      <c r="A703" s="70" t="s">
        <v>2132</v>
      </c>
      <c r="B703" s="17" t="s">
        <v>2285</v>
      </c>
      <c r="C703" s="16" t="s">
        <v>2134</v>
      </c>
      <c r="D703" s="13">
        <v>7500435150248</v>
      </c>
    </row>
    <row r="704" spans="1:4">
      <c r="A704" s="70" t="s">
        <v>61</v>
      </c>
      <c r="B704" s="17" t="s">
        <v>2285</v>
      </c>
      <c r="C704" s="16" t="s">
        <v>232</v>
      </c>
      <c r="D704" s="13">
        <v>7896009419324</v>
      </c>
    </row>
    <row r="705" spans="1:4">
      <c r="A705" s="70" t="s">
        <v>80</v>
      </c>
      <c r="B705" s="17" t="s">
        <v>2288</v>
      </c>
      <c r="C705" s="16" t="s">
        <v>230</v>
      </c>
      <c r="D705" s="13">
        <v>7891080151248</v>
      </c>
    </row>
    <row r="706" spans="1:4">
      <c r="A706" s="70" t="s">
        <v>80</v>
      </c>
      <c r="B706" s="17" t="s">
        <v>2288</v>
      </c>
      <c r="C706" s="16" t="s">
        <v>230</v>
      </c>
      <c r="D706" s="13">
        <v>7891042091636</v>
      </c>
    </row>
    <row r="707" spans="1:4">
      <c r="A707" s="70" t="s">
        <v>80</v>
      </c>
      <c r="B707" s="17" t="s">
        <v>2288</v>
      </c>
      <c r="C707" s="16" t="s">
        <v>230</v>
      </c>
      <c r="D707" s="13">
        <v>7891515901202</v>
      </c>
    </row>
    <row r="708" spans="1:4">
      <c r="A708" s="70" t="s">
        <v>80</v>
      </c>
      <c r="B708" s="17" t="s">
        <v>2288</v>
      </c>
      <c r="C708" s="16" t="s">
        <v>230</v>
      </c>
      <c r="D708" s="13">
        <v>7891515555337</v>
      </c>
    </row>
    <row r="709" spans="1:4">
      <c r="A709" s="70" t="s">
        <v>80</v>
      </c>
      <c r="B709" s="17" t="s">
        <v>2288</v>
      </c>
      <c r="C709" s="16" t="s">
        <v>231</v>
      </c>
      <c r="D709" s="13">
        <v>7891042091629</v>
      </c>
    </row>
    <row r="710" spans="1:4">
      <c r="A710" s="70" t="s">
        <v>80</v>
      </c>
      <c r="B710" s="17" t="s">
        <v>2288</v>
      </c>
      <c r="C710" s="16" t="s">
        <v>231</v>
      </c>
      <c r="D710" s="13">
        <v>7891515555252</v>
      </c>
    </row>
    <row r="711" spans="1:4">
      <c r="A711" s="70" t="s">
        <v>80</v>
      </c>
      <c r="B711" s="17" t="s">
        <v>2288</v>
      </c>
      <c r="C711" s="16" t="s">
        <v>231</v>
      </c>
      <c r="D711" s="13">
        <v>7891515900762</v>
      </c>
    </row>
    <row r="712" spans="1:4">
      <c r="A712" s="70" t="s">
        <v>80</v>
      </c>
      <c r="B712" s="17" t="s">
        <v>2288</v>
      </c>
      <c r="C712" s="16" t="s">
        <v>231</v>
      </c>
      <c r="D712" s="13">
        <v>7891080151231</v>
      </c>
    </row>
    <row r="713" spans="1:4">
      <c r="A713" s="70" t="s">
        <v>98</v>
      </c>
      <c r="B713" s="17" t="s">
        <v>2286</v>
      </c>
      <c r="C713" s="16" t="s">
        <v>361</v>
      </c>
      <c r="D713" s="13">
        <v>7897000800548</v>
      </c>
    </row>
    <row r="714" spans="1:4">
      <c r="A714" s="70" t="s">
        <v>98</v>
      </c>
      <c r="B714" s="17" t="s">
        <v>2286</v>
      </c>
      <c r="C714" s="16" t="s">
        <v>362</v>
      </c>
      <c r="D714" s="13">
        <v>7897000800814</v>
      </c>
    </row>
    <row r="715" spans="1:4">
      <c r="A715" s="70" t="s">
        <v>74</v>
      </c>
      <c r="B715" s="17" t="s">
        <v>2286</v>
      </c>
      <c r="C715" s="16" t="s">
        <v>516</v>
      </c>
      <c r="D715" s="13">
        <v>7896183301545</v>
      </c>
    </row>
    <row r="716" spans="1:4">
      <c r="A716" s="70" t="s">
        <v>74</v>
      </c>
      <c r="B716" s="17" t="s">
        <v>2286</v>
      </c>
      <c r="C716" s="16" t="s">
        <v>515</v>
      </c>
      <c r="D716" s="13">
        <v>7896183300180</v>
      </c>
    </row>
    <row r="717" spans="1:4">
      <c r="A717" s="70" t="s">
        <v>74</v>
      </c>
      <c r="B717" s="17" t="s">
        <v>2286</v>
      </c>
      <c r="C717" s="16" t="s">
        <v>517</v>
      </c>
      <c r="D717" s="13">
        <v>7896183300173</v>
      </c>
    </row>
    <row r="718" spans="1:4">
      <c r="A718" s="70" t="s">
        <v>74</v>
      </c>
      <c r="B718" s="17" t="s">
        <v>2286</v>
      </c>
      <c r="C718" s="16" t="s">
        <v>518</v>
      </c>
      <c r="D718" s="13">
        <v>7896183300319</v>
      </c>
    </row>
    <row r="719" spans="1:4">
      <c r="A719" s="70" t="s">
        <v>74</v>
      </c>
      <c r="B719" s="17" t="s">
        <v>2286</v>
      </c>
      <c r="C719" s="16" t="s">
        <v>519</v>
      </c>
      <c r="D719" s="13">
        <v>7896183302436</v>
      </c>
    </row>
    <row r="720" spans="1:4">
      <c r="A720" s="70" t="s">
        <v>74</v>
      </c>
      <c r="B720" s="17" t="s">
        <v>2286</v>
      </c>
      <c r="C720" s="16" t="s">
        <v>520</v>
      </c>
      <c r="D720" s="13">
        <v>7896183301019</v>
      </c>
    </row>
    <row r="721" spans="1:4">
      <c r="A721" s="70" t="s">
        <v>74</v>
      </c>
      <c r="B721" s="17" t="s">
        <v>2286</v>
      </c>
      <c r="C721" s="16" t="s">
        <v>521</v>
      </c>
      <c r="D721" s="13">
        <v>7896183300333</v>
      </c>
    </row>
    <row r="722" spans="1:4">
      <c r="A722" s="70" t="s">
        <v>74</v>
      </c>
      <c r="B722" s="17" t="s">
        <v>2286</v>
      </c>
      <c r="C722" s="16" t="s">
        <v>522</v>
      </c>
      <c r="D722" s="13">
        <v>7896183300067</v>
      </c>
    </row>
    <row r="723" spans="1:4">
      <c r="A723" s="70" t="s">
        <v>74</v>
      </c>
      <c r="B723" s="17" t="s">
        <v>2286</v>
      </c>
      <c r="C723" s="16" t="s">
        <v>525</v>
      </c>
      <c r="D723" s="13">
        <v>7896183312596</v>
      </c>
    </row>
    <row r="724" spans="1:4">
      <c r="A724" s="70" t="s">
        <v>74</v>
      </c>
      <c r="B724" s="17" t="s">
        <v>2286</v>
      </c>
      <c r="C724" s="16" t="s">
        <v>526</v>
      </c>
      <c r="D724" s="13">
        <v>7896183312589</v>
      </c>
    </row>
    <row r="725" spans="1:4">
      <c r="A725" s="70" t="s">
        <v>74</v>
      </c>
      <c r="B725" s="17" t="s">
        <v>2286</v>
      </c>
      <c r="C725" s="16" t="s">
        <v>523</v>
      </c>
      <c r="D725" s="13">
        <v>7896183302429</v>
      </c>
    </row>
    <row r="726" spans="1:4">
      <c r="A726" s="70" t="s">
        <v>77</v>
      </c>
      <c r="B726" s="17" t="s">
        <v>2286</v>
      </c>
      <c r="C726" s="16" t="s">
        <v>1372</v>
      </c>
      <c r="D726" s="13">
        <v>7896056405684</v>
      </c>
    </row>
    <row r="727" spans="1:4">
      <c r="A727" s="70" t="s">
        <v>77</v>
      </c>
      <c r="B727" s="17" t="s">
        <v>2286</v>
      </c>
      <c r="C727" s="16" t="s">
        <v>1373</v>
      </c>
      <c r="D727" s="13">
        <v>7896056401051</v>
      </c>
    </row>
    <row r="728" spans="1:4">
      <c r="A728" s="70" t="s">
        <v>77</v>
      </c>
      <c r="B728" s="17" t="s">
        <v>2286</v>
      </c>
      <c r="C728" s="16" t="s">
        <v>1374</v>
      </c>
      <c r="D728" s="13">
        <v>7896056402478</v>
      </c>
    </row>
    <row r="729" spans="1:4">
      <c r="A729" s="70" t="s">
        <v>77</v>
      </c>
      <c r="B729" s="17" t="s">
        <v>2286</v>
      </c>
      <c r="C729" s="16" t="s">
        <v>1375</v>
      </c>
      <c r="D729" s="13">
        <v>7896056402485</v>
      </c>
    </row>
    <row r="730" spans="1:4">
      <c r="A730" s="70" t="s">
        <v>77</v>
      </c>
      <c r="B730" s="17" t="s">
        <v>2286</v>
      </c>
      <c r="C730" s="16" t="s">
        <v>1376</v>
      </c>
      <c r="D730" s="13">
        <v>7896056401549</v>
      </c>
    </row>
    <row r="731" spans="1:4">
      <c r="A731" s="70" t="s">
        <v>1563</v>
      </c>
      <c r="B731" s="17" t="s">
        <v>2285</v>
      </c>
      <c r="C731" s="16" t="s">
        <v>716</v>
      </c>
      <c r="D731" s="13">
        <v>7791293033235</v>
      </c>
    </row>
    <row r="732" spans="1:4">
      <c r="A732" s="70" t="s">
        <v>1563</v>
      </c>
      <c r="B732" s="17" t="s">
        <v>2285</v>
      </c>
      <c r="C732" s="16" t="s">
        <v>717</v>
      </c>
      <c r="D732" s="13">
        <v>7506306241152</v>
      </c>
    </row>
    <row r="733" spans="1:4">
      <c r="A733" s="70" t="s">
        <v>1563</v>
      </c>
      <c r="B733" s="17" t="s">
        <v>2285</v>
      </c>
      <c r="C733" s="16" t="s">
        <v>1839</v>
      </c>
      <c r="D733" s="13">
        <v>7891150063747</v>
      </c>
    </row>
    <row r="734" spans="1:4">
      <c r="A734" s="70" t="s">
        <v>1563</v>
      </c>
      <c r="B734" s="17" t="s">
        <v>2285</v>
      </c>
      <c r="C734" s="16" t="s">
        <v>1838</v>
      </c>
      <c r="D734" s="13">
        <v>7791293038155</v>
      </c>
    </row>
    <row r="735" spans="1:4">
      <c r="A735" s="70" t="s">
        <v>1563</v>
      </c>
      <c r="B735" s="17" t="s">
        <v>2285</v>
      </c>
      <c r="C735" s="16" t="s">
        <v>718</v>
      </c>
      <c r="D735" s="13">
        <v>7506306241169</v>
      </c>
    </row>
    <row r="736" spans="1:4">
      <c r="A736" s="70" t="s">
        <v>1563</v>
      </c>
      <c r="B736" s="17" t="s">
        <v>2285</v>
      </c>
      <c r="C736" s="16" t="s">
        <v>719</v>
      </c>
      <c r="D736" s="13">
        <v>7791293033266</v>
      </c>
    </row>
    <row r="737" spans="1:4">
      <c r="A737" s="70" t="s">
        <v>1563</v>
      </c>
      <c r="B737" s="17" t="s">
        <v>2285</v>
      </c>
      <c r="C737" s="16" t="s">
        <v>720</v>
      </c>
      <c r="D737" s="13">
        <v>7506306241176</v>
      </c>
    </row>
    <row r="738" spans="1:4">
      <c r="A738" s="70" t="s">
        <v>1563</v>
      </c>
      <c r="B738" s="17" t="s">
        <v>2285</v>
      </c>
      <c r="C738" s="16" t="s">
        <v>721</v>
      </c>
      <c r="D738" s="13">
        <v>7506306241183</v>
      </c>
    </row>
    <row r="739" spans="1:4">
      <c r="A739" s="70" t="s">
        <v>1563</v>
      </c>
      <c r="B739" s="17" t="s">
        <v>2285</v>
      </c>
      <c r="C739" s="16" t="s">
        <v>722</v>
      </c>
      <c r="D739" s="13">
        <v>7791293033242</v>
      </c>
    </row>
    <row r="740" spans="1:4">
      <c r="A740" s="70" t="s">
        <v>1563</v>
      </c>
      <c r="B740" s="17" t="s">
        <v>2285</v>
      </c>
      <c r="C740" s="16" t="s">
        <v>723</v>
      </c>
      <c r="D740" s="13">
        <v>7791293012063</v>
      </c>
    </row>
    <row r="741" spans="1:4">
      <c r="A741" s="70" t="s">
        <v>1563</v>
      </c>
      <c r="B741" s="17" t="s">
        <v>2285</v>
      </c>
      <c r="C741" s="16" t="s">
        <v>724</v>
      </c>
      <c r="D741" s="13">
        <v>7791293012087</v>
      </c>
    </row>
    <row r="742" spans="1:4">
      <c r="A742" s="70" t="s">
        <v>1563</v>
      </c>
      <c r="B742" s="17" t="s">
        <v>2285</v>
      </c>
      <c r="C742" s="16" t="s">
        <v>725</v>
      </c>
      <c r="D742" s="13">
        <v>7791293033310</v>
      </c>
    </row>
    <row r="743" spans="1:4">
      <c r="A743" s="70" t="s">
        <v>1563</v>
      </c>
      <c r="B743" s="17" t="s">
        <v>2285</v>
      </c>
      <c r="C743" s="16" t="s">
        <v>726</v>
      </c>
      <c r="D743" s="13">
        <v>7791293033327</v>
      </c>
    </row>
    <row r="744" spans="1:4">
      <c r="A744" s="70" t="s">
        <v>1563</v>
      </c>
      <c r="B744" s="17" t="s">
        <v>2285</v>
      </c>
      <c r="C744" s="16" t="s">
        <v>727</v>
      </c>
      <c r="D744" s="13">
        <v>7791293018874</v>
      </c>
    </row>
    <row r="745" spans="1:4">
      <c r="A745" s="70" t="s">
        <v>1563</v>
      </c>
      <c r="B745" s="17" t="s">
        <v>2285</v>
      </c>
      <c r="C745" s="16" t="s">
        <v>731</v>
      </c>
      <c r="D745" s="13">
        <v>7791293033273</v>
      </c>
    </row>
    <row r="746" spans="1:4">
      <c r="A746" s="70" t="s">
        <v>1563</v>
      </c>
      <c r="B746" s="17" t="s">
        <v>2285</v>
      </c>
      <c r="C746" s="16" t="s">
        <v>728</v>
      </c>
      <c r="D746" s="13">
        <v>7791293022819</v>
      </c>
    </row>
    <row r="747" spans="1:4">
      <c r="A747" s="70" t="s">
        <v>1563</v>
      </c>
      <c r="B747" s="17" t="s">
        <v>2285</v>
      </c>
      <c r="C747" s="16" t="s">
        <v>729</v>
      </c>
      <c r="D747" s="13">
        <v>7791293014838</v>
      </c>
    </row>
    <row r="748" spans="1:4">
      <c r="A748" s="70" t="s">
        <v>1715</v>
      </c>
      <c r="B748" s="17" t="s">
        <v>2285</v>
      </c>
      <c r="C748" s="16" t="s">
        <v>1718</v>
      </c>
      <c r="D748" s="13">
        <v>7500435135023</v>
      </c>
    </row>
    <row r="749" spans="1:4">
      <c r="A749" s="70" t="s">
        <v>1715</v>
      </c>
      <c r="B749" s="17" t="s">
        <v>2285</v>
      </c>
      <c r="C749" s="16" t="s">
        <v>1719</v>
      </c>
      <c r="D749" s="13">
        <v>7500435135047</v>
      </c>
    </row>
    <row r="750" spans="1:4">
      <c r="A750" s="70" t="s">
        <v>1715</v>
      </c>
      <c r="B750" s="17" t="s">
        <v>2285</v>
      </c>
      <c r="C750" s="16" t="s">
        <v>1720</v>
      </c>
      <c r="D750" s="13">
        <v>7500435141819</v>
      </c>
    </row>
    <row r="751" spans="1:4">
      <c r="A751" s="70" t="s">
        <v>1715</v>
      </c>
      <c r="B751" s="17" t="s">
        <v>2285</v>
      </c>
      <c r="C751" s="16" t="s">
        <v>1721</v>
      </c>
      <c r="D751" s="13">
        <v>7500435135078</v>
      </c>
    </row>
    <row r="752" spans="1:4">
      <c r="A752" s="70" t="s">
        <v>1715</v>
      </c>
      <c r="B752" s="17" t="s">
        <v>2285</v>
      </c>
      <c r="C752" s="16" t="s">
        <v>1722</v>
      </c>
      <c r="D752" s="13">
        <v>7500435135030</v>
      </c>
    </row>
    <row r="753" spans="1:4">
      <c r="A753" s="70" t="s">
        <v>1715</v>
      </c>
      <c r="B753" s="17" t="s">
        <v>2285</v>
      </c>
      <c r="C753" s="16" t="s">
        <v>1723</v>
      </c>
      <c r="D753" s="13">
        <v>7500435135061</v>
      </c>
    </row>
    <row r="754" spans="1:4">
      <c r="A754" s="70" t="s">
        <v>1705</v>
      </c>
      <c r="B754" s="17" t="s">
        <v>2285</v>
      </c>
      <c r="C754" s="16" t="s">
        <v>667</v>
      </c>
      <c r="D754" s="13">
        <v>7791293022598</v>
      </c>
    </row>
    <row r="755" spans="1:4">
      <c r="A755" s="70" t="s">
        <v>1705</v>
      </c>
      <c r="B755" s="17" t="s">
        <v>2285</v>
      </c>
      <c r="C755" s="16" t="s">
        <v>668</v>
      </c>
      <c r="D755" s="13">
        <v>7791293025537</v>
      </c>
    </row>
    <row r="756" spans="1:4">
      <c r="A756" s="70" t="s">
        <v>1705</v>
      </c>
      <c r="B756" s="17" t="s">
        <v>2285</v>
      </c>
      <c r="C756" s="16" t="s">
        <v>669</v>
      </c>
      <c r="D756" s="13">
        <v>7791293032269</v>
      </c>
    </row>
    <row r="757" spans="1:4">
      <c r="A757" s="70" t="s">
        <v>1705</v>
      </c>
      <c r="B757" s="17" t="s">
        <v>2285</v>
      </c>
      <c r="C757" s="16" t="s">
        <v>670</v>
      </c>
      <c r="D757" s="13">
        <v>7506306244184</v>
      </c>
    </row>
    <row r="758" spans="1:4">
      <c r="A758" s="70" t="s">
        <v>1705</v>
      </c>
      <c r="B758" s="17" t="s">
        <v>2285</v>
      </c>
      <c r="C758" s="16" t="s">
        <v>671</v>
      </c>
      <c r="D758" s="13">
        <v>7891150054646</v>
      </c>
    </row>
    <row r="759" spans="1:4">
      <c r="A759" s="70" t="s">
        <v>1705</v>
      </c>
      <c r="B759" s="17" t="s">
        <v>2285</v>
      </c>
      <c r="C759" s="16" t="s">
        <v>672</v>
      </c>
      <c r="D759" s="13">
        <v>7791293022635</v>
      </c>
    </row>
    <row r="760" spans="1:4">
      <c r="A760" s="70" t="s">
        <v>1705</v>
      </c>
      <c r="B760" s="17" t="s">
        <v>2285</v>
      </c>
      <c r="C760" s="16" t="s">
        <v>673</v>
      </c>
      <c r="D760" s="13">
        <v>7891150055872</v>
      </c>
    </row>
    <row r="761" spans="1:4">
      <c r="A761" s="70" t="s">
        <v>1705</v>
      </c>
      <c r="B761" s="17" t="s">
        <v>2285</v>
      </c>
      <c r="C761" s="16" t="s">
        <v>674</v>
      </c>
      <c r="D761" s="13">
        <v>7891150055605</v>
      </c>
    </row>
    <row r="762" spans="1:4">
      <c r="A762" s="70" t="s">
        <v>1705</v>
      </c>
      <c r="B762" s="17" t="s">
        <v>2285</v>
      </c>
      <c r="C762" s="16" t="s">
        <v>675</v>
      </c>
      <c r="D762" s="13">
        <v>7891150063204</v>
      </c>
    </row>
    <row r="763" spans="1:4">
      <c r="A763" s="70" t="s">
        <v>1705</v>
      </c>
      <c r="B763" s="17" t="s">
        <v>2285</v>
      </c>
      <c r="C763" s="16" t="s">
        <v>676</v>
      </c>
      <c r="D763" s="13">
        <v>7791293022567</v>
      </c>
    </row>
    <row r="764" spans="1:4">
      <c r="A764" s="70" t="s">
        <v>1705</v>
      </c>
      <c r="B764" s="17" t="s">
        <v>2285</v>
      </c>
      <c r="C764" s="16" t="s">
        <v>677</v>
      </c>
      <c r="D764" s="13">
        <v>7791293022581</v>
      </c>
    </row>
    <row r="765" spans="1:4">
      <c r="A765" s="70" t="s">
        <v>1705</v>
      </c>
      <c r="B765" s="17" t="s">
        <v>2285</v>
      </c>
      <c r="C765" s="16" t="s">
        <v>678</v>
      </c>
      <c r="D765" s="13">
        <v>7791293032443</v>
      </c>
    </row>
    <row r="766" spans="1:4">
      <c r="A766" s="70" t="s">
        <v>1705</v>
      </c>
      <c r="B766" s="17" t="s">
        <v>2285</v>
      </c>
      <c r="C766" s="16" t="s">
        <v>679</v>
      </c>
      <c r="D766" s="13">
        <v>7791293033198</v>
      </c>
    </row>
    <row r="767" spans="1:4">
      <c r="A767" s="70" t="s">
        <v>1705</v>
      </c>
      <c r="B767" s="17" t="s">
        <v>2285</v>
      </c>
      <c r="C767" s="16" t="s">
        <v>680</v>
      </c>
      <c r="D767" s="13">
        <v>7506306244177</v>
      </c>
    </row>
    <row r="768" spans="1:4">
      <c r="A768" s="70" t="s">
        <v>1705</v>
      </c>
      <c r="B768" s="17" t="s">
        <v>2285</v>
      </c>
      <c r="C768" s="16" t="s">
        <v>681</v>
      </c>
      <c r="D768" s="13">
        <v>7791293032375</v>
      </c>
    </row>
    <row r="769" spans="1:4">
      <c r="A769" s="70" t="s">
        <v>1705</v>
      </c>
      <c r="B769" s="17" t="s">
        <v>2285</v>
      </c>
      <c r="C769" s="16" t="s">
        <v>682</v>
      </c>
      <c r="D769" s="13">
        <v>7791293032498</v>
      </c>
    </row>
    <row r="770" spans="1:4">
      <c r="A770" s="70" t="s">
        <v>1705</v>
      </c>
      <c r="B770" s="17" t="s">
        <v>2285</v>
      </c>
      <c r="C770" s="16" t="s">
        <v>683</v>
      </c>
      <c r="D770" s="13">
        <v>7791293784465</v>
      </c>
    </row>
    <row r="771" spans="1:4">
      <c r="A771" s="70" t="s">
        <v>1705</v>
      </c>
      <c r="B771" s="17" t="s">
        <v>2285</v>
      </c>
      <c r="C771" s="16" t="s">
        <v>684</v>
      </c>
      <c r="D771" s="13">
        <v>7891150054653</v>
      </c>
    </row>
    <row r="772" spans="1:4">
      <c r="A772" s="70" t="s">
        <v>1705</v>
      </c>
      <c r="B772" s="17" t="s">
        <v>2285</v>
      </c>
      <c r="C772" s="16" t="s">
        <v>685</v>
      </c>
      <c r="D772" s="13">
        <v>7791293036052</v>
      </c>
    </row>
    <row r="773" spans="1:4">
      <c r="A773" s="70" t="s">
        <v>1705</v>
      </c>
      <c r="B773" s="17" t="s">
        <v>2285</v>
      </c>
      <c r="C773" s="16" t="s">
        <v>686</v>
      </c>
      <c r="D773" s="13">
        <v>7791293032481</v>
      </c>
    </row>
    <row r="774" spans="1:4">
      <c r="A774" s="70" t="s">
        <v>1705</v>
      </c>
      <c r="B774" s="17" t="s">
        <v>2285</v>
      </c>
      <c r="C774" s="16" t="s">
        <v>687</v>
      </c>
      <c r="D774" s="13">
        <v>7791293032436</v>
      </c>
    </row>
    <row r="775" spans="1:4">
      <c r="A775" s="70" t="s">
        <v>1705</v>
      </c>
      <c r="B775" s="17" t="s">
        <v>2285</v>
      </c>
      <c r="C775" s="16" t="s">
        <v>688</v>
      </c>
      <c r="D775" s="13">
        <v>7791293032368</v>
      </c>
    </row>
    <row r="776" spans="1:4">
      <c r="A776" s="70" t="s">
        <v>1705</v>
      </c>
      <c r="B776" s="17" t="s">
        <v>2285</v>
      </c>
      <c r="C776" s="16" t="s">
        <v>689</v>
      </c>
      <c r="D776" s="13">
        <v>7791293036045</v>
      </c>
    </row>
    <row r="777" spans="1:4">
      <c r="A777" s="70" t="s">
        <v>1705</v>
      </c>
      <c r="B777" s="17" t="s">
        <v>2285</v>
      </c>
      <c r="C777" s="16" t="s">
        <v>690</v>
      </c>
      <c r="D777" s="13">
        <v>7891150071278</v>
      </c>
    </row>
    <row r="778" spans="1:4">
      <c r="A778" s="70" t="s">
        <v>1705</v>
      </c>
      <c r="B778" s="17" t="s">
        <v>2285</v>
      </c>
      <c r="C778" s="16" t="s">
        <v>691</v>
      </c>
      <c r="D778" s="13">
        <v>7891150071254</v>
      </c>
    </row>
    <row r="779" spans="1:4">
      <c r="A779" s="70" t="s">
        <v>1705</v>
      </c>
      <c r="B779" s="17" t="s">
        <v>2285</v>
      </c>
      <c r="C779" s="16" t="s">
        <v>692</v>
      </c>
      <c r="D779" s="13">
        <v>7791293032467</v>
      </c>
    </row>
    <row r="780" spans="1:4">
      <c r="A780" s="70" t="s">
        <v>1705</v>
      </c>
      <c r="B780" s="17" t="s">
        <v>2285</v>
      </c>
      <c r="C780" s="16" t="s">
        <v>693</v>
      </c>
      <c r="D780" s="13">
        <v>77904331</v>
      </c>
    </row>
    <row r="781" spans="1:4">
      <c r="A781" s="70" t="s">
        <v>1705</v>
      </c>
      <c r="B781" s="17" t="s">
        <v>2285</v>
      </c>
      <c r="C781" s="16" t="s">
        <v>706</v>
      </c>
      <c r="D781" s="13">
        <v>7891150071261</v>
      </c>
    </row>
    <row r="782" spans="1:4">
      <c r="A782" s="70" t="s">
        <v>1705</v>
      </c>
      <c r="B782" s="17" t="s">
        <v>2285</v>
      </c>
      <c r="C782" s="16" t="s">
        <v>707</v>
      </c>
      <c r="D782" s="13">
        <v>7891150064737</v>
      </c>
    </row>
    <row r="783" spans="1:4">
      <c r="A783" s="70" t="s">
        <v>2200</v>
      </c>
      <c r="B783" s="17" t="s">
        <v>2285</v>
      </c>
      <c r="C783" s="16" t="s">
        <v>2206</v>
      </c>
      <c r="D783" s="13">
        <v>7898085947579</v>
      </c>
    </row>
    <row r="784" spans="1:4">
      <c r="A784" s="70" t="s">
        <v>2200</v>
      </c>
      <c r="B784" s="17" t="s">
        <v>2285</v>
      </c>
      <c r="C784" s="16" t="s">
        <v>2207</v>
      </c>
      <c r="D784" s="13">
        <v>7898085947548</v>
      </c>
    </row>
    <row r="785" spans="1:4">
      <c r="A785" s="70" t="s">
        <v>2200</v>
      </c>
      <c r="B785" s="17" t="s">
        <v>2285</v>
      </c>
      <c r="C785" s="16" t="s">
        <v>2208</v>
      </c>
      <c r="D785" s="13">
        <v>7898085947562</v>
      </c>
    </row>
    <row r="786" spans="1:4">
      <c r="A786" s="70" t="s">
        <v>1807</v>
      </c>
      <c r="B786" s="17" t="s">
        <v>2285</v>
      </c>
      <c r="C786" s="16" t="s">
        <v>1808</v>
      </c>
      <c r="D786" s="13">
        <v>7894650938928</v>
      </c>
    </row>
    <row r="787" spans="1:4">
      <c r="A787" s="70" t="s">
        <v>1807</v>
      </c>
      <c r="B787" s="17" t="s">
        <v>2285</v>
      </c>
      <c r="C787" s="16" t="s">
        <v>1809</v>
      </c>
      <c r="D787" s="13">
        <v>7894650937761</v>
      </c>
    </row>
    <row r="788" spans="1:4">
      <c r="A788" s="70" t="s">
        <v>1807</v>
      </c>
      <c r="B788" s="17" t="s">
        <v>2285</v>
      </c>
      <c r="C788" s="16" t="s">
        <v>1809</v>
      </c>
      <c r="D788" s="13">
        <v>7894650013861</v>
      </c>
    </row>
    <row r="789" spans="1:4">
      <c r="A789" s="70" t="s">
        <v>1807</v>
      </c>
      <c r="B789" s="17" t="s">
        <v>2285</v>
      </c>
      <c r="C789" s="16" t="s">
        <v>2431</v>
      </c>
      <c r="D789" s="13">
        <v>7894650938430</v>
      </c>
    </row>
    <row r="790" spans="1:4">
      <c r="A790" s="70" t="s">
        <v>1807</v>
      </c>
      <c r="B790" s="17" t="s">
        <v>2285</v>
      </c>
      <c r="C790" s="16" t="s">
        <v>1810</v>
      </c>
      <c r="D790" s="13">
        <v>7894650014448</v>
      </c>
    </row>
    <row r="791" spans="1:4">
      <c r="A791" s="70" t="s">
        <v>884</v>
      </c>
      <c r="B791" s="17" t="s">
        <v>2286</v>
      </c>
      <c r="C791" s="16" t="s">
        <v>901</v>
      </c>
      <c r="D791" s="13">
        <v>7908324400366</v>
      </c>
    </row>
    <row r="792" spans="1:4">
      <c r="A792" s="70" t="s">
        <v>884</v>
      </c>
      <c r="B792" s="17" t="s">
        <v>2286</v>
      </c>
      <c r="C792" s="16" t="s">
        <v>902</v>
      </c>
      <c r="D792" s="13">
        <v>7908324400342</v>
      </c>
    </row>
    <row r="793" spans="1:4">
      <c r="A793" s="70" t="s">
        <v>884</v>
      </c>
      <c r="B793" s="17" t="s">
        <v>2286</v>
      </c>
      <c r="C793" s="16" t="s">
        <v>903</v>
      </c>
      <c r="D793" s="13">
        <v>7908324400359</v>
      </c>
    </row>
    <row r="794" spans="1:4">
      <c r="A794" s="70" t="s">
        <v>2023</v>
      </c>
      <c r="B794" s="17" t="s">
        <v>2286</v>
      </c>
      <c r="C794" s="16" t="s">
        <v>1910</v>
      </c>
      <c r="D794" s="13">
        <v>7891022637007</v>
      </c>
    </row>
    <row r="795" spans="1:4">
      <c r="A795" s="70" t="s">
        <v>2023</v>
      </c>
      <c r="B795" s="17" t="s">
        <v>2286</v>
      </c>
      <c r="C795" s="16" t="s">
        <v>1911</v>
      </c>
      <c r="D795" s="13">
        <v>7891022639001</v>
      </c>
    </row>
    <row r="796" spans="1:4">
      <c r="A796" s="70" t="s">
        <v>2023</v>
      </c>
      <c r="B796" s="17" t="s">
        <v>2286</v>
      </c>
      <c r="C796" s="16" t="s">
        <v>1912</v>
      </c>
      <c r="D796" s="13">
        <v>7891022638004</v>
      </c>
    </row>
    <row r="797" spans="1:4">
      <c r="A797" s="70" t="s">
        <v>2023</v>
      </c>
      <c r="B797" s="17" t="s">
        <v>2286</v>
      </c>
      <c r="C797" s="16" t="s">
        <v>1913</v>
      </c>
      <c r="D797" s="13">
        <v>7891022640007</v>
      </c>
    </row>
    <row r="798" spans="1:4">
      <c r="A798" s="70" t="s">
        <v>2023</v>
      </c>
      <c r="B798" s="17" t="s">
        <v>2286</v>
      </c>
      <c r="C798" s="16" t="s">
        <v>1920</v>
      </c>
      <c r="D798" s="13">
        <v>7891022861242</v>
      </c>
    </row>
    <row r="799" spans="1:4">
      <c r="A799" s="70" t="s">
        <v>2023</v>
      </c>
      <c r="B799" s="17" t="s">
        <v>2286</v>
      </c>
      <c r="C799" s="16" t="s">
        <v>1921</v>
      </c>
      <c r="D799" s="13">
        <v>7891022860955</v>
      </c>
    </row>
    <row r="800" spans="1:4">
      <c r="A800" s="70" t="s">
        <v>2023</v>
      </c>
      <c r="B800" s="17" t="s">
        <v>2286</v>
      </c>
      <c r="C800" s="16" t="s">
        <v>1914</v>
      </c>
      <c r="D800" s="13">
        <v>7891022100372</v>
      </c>
    </row>
    <row r="801" spans="1:4">
      <c r="A801" s="70" t="s">
        <v>2274</v>
      </c>
      <c r="B801" s="17" t="s">
        <v>2286</v>
      </c>
      <c r="C801" s="16" t="s">
        <v>2278</v>
      </c>
      <c r="D801" s="13">
        <v>7891022861310</v>
      </c>
    </row>
    <row r="802" spans="1:4">
      <c r="A802" s="70" t="s">
        <v>2274</v>
      </c>
      <c r="B802" s="17" t="s">
        <v>2286</v>
      </c>
      <c r="C802" s="16" t="s">
        <v>2279</v>
      </c>
      <c r="D802" s="13">
        <v>7891022861327</v>
      </c>
    </row>
    <row r="803" spans="1:4">
      <c r="A803" s="70" t="s">
        <v>2250</v>
      </c>
      <c r="B803" s="17" t="s">
        <v>2286</v>
      </c>
      <c r="C803" s="16" t="s">
        <v>2253</v>
      </c>
      <c r="D803" s="13">
        <v>7896098902042</v>
      </c>
    </row>
    <row r="804" spans="1:4">
      <c r="A804" s="70" t="s">
        <v>2250</v>
      </c>
      <c r="B804" s="17" t="s">
        <v>2286</v>
      </c>
      <c r="C804" s="16" t="s">
        <v>2254</v>
      </c>
      <c r="D804" s="13">
        <v>7896098900253</v>
      </c>
    </row>
    <row r="805" spans="1:4">
      <c r="A805" s="70" t="s">
        <v>2250</v>
      </c>
      <c r="B805" s="17" t="s">
        <v>2286</v>
      </c>
      <c r="C805" s="16" t="s">
        <v>2255</v>
      </c>
      <c r="D805" s="13">
        <v>7896098900277</v>
      </c>
    </row>
    <row r="806" spans="1:4">
      <c r="A806" s="70" t="s">
        <v>2250</v>
      </c>
      <c r="B806" s="17" t="s">
        <v>2286</v>
      </c>
      <c r="C806" s="16" t="s">
        <v>2256</v>
      </c>
      <c r="D806" s="13">
        <v>7896098900239</v>
      </c>
    </row>
    <row r="807" spans="1:4">
      <c r="A807" s="70" t="s">
        <v>2250</v>
      </c>
      <c r="B807" s="17" t="s">
        <v>2286</v>
      </c>
      <c r="C807" s="16" t="s">
        <v>2257</v>
      </c>
      <c r="D807" s="13">
        <v>7896098900222</v>
      </c>
    </row>
    <row r="808" spans="1:4">
      <c r="A808" s="70" t="s">
        <v>2250</v>
      </c>
      <c r="B808" s="17" t="s">
        <v>2286</v>
      </c>
      <c r="C808" s="16" t="s">
        <v>2258</v>
      </c>
      <c r="D808" s="13">
        <v>7896098900215</v>
      </c>
    </row>
    <row r="809" spans="1:4">
      <c r="A809" s="70" t="s">
        <v>2250</v>
      </c>
      <c r="B809" s="17" t="s">
        <v>2286</v>
      </c>
      <c r="C809" s="16" t="s">
        <v>2259</v>
      </c>
      <c r="D809" s="13">
        <v>7896098900208</v>
      </c>
    </row>
    <row r="810" spans="1:4" ht="30">
      <c r="A810" s="10" t="s">
        <v>2819</v>
      </c>
      <c r="B810" s="17" t="s">
        <v>2286</v>
      </c>
      <c r="C810" s="16" t="s">
        <v>2162</v>
      </c>
      <c r="D810" s="13">
        <v>7896098900840</v>
      </c>
    </row>
    <row r="811" spans="1:4" ht="30">
      <c r="A811" s="10" t="s">
        <v>2819</v>
      </c>
      <c r="B811" s="17" t="s">
        <v>2286</v>
      </c>
      <c r="C811" s="16" t="s">
        <v>2163</v>
      </c>
      <c r="D811" s="13">
        <v>7896098901915</v>
      </c>
    </row>
    <row r="812" spans="1:4">
      <c r="A812" s="70" t="s">
        <v>486</v>
      </c>
      <c r="B812" s="17" t="s">
        <v>2281</v>
      </c>
      <c r="C812" s="16" t="s">
        <v>503</v>
      </c>
      <c r="D812" s="13">
        <v>7896275960599</v>
      </c>
    </row>
    <row r="813" spans="1:4">
      <c r="A813" s="70" t="s">
        <v>486</v>
      </c>
      <c r="B813" s="17" t="s">
        <v>2281</v>
      </c>
      <c r="C813" s="16" t="s">
        <v>504</v>
      </c>
      <c r="D813" s="13">
        <v>7896275960810</v>
      </c>
    </row>
    <row r="814" spans="1:4">
      <c r="A814" s="70" t="s">
        <v>486</v>
      </c>
      <c r="B814" s="17" t="s">
        <v>2281</v>
      </c>
      <c r="C814" s="16" t="s">
        <v>505</v>
      </c>
      <c r="D814" s="13">
        <v>7896275960803</v>
      </c>
    </row>
    <row r="815" spans="1:4">
      <c r="A815" s="70" t="s">
        <v>486</v>
      </c>
      <c r="B815" s="17" t="s">
        <v>2281</v>
      </c>
      <c r="C815" s="16" t="s">
        <v>506</v>
      </c>
      <c r="D815" s="13">
        <v>7896275960605</v>
      </c>
    </row>
    <row r="816" spans="1:4">
      <c r="A816" s="70" t="s">
        <v>486</v>
      </c>
      <c r="B816" s="17" t="s">
        <v>2281</v>
      </c>
      <c r="C816" s="16" t="s">
        <v>507</v>
      </c>
      <c r="D816" s="13">
        <v>7896275970857</v>
      </c>
    </row>
    <row r="817" spans="1:4">
      <c r="A817" s="70" t="s">
        <v>1318</v>
      </c>
      <c r="B817" s="17" t="s">
        <v>2281</v>
      </c>
      <c r="C817" s="16" t="s">
        <v>1320</v>
      </c>
      <c r="D817" s="13">
        <v>7896051145646</v>
      </c>
    </row>
    <row r="818" spans="1:4">
      <c r="A818" s="70" t="s">
        <v>871</v>
      </c>
      <c r="B818" s="17" t="s">
        <v>2282</v>
      </c>
      <c r="C818" s="16" t="s">
        <v>890</v>
      </c>
      <c r="D818" s="13">
        <v>7893000949270</v>
      </c>
    </row>
    <row r="819" spans="1:4">
      <c r="A819" s="70" t="s">
        <v>871</v>
      </c>
      <c r="B819" s="17" t="s">
        <v>2282</v>
      </c>
      <c r="C819" s="16" t="s">
        <v>891</v>
      </c>
      <c r="D819" s="13">
        <v>7893000991989</v>
      </c>
    </row>
    <row r="820" spans="1:4">
      <c r="A820" s="70" t="s">
        <v>871</v>
      </c>
      <c r="B820" s="17" t="s">
        <v>2282</v>
      </c>
      <c r="C820" s="16" t="s">
        <v>892</v>
      </c>
      <c r="D820" s="13">
        <v>7893000949430</v>
      </c>
    </row>
    <row r="821" spans="1:4">
      <c r="A821" s="70" t="s">
        <v>871</v>
      </c>
      <c r="B821" s="17" t="s">
        <v>2282</v>
      </c>
      <c r="C821" s="16" t="s">
        <v>893</v>
      </c>
      <c r="D821" s="13">
        <v>7893000949355</v>
      </c>
    </row>
    <row r="822" spans="1:4">
      <c r="A822" s="70" t="s">
        <v>2129</v>
      </c>
      <c r="B822" s="17" t="s">
        <v>2282</v>
      </c>
      <c r="C822" s="16" t="s">
        <v>2131</v>
      </c>
      <c r="D822" s="13">
        <v>7894904597888</v>
      </c>
    </row>
    <row r="823" spans="1:4">
      <c r="A823" s="70" t="s">
        <v>1465</v>
      </c>
      <c r="B823" s="17" t="s">
        <v>2282</v>
      </c>
      <c r="C823" s="16" t="s">
        <v>1473</v>
      </c>
      <c r="D823" s="13">
        <v>7894904691005</v>
      </c>
    </row>
    <row r="824" spans="1:4">
      <c r="A824" s="70" t="s">
        <v>120</v>
      </c>
      <c r="B824" s="17" t="s">
        <v>2283</v>
      </c>
      <c r="C824" s="16" t="s">
        <v>1533</v>
      </c>
      <c r="D824" s="13">
        <v>70847022305</v>
      </c>
    </row>
    <row r="825" spans="1:4">
      <c r="A825" s="70" t="s">
        <v>120</v>
      </c>
      <c r="B825" s="17" t="s">
        <v>2283</v>
      </c>
      <c r="C825" s="16" t="s">
        <v>1545</v>
      </c>
      <c r="D825" s="13">
        <v>70847034803</v>
      </c>
    </row>
    <row r="826" spans="1:4">
      <c r="A826" s="70" t="s">
        <v>120</v>
      </c>
      <c r="B826" s="17" t="s">
        <v>2283</v>
      </c>
      <c r="C826" s="16" t="s">
        <v>1546</v>
      </c>
      <c r="D826" s="13">
        <v>1220000250000</v>
      </c>
    </row>
    <row r="827" spans="1:4">
      <c r="A827" s="70" t="s">
        <v>120</v>
      </c>
      <c r="B827" s="17" t="s">
        <v>2283</v>
      </c>
      <c r="C827" s="16" t="s">
        <v>1534</v>
      </c>
      <c r="D827" s="13">
        <v>70847033301</v>
      </c>
    </row>
    <row r="828" spans="1:4">
      <c r="A828" s="70" t="s">
        <v>120</v>
      </c>
      <c r="B828" s="17" t="s">
        <v>2283</v>
      </c>
      <c r="C828" s="16" t="s">
        <v>1535</v>
      </c>
      <c r="D828" s="13">
        <v>70847028505</v>
      </c>
    </row>
    <row r="829" spans="1:4">
      <c r="A829" s="70" t="s">
        <v>120</v>
      </c>
      <c r="B829" s="17" t="s">
        <v>2283</v>
      </c>
      <c r="C829" s="16" t="s">
        <v>1536</v>
      </c>
      <c r="D829" s="13">
        <v>70847022015</v>
      </c>
    </row>
    <row r="830" spans="1:4">
      <c r="A830" s="70" t="s">
        <v>120</v>
      </c>
      <c r="B830" s="17" t="s">
        <v>2283</v>
      </c>
      <c r="C830" s="16" t="s">
        <v>1537</v>
      </c>
      <c r="D830" s="13">
        <v>70847022206</v>
      </c>
    </row>
    <row r="831" spans="1:4">
      <c r="A831" s="70" t="s">
        <v>120</v>
      </c>
      <c r="B831" s="17" t="s">
        <v>2283</v>
      </c>
      <c r="C831" s="16" t="s">
        <v>1538</v>
      </c>
      <c r="D831" s="13">
        <v>70847033929</v>
      </c>
    </row>
    <row r="832" spans="1:4">
      <c r="A832" s="70" t="s">
        <v>120</v>
      </c>
      <c r="B832" s="17" t="s">
        <v>2283</v>
      </c>
      <c r="C832" s="16" t="s">
        <v>1539</v>
      </c>
      <c r="D832" s="13">
        <v>70847022022</v>
      </c>
    </row>
    <row r="833" spans="1:4">
      <c r="A833" s="70" t="s">
        <v>7</v>
      </c>
      <c r="B833" s="17" t="s">
        <v>2283</v>
      </c>
      <c r="C833" s="16" t="s">
        <v>1994</v>
      </c>
      <c r="D833" s="13">
        <v>7897053931077</v>
      </c>
    </row>
    <row r="834" spans="1:4">
      <c r="A834" s="70" t="s">
        <v>433</v>
      </c>
      <c r="B834" s="17" t="s">
        <v>2284</v>
      </c>
      <c r="C834" s="16" t="s">
        <v>437</v>
      </c>
      <c r="D834" s="13">
        <v>7897517209407</v>
      </c>
    </row>
    <row r="835" spans="1:4">
      <c r="A835" s="70" t="s">
        <v>992</v>
      </c>
      <c r="B835" s="17" t="s">
        <v>2284</v>
      </c>
      <c r="C835" s="16" t="s">
        <v>997</v>
      </c>
      <c r="D835" s="13">
        <v>7897517209056</v>
      </c>
    </row>
    <row r="836" spans="1:4">
      <c r="A836" s="70" t="s">
        <v>1110</v>
      </c>
      <c r="B836" s="17" t="s">
        <v>2284</v>
      </c>
      <c r="C836" s="16" t="s">
        <v>1111</v>
      </c>
      <c r="D836" s="13">
        <v>7896292340541</v>
      </c>
    </row>
    <row r="837" spans="1:4">
      <c r="A837" s="70" t="s">
        <v>50</v>
      </c>
      <c r="B837" s="17" t="s">
        <v>2283</v>
      </c>
      <c r="C837" s="16" t="s">
        <v>1416</v>
      </c>
      <c r="D837" s="13">
        <v>7896097722016</v>
      </c>
    </row>
    <row r="838" spans="1:4">
      <c r="A838" s="70" t="s">
        <v>50</v>
      </c>
      <c r="B838" s="17" t="s">
        <v>2283</v>
      </c>
      <c r="C838" s="16" t="s">
        <v>1417</v>
      </c>
      <c r="D838" s="13">
        <v>7896097722047</v>
      </c>
    </row>
    <row r="839" spans="1:4">
      <c r="A839" s="70" t="s">
        <v>2766</v>
      </c>
      <c r="B839" s="17" t="s">
        <v>2283</v>
      </c>
      <c r="C839" s="16" t="s">
        <v>1414</v>
      </c>
      <c r="D839" s="13">
        <v>7896097720098</v>
      </c>
    </row>
    <row r="840" spans="1:4">
      <c r="A840" s="70" t="s">
        <v>86</v>
      </c>
      <c r="B840" s="17" t="s">
        <v>2283</v>
      </c>
      <c r="C840" s="16" t="s">
        <v>969</v>
      </c>
      <c r="D840" s="13">
        <v>7896023082634</v>
      </c>
    </row>
    <row r="841" spans="1:4">
      <c r="A841" s="70" t="s">
        <v>1449</v>
      </c>
      <c r="B841" s="17" t="s">
        <v>2283</v>
      </c>
      <c r="C841" s="16" t="s">
        <v>969</v>
      </c>
      <c r="D841" s="13">
        <v>7896023082634</v>
      </c>
    </row>
    <row r="842" spans="1:4">
      <c r="A842" s="70" t="s">
        <v>1449</v>
      </c>
      <c r="B842" s="17" t="s">
        <v>2283</v>
      </c>
      <c r="C842" s="16" t="s">
        <v>1079</v>
      </c>
      <c r="D842" s="13">
        <v>7896023082979</v>
      </c>
    </row>
    <row r="843" spans="1:4">
      <c r="A843" s="70" t="s">
        <v>1449</v>
      </c>
      <c r="B843" s="17" t="s">
        <v>2283</v>
      </c>
      <c r="C843" s="16" t="s">
        <v>1243</v>
      </c>
      <c r="D843" s="13">
        <v>7896023085994</v>
      </c>
    </row>
    <row r="844" spans="1:4">
      <c r="A844" s="70" t="s">
        <v>1449</v>
      </c>
      <c r="B844" s="17" t="s">
        <v>2283</v>
      </c>
      <c r="C844" s="16" t="s">
        <v>1078</v>
      </c>
      <c r="D844" s="13">
        <v>7896023082993</v>
      </c>
    </row>
    <row r="845" spans="1:4">
      <c r="A845" s="70" t="s">
        <v>1316</v>
      </c>
      <c r="B845" s="17" t="s">
        <v>2283</v>
      </c>
      <c r="C845" s="16" t="s">
        <v>1353</v>
      </c>
      <c r="D845" s="13">
        <v>7896072911145</v>
      </c>
    </row>
    <row r="846" spans="1:4">
      <c r="A846" s="70" t="s">
        <v>1601</v>
      </c>
      <c r="B846" s="17" t="s">
        <v>2284</v>
      </c>
      <c r="C846" s="16" t="s">
        <v>1612</v>
      </c>
      <c r="D846" s="13">
        <v>7896036097069</v>
      </c>
    </row>
    <row r="847" spans="1:4">
      <c r="A847" s="70" t="s">
        <v>994</v>
      </c>
      <c r="B847" s="17" t="s">
        <v>2284</v>
      </c>
      <c r="C847" s="16" t="s">
        <v>1016</v>
      </c>
      <c r="D847" s="13">
        <v>7891032015369</v>
      </c>
    </row>
    <row r="848" spans="1:4">
      <c r="A848" s="70" t="s">
        <v>491</v>
      </c>
      <c r="B848" s="17" t="s">
        <v>2280</v>
      </c>
      <c r="C848" s="16" t="s">
        <v>524</v>
      </c>
      <c r="D848" s="13">
        <v>7896232111026</v>
      </c>
    </row>
    <row r="849" spans="1:4">
      <c r="A849" s="70" t="s">
        <v>3</v>
      </c>
      <c r="B849" s="17" t="s">
        <v>2280</v>
      </c>
      <c r="C849" s="16" t="s">
        <v>377</v>
      </c>
      <c r="D849" s="13">
        <v>7896534400323</v>
      </c>
    </row>
    <row r="850" spans="1:4">
      <c r="A850" s="70" t="s">
        <v>56</v>
      </c>
      <c r="B850" s="17" t="s">
        <v>2280</v>
      </c>
      <c r="C850" s="16" t="s">
        <v>279</v>
      </c>
      <c r="D850" s="13">
        <v>7896022200961</v>
      </c>
    </row>
    <row r="851" spans="1:4">
      <c r="A851" s="70" t="s">
        <v>37</v>
      </c>
      <c r="B851" s="17" t="s">
        <v>2280</v>
      </c>
      <c r="C851" s="16" t="s">
        <v>358</v>
      </c>
      <c r="D851" s="13">
        <v>7896534400200</v>
      </c>
    </row>
    <row r="852" spans="1:4">
      <c r="A852" s="70" t="s">
        <v>1112</v>
      </c>
      <c r="B852" s="17" t="s">
        <v>2284</v>
      </c>
      <c r="C852" s="16" t="s">
        <v>1117</v>
      </c>
      <c r="D852" s="13">
        <v>7896117600072</v>
      </c>
    </row>
    <row r="853" spans="1:4">
      <c r="A853" s="70" t="s">
        <v>1112</v>
      </c>
      <c r="B853" s="17" t="s">
        <v>2284</v>
      </c>
      <c r="C853" s="16" t="s">
        <v>1118</v>
      </c>
      <c r="D853" s="13">
        <v>7896117600065</v>
      </c>
    </row>
    <row r="854" spans="1:4">
      <c r="A854" s="70" t="s">
        <v>1233</v>
      </c>
      <c r="B854" s="17" t="s">
        <v>2284</v>
      </c>
      <c r="C854" s="16" t="s">
        <v>565</v>
      </c>
      <c r="D854" s="13">
        <v>7896280402015</v>
      </c>
    </row>
    <row r="855" spans="1:4">
      <c r="A855" s="70" t="s">
        <v>1278</v>
      </c>
      <c r="B855" s="17" t="s">
        <v>2284</v>
      </c>
      <c r="C855" s="16" t="s">
        <v>1285</v>
      </c>
      <c r="D855" s="13">
        <v>7896280402442</v>
      </c>
    </row>
    <row r="856" spans="1:4">
      <c r="A856" s="70" t="s">
        <v>1278</v>
      </c>
      <c r="B856" s="17" t="s">
        <v>2284</v>
      </c>
      <c r="C856" s="16" t="s">
        <v>1286</v>
      </c>
      <c r="D856" s="13">
        <v>7896280402367</v>
      </c>
    </row>
    <row r="857" spans="1:4">
      <c r="A857" s="70" t="s">
        <v>1278</v>
      </c>
      <c r="B857" s="17" t="s">
        <v>2284</v>
      </c>
      <c r="C857" s="16" t="s">
        <v>1287</v>
      </c>
      <c r="D857" s="13">
        <v>7896280402350</v>
      </c>
    </row>
    <row r="858" spans="1:4">
      <c r="A858" s="70" t="s">
        <v>265</v>
      </c>
      <c r="B858" s="17" t="s">
        <v>2284</v>
      </c>
      <c r="C858" s="16" t="s">
        <v>307</v>
      </c>
      <c r="D858" s="13">
        <v>7891095005895</v>
      </c>
    </row>
    <row r="859" spans="1:4">
      <c r="A859" s="70" t="s">
        <v>130</v>
      </c>
      <c r="B859" s="17" t="s">
        <v>2284</v>
      </c>
      <c r="C859" s="16" t="s">
        <v>130</v>
      </c>
      <c r="D859" s="13">
        <v>7891095300488</v>
      </c>
    </row>
    <row r="860" spans="1:4">
      <c r="A860" s="70" t="s">
        <v>2024</v>
      </c>
      <c r="B860" s="17" t="s">
        <v>2280</v>
      </c>
      <c r="C860" s="16" t="s">
        <v>2027</v>
      </c>
      <c r="D860" s="13">
        <v>7896086422422</v>
      </c>
    </row>
    <row r="861" spans="1:4">
      <c r="A861" s="70" t="s">
        <v>880</v>
      </c>
      <c r="B861" s="17" t="s">
        <v>2280</v>
      </c>
      <c r="C861" s="16" t="s">
        <v>894</v>
      </c>
      <c r="D861" s="13">
        <v>7896503500115</v>
      </c>
    </row>
    <row r="862" spans="1:4">
      <c r="A862" s="70" t="s">
        <v>111</v>
      </c>
      <c r="B862" s="17" t="s">
        <v>2280</v>
      </c>
      <c r="C862" s="16" t="s">
        <v>1940</v>
      </c>
      <c r="D862" s="13">
        <v>7896503500221</v>
      </c>
    </row>
    <row r="863" spans="1:4">
      <c r="A863" s="70" t="s">
        <v>1268</v>
      </c>
      <c r="B863" s="17" t="s">
        <v>2280</v>
      </c>
      <c r="C863" s="16" t="s">
        <v>1489</v>
      </c>
      <c r="D863" s="13">
        <v>7896864400185</v>
      </c>
    </row>
    <row r="864" spans="1:4">
      <c r="A864" s="70" t="s">
        <v>1059</v>
      </c>
      <c r="B864" s="17" t="s">
        <v>2280</v>
      </c>
      <c r="C864" s="16" t="s">
        <v>1068</v>
      </c>
      <c r="D864" s="13">
        <v>7896864400345</v>
      </c>
    </row>
    <row r="865" spans="1:4">
      <c r="A865" s="70" t="s">
        <v>961</v>
      </c>
      <c r="B865" s="17" t="s">
        <v>2280</v>
      </c>
      <c r="C865" s="16" t="s">
        <v>968</v>
      </c>
      <c r="D865" s="13">
        <v>7896864400352</v>
      </c>
    </row>
    <row r="866" spans="1:4">
      <c r="A866" s="70" t="s">
        <v>198</v>
      </c>
      <c r="B866" s="17" t="s">
        <v>2280</v>
      </c>
      <c r="C866" s="16" t="s">
        <v>199</v>
      </c>
      <c r="D866" s="13">
        <v>7896864400185</v>
      </c>
    </row>
    <row r="867" spans="1:4">
      <c r="A867" s="70" t="s">
        <v>1766</v>
      </c>
      <c r="B867" s="17" t="s">
        <v>2280</v>
      </c>
      <c r="C867" s="16" t="s">
        <v>1776</v>
      </c>
      <c r="D867" s="13">
        <v>7896503500337</v>
      </c>
    </row>
    <row r="868" spans="1:4">
      <c r="A868" s="70" t="s">
        <v>944</v>
      </c>
      <c r="B868" s="17" t="s">
        <v>2280</v>
      </c>
      <c r="C868" s="16" t="s">
        <v>948</v>
      </c>
      <c r="D868" s="13">
        <v>7896864400253</v>
      </c>
    </row>
    <row r="869" spans="1:4">
      <c r="A869" s="70" t="s">
        <v>569</v>
      </c>
      <c r="B869" s="17" t="s">
        <v>2284</v>
      </c>
      <c r="C869" s="16" t="s">
        <v>582</v>
      </c>
      <c r="D869" s="13">
        <v>7896031224088</v>
      </c>
    </row>
    <row r="870" spans="1:4">
      <c r="A870" s="70" t="s">
        <v>1844</v>
      </c>
      <c r="B870" s="17" t="s">
        <v>2282</v>
      </c>
      <c r="C870" s="16" t="s">
        <v>1849</v>
      </c>
      <c r="D870" s="13">
        <v>7894904005789</v>
      </c>
    </row>
    <row r="871" spans="1:4">
      <c r="A871" s="70" t="s">
        <v>1625</v>
      </c>
      <c r="B871" s="17" t="s">
        <v>2282</v>
      </c>
      <c r="C871" s="16" t="s">
        <v>1630</v>
      </c>
      <c r="D871" s="13">
        <v>7898937200203</v>
      </c>
    </row>
    <row r="872" spans="1:4">
      <c r="A872" s="70" t="s">
        <v>874</v>
      </c>
      <c r="B872" s="17" t="s">
        <v>2282</v>
      </c>
      <c r="C872" s="16" t="s">
        <v>910</v>
      </c>
      <c r="D872" s="13">
        <v>7893000492394</v>
      </c>
    </row>
    <row r="873" spans="1:4">
      <c r="A873" s="70" t="s">
        <v>1267</v>
      </c>
      <c r="B873" s="17" t="s">
        <v>3406</v>
      </c>
      <c r="C873" s="16" t="s">
        <v>1274</v>
      </c>
      <c r="D873" s="13">
        <v>99912</v>
      </c>
    </row>
    <row r="874" spans="1:4">
      <c r="A874" s="70" t="s">
        <v>1457</v>
      </c>
      <c r="B874" s="17" t="s">
        <v>3406</v>
      </c>
      <c r="C874" s="16" t="s">
        <v>1459</v>
      </c>
      <c r="D874" s="13">
        <v>98212</v>
      </c>
    </row>
    <row r="875" spans="1:4">
      <c r="A875" s="70" t="s">
        <v>1822</v>
      </c>
      <c r="B875" s="17" t="s">
        <v>3406</v>
      </c>
      <c r="C875" s="16" t="s">
        <v>1019</v>
      </c>
      <c r="D875" s="13">
        <v>99547</v>
      </c>
    </row>
    <row r="876" spans="1:4">
      <c r="A876" s="70" t="s">
        <v>146</v>
      </c>
      <c r="B876" s="17" t="s">
        <v>2282</v>
      </c>
      <c r="C876" s="16" t="s">
        <v>256</v>
      </c>
      <c r="D876" s="13">
        <v>7893000482401</v>
      </c>
    </row>
    <row r="877" spans="1:4">
      <c r="A877" s="70" t="s">
        <v>733</v>
      </c>
      <c r="B877" s="17" t="s">
        <v>2287</v>
      </c>
      <c r="C877" s="16" t="s">
        <v>794</v>
      </c>
      <c r="D877" s="13">
        <v>7891021002127</v>
      </c>
    </row>
    <row r="878" spans="1:4">
      <c r="A878" s="70" t="s">
        <v>1886</v>
      </c>
      <c r="B878" s="17" t="s">
        <v>2287</v>
      </c>
      <c r="C878" s="16" t="s">
        <v>1891</v>
      </c>
      <c r="D878" s="13">
        <v>7891021001946</v>
      </c>
    </row>
    <row r="879" spans="1:4">
      <c r="A879" s="70" t="s">
        <v>383</v>
      </c>
      <c r="B879" s="17" t="s">
        <v>2285</v>
      </c>
      <c r="C879" s="16" t="s">
        <v>397</v>
      </c>
      <c r="D879" s="13">
        <v>7806500773405</v>
      </c>
    </row>
    <row r="880" spans="1:4">
      <c r="A880" s="70" t="s">
        <v>383</v>
      </c>
      <c r="B880" s="17" t="s">
        <v>2285</v>
      </c>
      <c r="C880" s="16" t="s">
        <v>398</v>
      </c>
      <c r="D880" s="13">
        <v>7806500773603</v>
      </c>
    </row>
    <row r="881" spans="1:4">
      <c r="A881" s="70" t="s">
        <v>383</v>
      </c>
      <c r="B881" s="17" t="s">
        <v>2285</v>
      </c>
      <c r="C881" s="16" t="s">
        <v>399</v>
      </c>
      <c r="D881" s="13">
        <v>7896061990403</v>
      </c>
    </row>
    <row r="882" spans="1:4">
      <c r="A882" s="70" t="s">
        <v>1980</v>
      </c>
      <c r="B882" s="17" t="str">
        <f>$B$92</f>
        <v>Mercearia - Básico</v>
      </c>
      <c r="C882" s="16" t="s">
        <v>1679</v>
      </c>
      <c r="D882" s="13">
        <v>7500435106665</v>
      </c>
    </row>
    <row r="883" spans="1:4">
      <c r="A883" s="70" t="s">
        <v>1980</v>
      </c>
      <c r="B883" s="17" t="str">
        <f>$B$92</f>
        <v>Mercearia - Básico</v>
      </c>
      <c r="C883" s="16" t="s">
        <v>1680</v>
      </c>
      <c r="D883" s="13">
        <v>7500435106672</v>
      </c>
    </row>
    <row r="884" spans="1:4">
      <c r="A884" s="70" t="s">
        <v>1980</v>
      </c>
      <c r="B884" s="17" t="str">
        <f>$B$92</f>
        <v>Mercearia - Básico</v>
      </c>
      <c r="C884" s="16" t="s">
        <v>1681</v>
      </c>
      <c r="D884" s="13">
        <v>7500435132602</v>
      </c>
    </row>
    <row r="885" spans="1:4">
      <c r="A885" s="70" t="s">
        <v>1980</v>
      </c>
      <c r="B885" s="17" t="str">
        <f>$B$92</f>
        <v>Mercearia - Básico</v>
      </c>
      <c r="C885" s="16" t="s">
        <v>1683</v>
      </c>
      <c r="D885" s="13">
        <v>7500435181297</v>
      </c>
    </row>
    <row r="886" spans="1:4">
      <c r="A886" s="70" t="s">
        <v>1980</v>
      </c>
      <c r="B886" s="17" t="str">
        <f>$B$92</f>
        <v>Mercearia - Básico</v>
      </c>
      <c r="C886" s="16" t="s">
        <v>1684</v>
      </c>
      <c r="D886" s="13">
        <v>7500435132619</v>
      </c>
    </row>
    <row r="887" spans="1:4">
      <c r="A887" s="70" t="s">
        <v>51</v>
      </c>
      <c r="B887" s="17" t="s">
        <v>2285</v>
      </c>
      <c r="C887" s="16" t="s">
        <v>233</v>
      </c>
      <c r="D887" s="13">
        <v>7898138782867</v>
      </c>
    </row>
    <row r="888" spans="1:4">
      <c r="A888" s="70" t="s">
        <v>51</v>
      </c>
      <c r="B888" s="17" t="s">
        <v>2285</v>
      </c>
      <c r="C888" s="16" t="s">
        <v>234</v>
      </c>
      <c r="D888" s="13">
        <v>7898138782850</v>
      </c>
    </row>
    <row r="889" spans="1:4">
      <c r="A889" s="70" t="s">
        <v>51</v>
      </c>
      <c r="B889" s="17" t="s">
        <v>2285</v>
      </c>
      <c r="C889" s="16" t="s">
        <v>235</v>
      </c>
      <c r="D889" s="13">
        <v>7898138782843</v>
      </c>
    </row>
    <row r="890" spans="1:4">
      <c r="A890" s="70" t="s">
        <v>51</v>
      </c>
      <c r="B890" s="17" t="s">
        <v>2285</v>
      </c>
      <c r="C890" s="16" t="s">
        <v>236</v>
      </c>
      <c r="D890" s="13">
        <v>7898138782874</v>
      </c>
    </row>
    <row r="891" spans="1:4">
      <c r="A891" s="70" t="s">
        <v>51</v>
      </c>
      <c r="B891" s="17" t="s">
        <v>2285</v>
      </c>
      <c r="C891" s="16" t="s">
        <v>237</v>
      </c>
      <c r="D891" s="13">
        <v>7898138782836</v>
      </c>
    </row>
    <row r="892" spans="1:4">
      <c r="A892" s="70" t="s">
        <v>51</v>
      </c>
      <c r="B892" s="17" t="s">
        <v>2285</v>
      </c>
      <c r="C892" s="16" t="s">
        <v>297</v>
      </c>
      <c r="D892" s="13">
        <v>7898924154298</v>
      </c>
    </row>
    <row r="893" spans="1:4">
      <c r="A893" s="70" t="s">
        <v>51</v>
      </c>
      <c r="B893" s="17" t="s">
        <v>2285</v>
      </c>
      <c r="C893" s="16" t="s">
        <v>298</v>
      </c>
      <c r="D893" s="13">
        <v>7898924154281</v>
      </c>
    </row>
    <row r="894" spans="1:4">
      <c r="A894" s="70" t="s">
        <v>51</v>
      </c>
      <c r="B894" s="17" t="s">
        <v>2285</v>
      </c>
      <c r="C894" s="16" t="s">
        <v>299</v>
      </c>
      <c r="D894" s="13">
        <v>7898924154274</v>
      </c>
    </row>
    <row r="895" spans="1:4">
      <c r="A895" s="70" t="s">
        <v>51</v>
      </c>
      <c r="B895" s="17" t="s">
        <v>2285</v>
      </c>
      <c r="C895" s="16" t="s">
        <v>300</v>
      </c>
      <c r="D895" s="13">
        <v>7898924154304</v>
      </c>
    </row>
    <row r="896" spans="1:4">
      <c r="A896" s="70" t="s">
        <v>51</v>
      </c>
      <c r="B896" s="17" t="s">
        <v>2285</v>
      </c>
      <c r="C896" s="16" t="s">
        <v>301</v>
      </c>
      <c r="D896" s="13">
        <v>7898924154991</v>
      </c>
    </row>
    <row r="897" spans="1:4">
      <c r="A897" s="70" t="s">
        <v>51</v>
      </c>
      <c r="B897" s="17" t="s">
        <v>2285</v>
      </c>
      <c r="C897" s="16" t="s">
        <v>309</v>
      </c>
      <c r="D897" s="13">
        <v>7898138781372</v>
      </c>
    </row>
    <row r="898" spans="1:4">
      <c r="A898" s="70" t="s">
        <v>2225</v>
      </c>
      <c r="B898" s="17" t="s">
        <v>2285</v>
      </c>
      <c r="C898" s="16" t="s">
        <v>2231</v>
      </c>
      <c r="D898" s="13">
        <v>7896061990090</v>
      </c>
    </row>
    <row r="899" spans="1:4">
      <c r="A899" s="70" t="s">
        <v>2225</v>
      </c>
      <c r="B899" s="17" t="s">
        <v>2285</v>
      </c>
      <c r="C899" s="16" t="s">
        <v>2232</v>
      </c>
      <c r="D899" s="13">
        <v>7896061990076</v>
      </c>
    </row>
    <row r="900" spans="1:4">
      <c r="A900" s="70" t="s">
        <v>2225</v>
      </c>
      <c r="B900" s="17" t="s">
        <v>2285</v>
      </c>
      <c r="C900" s="16" t="s">
        <v>2233</v>
      </c>
      <c r="D900" s="13">
        <v>7896061990069</v>
      </c>
    </row>
    <row r="901" spans="1:4">
      <c r="A901" s="70" t="s">
        <v>2225</v>
      </c>
      <c r="B901" s="17" t="s">
        <v>2285</v>
      </c>
      <c r="C901" s="16" t="s">
        <v>2234</v>
      </c>
      <c r="D901" s="13">
        <v>7896061990120</v>
      </c>
    </row>
    <row r="902" spans="1:4">
      <c r="A902" s="70" t="s">
        <v>2225</v>
      </c>
      <c r="B902" s="17" t="s">
        <v>2285</v>
      </c>
      <c r="C902" s="16" t="s">
        <v>2235</v>
      </c>
      <c r="D902" s="13">
        <v>7896061995842</v>
      </c>
    </row>
    <row r="903" spans="1:4">
      <c r="A903" s="70" t="s">
        <v>2301</v>
      </c>
      <c r="B903" s="17" t="s">
        <v>2285</v>
      </c>
      <c r="C903" s="16" t="s">
        <v>2306</v>
      </c>
      <c r="D903" s="13">
        <v>7891522050351</v>
      </c>
    </row>
    <row r="904" spans="1:4">
      <c r="A904" s="70" t="s">
        <v>2301</v>
      </c>
      <c r="B904" s="17" t="s">
        <v>2285</v>
      </c>
      <c r="C904" s="16" t="s">
        <v>2304</v>
      </c>
      <c r="D904" s="13">
        <v>7891522050375</v>
      </c>
    </row>
    <row r="905" spans="1:4">
      <c r="A905" s="70" t="s">
        <v>2301</v>
      </c>
      <c r="B905" s="17" t="s">
        <v>2285</v>
      </c>
      <c r="C905" s="16" t="s">
        <v>2305</v>
      </c>
      <c r="D905" s="13">
        <v>7891522050368</v>
      </c>
    </row>
    <row r="906" spans="1:4">
      <c r="A906" s="70" t="s">
        <v>2301</v>
      </c>
      <c r="B906" s="17" t="s">
        <v>2285</v>
      </c>
      <c r="C906" s="16" t="s">
        <v>2303</v>
      </c>
      <c r="D906" s="13">
        <v>7891522050382</v>
      </c>
    </row>
    <row r="907" spans="1:4">
      <c r="A907" s="70" t="s">
        <v>2301</v>
      </c>
      <c r="B907" s="17" t="s">
        <v>2285</v>
      </c>
      <c r="C907" s="16" t="s">
        <v>2307</v>
      </c>
      <c r="D907" s="13">
        <v>7891522050399</v>
      </c>
    </row>
    <row r="908" spans="1:4">
      <c r="A908" s="70" t="s">
        <v>3051</v>
      </c>
      <c r="B908" s="17" t="str">
        <f>$B$92</f>
        <v>Mercearia - Básico</v>
      </c>
      <c r="C908" s="16" t="s">
        <v>2036</v>
      </c>
      <c r="D908" s="13">
        <v>7896007549689</v>
      </c>
    </row>
    <row r="909" spans="1:4">
      <c r="A909" s="70" t="s">
        <v>3051</v>
      </c>
      <c r="B909" s="17" t="str">
        <f>$B$92</f>
        <v>Mercearia - Básico</v>
      </c>
      <c r="C909" s="16" t="s">
        <v>2039</v>
      </c>
      <c r="D909" s="13">
        <v>7896007549672</v>
      </c>
    </row>
    <row r="910" spans="1:4">
      <c r="A910" s="70" t="s">
        <v>3051</v>
      </c>
      <c r="B910" s="17" t="str">
        <f>$B$92</f>
        <v>Mercearia - Básico</v>
      </c>
      <c r="C910" s="16" t="s">
        <v>2037</v>
      </c>
      <c r="D910" s="13">
        <v>7896007549696</v>
      </c>
    </row>
    <row r="911" spans="1:4">
      <c r="A911" s="70" t="s">
        <v>3051</v>
      </c>
      <c r="B911" s="17" t="str">
        <f>$B$92</f>
        <v>Mercearia - Básico</v>
      </c>
      <c r="C911" s="16" t="s">
        <v>2038</v>
      </c>
      <c r="D911" s="13">
        <v>7896007549702</v>
      </c>
    </row>
    <row r="912" spans="1:4">
      <c r="A912" s="70" t="s">
        <v>1548</v>
      </c>
      <c r="B912" s="17" t="s">
        <v>2285</v>
      </c>
      <c r="C912" s="16" t="s">
        <v>1553</v>
      </c>
      <c r="D912" s="13">
        <v>7896007550210</v>
      </c>
    </row>
    <row r="913" spans="1:4">
      <c r="A913" s="70" t="s">
        <v>1548</v>
      </c>
      <c r="B913" s="17" t="s">
        <v>2285</v>
      </c>
      <c r="C913" s="16" t="s">
        <v>1554</v>
      </c>
      <c r="D913" s="13">
        <v>7896007550203</v>
      </c>
    </row>
    <row r="914" spans="1:4">
      <c r="A914" s="70" t="s">
        <v>1548</v>
      </c>
      <c r="B914" s="17" t="s">
        <v>2285</v>
      </c>
      <c r="C914" s="16" t="s">
        <v>1567</v>
      </c>
      <c r="D914" s="13">
        <v>7896007543915</v>
      </c>
    </row>
    <row r="915" spans="1:4">
      <c r="A915" s="70" t="s">
        <v>1548</v>
      </c>
      <c r="B915" s="17" t="s">
        <v>2285</v>
      </c>
      <c r="C915" s="16" t="s">
        <v>1555</v>
      </c>
      <c r="D915" s="13">
        <v>7896007550197</v>
      </c>
    </row>
    <row r="916" spans="1:4">
      <c r="A916" s="70" t="s">
        <v>1548</v>
      </c>
      <c r="B916" s="17" t="s">
        <v>2285</v>
      </c>
      <c r="C916" s="16" t="s">
        <v>1556</v>
      </c>
      <c r="D916" s="13">
        <v>7896007550227</v>
      </c>
    </row>
    <row r="917" spans="1:4">
      <c r="A917" s="70" t="s">
        <v>1548</v>
      </c>
      <c r="B917" s="17" t="s">
        <v>2285</v>
      </c>
      <c r="C917" s="16" t="s">
        <v>1557</v>
      </c>
      <c r="D917" s="13">
        <v>7896007550234</v>
      </c>
    </row>
    <row r="918" spans="1:4">
      <c r="A918" s="70" t="s">
        <v>2827</v>
      </c>
      <c r="B918" s="17" t="str">
        <f>$B$92</f>
        <v>Mercearia - Básico</v>
      </c>
      <c r="C918" s="16" t="s">
        <v>1607</v>
      </c>
      <c r="D918" s="13">
        <v>7896007551309</v>
      </c>
    </row>
    <row r="919" spans="1:4">
      <c r="A919" s="70" t="s">
        <v>2827</v>
      </c>
      <c r="B919" s="17" t="str">
        <f>$B$92</f>
        <v>Mercearia - Básico</v>
      </c>
      <c r="C919" s="16" t="s">
        <v>1608</v>
      </c>
      <c r="D919" s="13">
        <v>7896007551316</v>
      </c>
    </row>
    <row r="920" spans="1:4">
      <c r="A920" s="70" t="s">
        <v>2827</v>
      </c>
      <c r="B920" s="17" t="str">
        <f>$B$92</f>
        <v>Mercearia - Básico</v>
      </c>
      <c r="C920" s="16" t="s">
        <v>1609</v>
      </c>
      <c r="D920" s="13">
        <v>7896007551323</v>
      </c>
    </row>
    <row r="921" spans="1:4">
      <c r="A921" s="70" t="s">
        <v>2827</v>
      </c>
      <c r="B921" s="17" t="str">
        <f>$B$92</f>
        <v>Mercearia - Básico</v>
      </c>
      <c r="C921" s="16" t="s">
        <v>1610</v>
      </c>
      <c r="D921" s="13">
        <v>7896007551330</v>
      </c>
    </row>
    <row r="922" spans="1:4">
      <c r="A922" s="70" t="s">
        <v>2827</v>
      </c>
      <c r="B922" s="17" t="str">
        <f>$B$92</f>
        <v>Mercearia - Básico</v>
      </c>
      <c r="C922" s="16" t="s">
        <v>1611</v>
      </c>
      <c r="D922" s="13">
        <v>7896007551347</v>
      </c>
    </row>
    <row r="923" spans="1:4">
      <c r="A923" s="70" t="s">
        <v>14</v>
      </c>
      <c r="B923" s="17" t="s">
        <v>2285</v>
      </c>
      <c r="C923" s="16" t="s">
        <v>218</v>
      </c>
      <c r="D923" s="13">
        <v>7500435106580</v>
      </c>
    </row>
    <row r="924" spans="1:4">
      <c r="A924" s="70" t="s">
        <v>14</v>
      </c>
      <c r="B924" s="17" t="s">
        <v>2285</v>
      </c>
      <c r="C924" s="16" t="s">
        <v>219</v>
      </c>
      <c r="D924" s="13">
        <v>7500435106573</v>
      </c>
    </row>
    <row r="925" spans="1:4">
      <c r="A925" s="70" t="s">
        <v>14</v>
      </c>
      <c r="B925" s="17" t="s">
        <v>2285</v>
      </c>
      <c r="C925" s="16" t="s">
        <v>220</v>
      </c>
      <c r="D925" s="13">
        <v>7500435106566</v>
      </c>
    </row>
    <row r="926" spans="1:4">
      <c r="A926" s="70" t="s">
        <v>14</v>
      </c>
      <c r="B926" s="17" t="s">
        <v>2285</v>
      </c>
      <c r="C926" s="16" t="s">
        <v>219</v>
      </c>
      <c r="D926" s="13">
        <v>7500435181747</v>
      </c>
    </row>
    <row r="927" spans="1:4">
      <c r="A927" s="70" t="s">
        <v>14</v>
      </c>
      <c r="B927" s="17" t="s">
        <v>2285</v>
      </c>
      <c r="C927" s="16" t="s">
        <v>221</v>
      </c>
      <c r="D927" s="13">
        <v>7500435106597</v>
      </c>
    </row>
    <row r="928" spans="1:4">
      <c r="A928" s="70" t="s">
        <v>14</v>
      </c>
      <c r="B928" s="17" t="s">
        <v>2285</v>
      </c>
      <c r="C928" s="16" t="s">
        <v>222</v>
      </c>
      <c r="D928" s="13">
        <v>7500435132589</v>
      </c>
    </row>
    <row r="929" spans="1:4">
      <c r="A929" s="70" t="s">
        <v>602</v>
      </c>
      <c r="B929" s="17" t="s">
        <v>2285</v>
      </c>
      <c r="C929" s="31" t="s">
        <v>605</v>
      </c>
      <c r="D929" s="14">
        <v>7896007550210</v>
      </c>
    </row>
    <row r="930" spans="1:4">
      <c r="A930" s="70" t="s">
        <v>602</v>
      </c>
      <c r="B930" s="17" t="s">
        <v>2285</v>
      </c>
      <c r="C930" s="31" t="s">
        <v>606</v>
      </c>
      <c r="D930" s="14">
        <v>7896007550203</v>
      </c>
    </row>
    <row r="931" spans="1:4">
      <c r="A931" s="70" t="s">
        <v>602</v>
      </c>
      <c r="B931" s="17" t="s">
        <v>2285</v>
      </c>
      <c r="C931" s="31" t="s">
        <v>607</v>
      </c>
      <c r="D931" s="14">
        <v>7896007550197</v>
      </c>
    </row>
    <row r="932" spans="1:4">
      <c r="A932" s="70" t="s">
        <v>602</v>
      </c>
      <c r="B932" s="17" t="s">
        <v>2285</v>
      </c>
      <c r="C932" s="31" t="s">
        <v>608</v>
      </c>
      <c r="D932" s="14">
        <v>7896007550227</v>
      </c>
    </row>
    <row r="933" spans="1:4">
      <c r="A933" s="70" t="s">
        <v>602</v>
      </c>
      <c r="B933" s="17" t="s">
        <v>2285</v>
      </c>
      <c r="C933" s="31" t="s">
        <v>609</v>
      </c>
      <c r="D933" s="14">
        <v>7896007550234</v>
      </c>
    </row>
    <row r="934" spans="1:4">
      <c r="A934" s="70" t="s">
        <v>143</v>
      </c>
      <c r="B934" s="17" t="s">
        <v>2285</v>
      </c>
      <c r="C934" s="16" t="s">
        <v>177</v>
      </c>
      <c r="D934" s="13">
        <v>7896007543922</v>
      </c>
    </row>
    <row r="935" spans="1:4">
      <c r="A935" s="70" t="s">
        <v>143</v>
      </c>
      <c r="B935" s="17" t="s">
        <v>2285</v>
      </c>
      <c r="C935" s="16" t="s">
        <v>422</v>
      </c>
      <c r="D935" s="13">
        <v>7896007543915</v>
      </c>
    </row>
    <row r="936" spans="1:4">
      <c r="A936" s="70" t="s">
        <v>143</v>
      </c>
      <c r="B936" s="17" t="s">
        <v>2285</v>
      </c>
      <c r="C936" s="16" t="s">
        <v>423</v>
      </c>
      <c r="D936" s="13">
        <v>7896007543908</v>
      </c>
    </row>
    <row r="937" spans="1:4">
      <c r="A937" s="70" t="s">
        <v>143</v>
      </c>
      <c r="B937" s="17" t="s">
        <v>2285</v>
      </c>
      <c r="C937" s="16" t="s">
        <v>424</v>
      </c>
      <c r="D937" s="13">
        <v>7896007543892</v>
      </c>
    </row>
    <row r="938" spans="1:4">
      <c r="A938" s="70" t="s">
        <v>143</v>
      </c>
      <c r="B938" s="17" t="s">
        <v>2285</v>
      </c>
      <c r="C938" s="16" t="s">
        <v>425</v>
      </c>
      <c r="D938" s="13">
        <v>7896007547975</v>
      </c>
    </row>
    <row r="939" spans="1:4">
      <c r="A939" s="70" t="s">
        <v>82</v>
      </c>
      <c r="B939" s="17" t="s">
        <v>2285</v>
      </c>
      <c r="C939" s="16" t="s">
        <v>366</v>
      </c>
      <c r="D939" s="13">
        <v>7896007510788</v>
      </c>
    </row>
    <row r="940" spans="1:4">
      <c r="A940" s="70" t="s">
        <v>82</v>
      </c>
      <c r="B940" s="17" t="s">
        <v>2285</v>
      </c>
      <c r="C940" s="16" t="s">
        <v>367</v>
      </c>
      <c r="D940" s="13">
        <v>7896007510771</v>
      </c>
    </row>
    <row r="941" spans="1:4">
      <c r="A941" s="70" t="s">
        <v>82</v>
      </c>
      <c r="B941" s="17" t="s">
        <v>2285</v>
      </c>
      <c r="C941" s="16" t="s">
        <v>368</v>
      </c>
      <c r="D941" s="13">
        <v>7896007510764</v>
      </c>
    </row>
    <row r="942" spans="1:4">
      <c r="A942" s="70" t="s">
        <v>82</v>
      </c>
      <c r="B942" s="17" t="s">
        <v>2285</v>
      </c>
      <c r="C942" s="16" t="s">
        <v>369</v>
      </c>
      <c r="D942" s="13">
        <v>7896007511907</v>
      </c>
    </row>
    <row r="943" spans="1:4">
      <c r="A943" s="70" t="s">
        <v>1456</v>
      </c>
      <c r="B943" s="17" t="s">
        <v>3406</v>
      </c>
      <c r="C943" s="16" t="s">
        <v>1458</v>
      </c>
      <c r="D943" s="13">
        <v>98205</v>
      </c>
    </row>
    <row r="944" spans="1:4">
      <c r="A944" s="70" t="s">
        <v>1364</v>
      </c>
      <c r="B944" s="17" t="s">
        <v>3406</v>
      </c>
      <c r="C944" s="16" t="s">
        <v>1399</v>
      </c>
      <c r="D944" s="13">
        <v>99097</v>
      </c>
    </row>
    <row r="945" spans="1:4">
      <c r="A945" s="70" t="s">
        <v>831</v>
      </c>
      <c r="B945" s="17" t="s">
        <v>3406</v>
      </c>
      <c r="C945" s="16" t="s">
        <v>408</v>
      </c>
      <c r="D945" s="13">
        <v>99516</v>
      </c>
    </row>
    <row r="946" spans="1:4">
      <c r="A946" s="70" t="s">
        <v>1551</v>
      </c>
      <c r="B946" s="17" t="s">
        <v>3406</v>
      </c>
      <c r="C946" s="16" t="s">
        <v>1564</v>
      </c>
      <c r="D946" s="13">
        <v>98298</v>
      </c>
    </row>
    <row r="947" spans="1:4">
      <c r="A947" s="70" t="s">
        <v>2302</v>
      </c>
      <c r="B947" s="17" t="s">
        <v>2287</v>
      </c>
      <c r="C947" s="16" t="s">
        <v>2309</v>
      </c>
      <c r="D947" s="13">
        <v>7891023547176</v>
      </c>
    </row>
    <row r="948" spans="1:4">
      <c r="A948" s="70" t="s">
        <v>2302</v>
      </c>
      <c r="B948" s="17" t="s">
        <v>2287</v>
      </c>
      <c r="C948" s="16" t="s">
        <v>2310</v>
      </c>
      <c r="D948" s="13">
        <v>7891023087009</v>
      </c>
    </row>
    <row r="949" spans="1:4">
      <c r="A949" s="70" t="s">
        <v>1768</v>
      </c>
      <c r="B949" s="17" t="s">
        <v>2287</v>
      </c>
      <c r="C949" s="16" t="s">
        <v>1773</v>
      </c>
      <c r="D949" s="13">
        <v>7891023545172</v>
      </c>
    </row>
    <row r="950" spans="1:4">
      <c r="A950" s="70" t="s">
        <v>1768</v>
      </c>
      <c r="B950" s="17" t="s">
        <v>2287</v>
      </c>
      <c r="C950" s="16" t="s">
        <v>1773</v>
      </c>
      <c r="D950" s="13">
        <v>7891023554655</v>
      </c>
    </row>
    <row r="951" spans="1:4">
      <c r="A951" s="70" t="s">
        <v>1768</v>
      </c>
      <c r="B951" s="17" t="s">
        <v>2287</v>
      </c>
      <c r="C951" s="16" t="s">
        <v>1774</v>
      </c>
      <c r="D951" s="13">
        <v>7891023074894</v>
      </c>
    </row>
    <row r="952" spans="1:4">
      <c r="A952" s="70" t="s">
        <v>2144</v>
      </c>
      <c r="B952" s="17" t="s">
        <v>2287</v>
      </c>
      <c r="C952" s="16" t="s">
        <v>2149</v>
      </c>
      <c r="D952" s="13">
        <v>7891023555805</v>
      </c>
    </row>
    <row r="953" spans="1:4">
      <c r="A953" s="70" t="s">
        <v>2315</v>
      </c>
      <c r="B953" s="17" t="s">
        <v>2287</v>
      </c>
      <c r="C953" s="16" t="s">
        <v>2322</v>
      </c>
      <c r="D953" s="13">
        <v>7898955019368</v>
      </c>
    </row>
    <row r="954" spans="1:4">
      <c r="A954" s="70" t="s">
        <v>2315</v>
      </c>
      <c r="B954" s="17" t="s">
        <v>2287</v>
      </c>
      <c r="C954" s="16" t="s">
        <v>2323</v>
      </c>
      <c r="D954" s="13">
        <v>7898955019375</v>
      </c>
    </row>
    <row r="955" spans="1:4">
      <c r="A955" s="70" t="s">
        <v>2315</v>
      </c>
      <c r="B955" s="17" t="s">
        <v>2287</v>
      </c>
      <c r="C955" s="16" t="s">
        <v>2324</v>
      </c>
      <c r="D955" s="13">
        <v>7898955019344</v>
      </c>
    </row>
    <row r="956" spans="1:4">
      <c r="A956" s="70" t="s">
        <v>2315</v>
      </c>
      <c r="B956" s="17" t="s">
        <v>2287</v>
      </c>
      <c r="C956" s="16" t="s">
        <v>2325</v>
      </c>
      <c r="D956" s="13">
        <v>7898955019351</v>
      </c>
    </row>
    <row r="957" spans="1:4">
      <c r="A957" s="70" t="s">
        <v>2315</v>
      </c>
      <c r="B957" s="17" t="s">
        <v>2287</v>
      </c>
      <c r="C957" s="16" t="s">
        <v>2326</v>
      </c>
      <c r="D957" s="13">
        <v>7898955019726</v>
      </c>
    </row>
    <row r="958" spans="1:4">
      <c r="A958" s="70" t="s">
        <v>661</v>
      </c>
      <c r="B958" s="17" t="s">
        <v>2286</v>
      </c>
      <c r="C958" s="16" t="s">
        <v>695</v>
      </c>
      <c r="D958" s="13">
        <v>7896090704460</v>
      </c>
    </row>
    <row r="959" spans="1:4">
      <c r="A959" s="70" t="s">
        <v>1866</v>
      </c>
      <c r="B959" s="17" t="s">
        <v>2283</v>
      </c>
      <c r="C959" s="16" t="s">
        <v>1873</v>
      </c>
      <c r="D959" s="13">
        <v>5000291020706</v>
      </c>
    </row>
    <row r="960" spans="1:4">
      <c r="A960" s="70" t="s">
        <v>41</v>
      </c>
      <c r="B960" s="17" t="s">
        <v>2282</v>
      </c>
      <c r="C960" s="16" t="s">
        <v>1344</v>
      </c>
      <c r="D960" s="13">
        <v>7896275940577</v>
      </c>
    </row>
    <row r="961" spans="1:4">
      <c r="A961" s="70" t="s">
        <v>1694</v>
      </c>
      <c r="B961" s="17" t="s">
        <v>2282</v>
      </c>
      <c r="C961" s="16" t="s">
        <v>1699</v>
      </c>
      <c r="D961" s="13">
        <v>7896780400016</v>
      </c>
    </row>
    <row r="962" spans="1:4">
      <c r="A962" s="70" t="s">
        <v>872</v>
      </c>
      <c r="B962" s="17" t="s">
        <v>2282</v>
      </c>
      <c r="C962" s="16" t="s">
        <v>904</v>
      </c>
      <c r="D962" s="13">
        <v>7896780400238</v>
      </c>
    </row>
    <row r="963" spans="1:4">
      <c r="A963" s="70" t="s">
        <v>1742</v>
      </c>
      <c r="B963" s="17" t="s">
        <v>2282</v>
      </c>
      <c r="C963" s="16" t="s">
        <v>1756</v>
      </c>
      <c r="D963" s="13">
        <v>7893000387096</v>
      </c>
    </row>
    <row r="964" spans="1:4">
      <c r="A964" s="70" t="s">
        <v>2746</v>
      </c>
      <c r="B964" s="17" t="s">
        <v>2282</v>
      </c>
      <c r="C964" s="16" t="s">
        <v>1717</v>
      </c>
      <c r="D964" s="13">
        <v>7891515323691</v>
      </c>
    </row>
    <row r="965" spans="1:4">
      <c r="A965" s="70" t="s">
        <v>2748</v>
      </c>
      <c r="B965" s="17" t="s">
        <v>2282</v>
      </c>
      <c r="C965" s="16" t="s">
        <v>1833</v>
      </c>
      <c r="D965" s="13">
        <v>7891515883034</v>
      </c>
    </row>
    <row r="966" spans="1:4">
      <c r="A966" s="70" t="s">
        <v>570</v>
      </c>
      <c r="B966" s="17" t="s">
        <v>2282</v>
      </c>
      <c r="C966" s="16" t="s">
        <v>572</v>
      </c>
      <c r="D966" s="13">
        <v>7894904002450</v>
      </c>
    </row>
    <row r="967" spans="1:4">
      <c r="A967" s="70" t="s">
        <v>1955</v>
      </c>
      <c r="B967" s="17" t="s">
        <v>2286</v>
      </c>
      <c r="C967" s="16" t="s">
        <v>226</v>
      </c>
      <c r="D967" s="13">
        <v>7894650003787</v>
      </c>
    </row>
    <row r="968" spans="1:4">
      <c r="A968" s="70" t="s">
        <v>1955</v>
      </c>
      <c r="B968" s="17" t="s">
        <v>2286</v>
      </c>
      <c r="C968" s="16" t="s">
        <v>227</v>
      </c>
      <c r="D968" s="13">
        <v>7894650004227</v>
      </c>
    </row>
    <row r="969" spans="1:4">
      <c r="A969" s="70" t="s">
        <v>100</v>
      </c>
      <c r="B969" s="17" t="s">
        <v>2286</v>
      </c>
      <c r="C969" s="16" t="s">
        <v>226</v>
      </c>
      <c r="D969" s="13">
        <v>7894650003787</v>
      </c>
    </row>
    <row r="970" spans="1:4">
      <c r="A970" s="70" t="s">
        <v>100</v>
      </c>
      <c r="B970" s="17" t="s">
        <v>2286</v>
      </c>
      <c r="C970" s="16" t="s">
        <v>227</v>
      </c>
      <c r="D970" s="13">
        <v>7894650004227</v>
      </c>
    </row>
    <row r="971" spans="1:4">
      <c r="A971" s="70" t="s">
        <v>1854</v>
      </c>
      <c r="B971" s="17" t="s">
        <v>2286</v>
      </c>
      <c r="C971" s="16" t="s">
        <v>1859</v>
      </c>
      <c r="D971" s="13">
        <v>7894650014295</v>
      </c>
    </row>
    <row r="972" spans="1:4">
      <c r="A972" s="70" t="s">
        <v>1854</v>
      </c>
      <c r="B972" s="17" t="s">
        <v>2286</v>
      </c>
      <c r="C972" s="16" t="s">
        <v>1860</v>
      </c>
      <c r="D972" s="13">
        <v>7894650003879</v>
      </c>
    </row>
    <row r="973" spans="1:4">
      <c r="A973" s="70" t="s">
        <v>1854</v>
      </c>
      <c r="B973" s="17" t="s">
        <v>2286</v>
      </c>
      <c r="C973" s="16" t="s">
        <v>1861</v>
      </c>
      <c r="D973" s="13">
        <v>7894650003848</v>
      </c>
    </row>
    <row r="974" spans="1:4">
      <c r="A974" s="70" t="s">
        <v>2025</v>
      </c>
      <c r="B974" s="17" t="s">
        <v>2286</v>
      </c>
      <c r="C974" s="16" t="s">
        <v>1263</v>
      </c>
      <c r="D974" s="13">
        <v>7897664170742</v>
      </c>
    </row>
    <row r="975" spans="1:4">
      <c r="A975" s="70" t="s">
        <v>2025</v>
      </c>
      <c r="B975" s="17" t="s">
        <v>2286</v>
      </c>
      <c r="C975" s="16" t="s">
        <v>1262</v>
      </c>
      <c r="D975" s="13">
        <v>7897664170759</v>
      </c>
    </row>
    <row r="976" spans="1:4">
      <c r="A976" s="70" t="s">
        <v>2025</v>
      </c>
      <c r="B976" s="17" t="s">
        <v>2286</v>
      </c>
      <c r="C976" s="16" t="s">
        <v>210</v>
      </c>
      <c r="D976" s="13">
        <v>7897664170735</v>
      </c>
    </row>
    <row r="977" spans="1:4">
      <c r="A977" s="70" t="s">
        <v>2025</v>
      </c>
      <c r="B977" s="17" t="s">
        <v>2286</v>
      </c>
      <c r="C977" s="16" t="s">
        <v>1936</v>
      </c>
      <c r="D977" s="13">
        <v>7897664170766</v>
      </c>
    </row>
    <row r="978" spans="1:4">
      <c r="A978" s="70" t="s">
        <v>1245</v>
      </c>
      <c r="B978" s="17" t="s">
        <v>2286</v>
      </c>
      <c r="C978" s="16" t="s">
        <v>1250</v>
      </c>
      <c r="D978" s="13">
        <v>7897664170773</v>
      </c>
    </row>
    <row r="979" spans="1:4">
      <c r="A979" s="70" t="s">
        <v>104</v>
      </c>
      <c r="B979" s="17" t="s">
        <v>2286</v>
      </c>
      <c r="C979" s="16" t="s">
        <v>1990</v>
      </c>
      <c r="D979" s="13">
        <v>7897664172012</v>
      </c>
    </row>
    <row r="980" spans="1:4">
      <c r="A980" s="70" t="s">
        <v>91</v>
      </c>
      <c r="B980" s="17" t="s">
        <v>2286</v>
      </c>
      <c r="C980" s="16" t="s">
        <v>210</v>
      </c>
      <c r="D980" s="13">
        <v>7897664170735</v>
      </c>
    </row>
    <row r="981" spans="1:4">
      <c r="A981" s="70" t="s">
        <v>1199</v>
      </c>
      <c r="B981" s="17" t="s">
        <v>2288</v>
      </c>
      <c r="C981" s="16" t="s">
        <v>1205</v>
      </c>
      <c r="D981" s="13">
        <v>7891025700609</v>
      </c>
    </row>
    <row r="982" spans="1:4">
      <c r="A982" s="70" t="s">
        <v>1199</v>
      </c>
      <c r="B982" s="17" t="s">
        <v>2288</v>
      </c>
      <c r="C982" s="16" t="s">
        <v>1215</v>
      </c>
      <c r="D982" s="13">
        <v>7891025700579</v>
      </c>
    </row>
    <row r="983" spans="1:4">
      <c r="A983" s="70" t="s">
        <v>940</v>
      </c>
      <c r="B983" s="17" t="s">
        <v>2288</v>
      </c>
      <c r="C983" s="16" t="s">
        <v>953</v>
      </c>
      <c r="D983" s="13">
        <v>7896275980290</v>
      </c>
    </row>
    <row r="984" spans="1:4">
      <c r="A984" s="70" t="s">
        <v>940</v>
      </c>
      <c r="B984" s="17" t="s">
        <v>2288</v>
      </c>
      <c r="C984" s="16" t="s">
        <v>954</v>
      </c>
      <c r="D984" s="13">
        <v>7896275980436</v>
      </c>
    </row>
    <row r="985" spans="1:4">
      <c r="A985" s="70" t="s">
        <v>940</v>
      </c>
      <c r="B985" s="17" t="s">
        <v>2288</v>
      </c>
      <c r="C985" s="16" t="s">
        <v>955</v>
      </c>
      <c r="D985" s="13">
        <v>7896275970789</v>
      </c>
    </row>
    <row r="986" spans="1:4">
      <c r="A986" s="70" t="s">
        <v>940</v>
      </c>
      <c r="B986" s="17" t="s">
        <v>2288</v>
      </c>
      <c r="C986" s="16" t="s">
        <v>956</v>
      </c>
      <c r="D986" s="13">
        <v>7896275970796</v>
      </c>
    </row>
    <row r="987" spans="1:4">
      <c r="A987" s="70" t="s">
        <v>1314</v>
      </c>
      <c r="B987" s="17" t="s">
        <v>2288</v>
      </c>
      <c r="C987" s="16" t="s">
        <v>1321</v>
      </c>
      <c r="D987" s="13">
        <v>7891999015587</v>
      </c>
    </row>
    <row r="988" spans="1:4">
      <c r="A988" s="70" t="s">
        <v>1314</v>
      </c>
      <c r="B988" s="17" t="s">
        <v>2288</v>
      </c>
      <c r="C988" s="16" t="s">
        <v>1322</v>
      </c>
      <c r="D988" s="13">
        <v>7891999009883</v>
      </c>
    </row>
    <row r="989" spans="1:4">
      <c r="A989" s="70" t="s">
        <v>1314</v>
      </c>
      <c r="B989" s="17" t="s">
        <v>2288</v>
      </c>
      <c r="C989" s="16" t="s">
        <v>1323</v>
      </c>
      <c r="D989" s="13">
        <v>7891999003065</v>
      </c>
    </row>
    <row r="990" spans="1:4">
      <c r="A990" s="70" t="s">
        <v>1314</v>
      </c>
      <c r="B990" s="17" t="s">
        <v>2288</v>
      </c>
      <c r="C990" s="16" t="s">
        <v>1324</v>
      </c>
      <c r="D990" s="13">
        <v>7891999011398</v>
      </c>
    </row>
    <row r="991" spans="1:4">
      <c r="A991" s="70" t="s">
        <v>1314</v>
      </c>
      <c r="B991" s="17" t="s">
        <v>2288</v>
      </c>
      <c r="C991" s="16" t="s">
        <v>1325</v>
      </c>
      <c r="D991" s="13">
        <v>7891999009869</v>
      </c>
    </row>
    <row r="992" spans="1:4">
      <c r="A992" s="70" t="s">
        <v>1314</v>
      </c>
      <c r="B992" s="17" t="s">
        <v>2288</v>
      </c>
      <c r="C992" s="16" t="s">
        <v>1326</v>
      </c>
      <c r="D992" s="13">
        <v>7891999013361</v>
      </c>
    </row>
    <row r="993" spans="1:4">
      <c r="A993" s="70" t="s">
        <v>1314</v>
      </c>
      <c r="B993" s="17" t="s">
        <v>2288</v>
      </c>
      <c r="C993" s="16" t="s">
        <v>1327</v>
      </c>
      <c r="D993" s="13">
        <v>7891999004734</v>
      </c>
    </row>
    <row r="994" spans="1:4">
      <c r="A994" s="70" t="s">
        <v>1314</v>
      </c>
      <c r="B994" s="17" t="s">
        <v>2288</v>
      </c>
      <c r="C994" s="16" t="s">
        <v>1328</v>
      </c>
      <c r="D994" s="13">
        <v>7891999009739</v>
      </c>
    </row>
    <row r="995" spans="1:4">
      <c r="A995" s="70" t="s">
        <v>1314</v>
      </c>
      <c r="B995" s="17" t="s">
        <v>2288</v>
      </c>
      <c r="C995" s="16" t="s">
        <v>1329</v>
      </c>
      <c r="D995" s="13">
        <v>7891999014757</v>
      </c>
    </row>
    <row r="996" spans="1:4">
      <c r="A996" s="70" t="s">
        <v>1314</v>
      </c>
      <c r="B996" s="17" t="s">
        <v>2288</v>
      </c>
      <c r="C996" s="16" t="s">
        <v>1330</v>
      </c>
      <c r="D996" s="13">
        <v>7891999014740</v>
      </c>
    </row>
    <row r="997" spans="1:4">
      <c r="A997" s="70" t="s">
        <v>1314</v>
      </c>
      <c r="B997" s="17" t="s">
        <v>2288</v>
      </c>
      <c r="C997" s="16" t="s">
        <v>1331</v>
      </c>
      <c r="D997" s="13">
        <v>7891999003690</v>
      </c>
    </row>
    <row r="998" spans="1:4">
      <c r="A998" s="70" t="s">
        <v>1314</v>
      </c>
      <c r="B998" s="17" t="s">
        <v>2288</v>
      </c>
      <c r="C998" s="16" t="s">
        <v>1332</v>
      </c>
      <c r="D998" s="13">
        <v>7891999003683</v>
      </c>
    </row>
    <row r="999" spans="1:4">
      <c r="A999" s="70" t="s">
        <v>1314</v>
      </c>
      <c r="B999" s="17" t="s">
        <v>2288</v>
      </c>
      <c r="C999" s="16" t="s">
        <v>1333</v>
      </c>
      <c r="D999" s="13">
        <v>7891999006318</v>
      </c>
    </row>
    <row r="1000" spans="1:4">
      <c r="A1000" s="70" t="s">
        <v>1314</v>
      </c>
      <c r="B1000" s="17" t="s">
        <v>2288</v>
      </c>
      <c r="C1000" s="16" t="s">
        <v>1334</v>
      </c>
      <c r="D1000" s="13">
        <v>7891999009746</v>
      </c>
    </row>
    <row r="1001" spans="1:4">
      <c r="A1001" s="70" t="s">
        <v>1314</v>
      </c>
      <c r="B1001" s="17" t="s">
        <v>2288</v>
      </c>
      <c r="C1001" s="16" t="s">
        <v>1335</v>
      </c>
      <c r="D1001" s="13">
        <v>7891999013378</v>
      </c>
    </row>
    <row r="1002" spans="1:4">
      <c r="A1002" s="70" t="s">
        <v>1314</v>
      </c>
      <c r="B1002" s="17" t="s">
        <v>2288</v>
      </c>
      <c r="C1002" s="16" t="s">
        <v>1336</v>
      </c>
      <c r="D1002" s="13">
        <v>7891999006783</v>
      </c>
    </row>
    <row r="1003" spans="1:4">
      <c r="A1003" s="70" t="s">
        <v>1314</v>
      </c>
      <c r="B1003" s="17" t="s">
        <v>2288</v>
      </c>
      <c r="C1003" s="16" t="s">
        <v>1337</v>
      </c>
      <c r="D1003" s="13">
        <v>7891999009722</v>
      </c>
    </row>
    <row r="1004" spans="1:4">
      <c r="A1004" s="70" t="s">
        <v>1314</v>
      </c>
      <c r="B1004" s="17" t="s">
        <v>2288</v>
      </c>
      <c r="C1004" s="16" t="s">
        <v>1338</v>
      </c>
      <c r="D1004" s="13">
        <v>7891999015570</v>
      </c>
    </row>
    <row r="1005" spans="1:4">
      <c r="A1005" s="70" t="s">
        <v>1314</v>
      </c>
      <c r="B1005" s="17" t="s">
        <v>2288</v>
      </c>
      <c r="C1005" s="16" t="s">
        <v>1339</v>
      </c>
      <c r="D1005" s="13">
        <v>7891999013118</v>
      </c>
    </row>
    <row r="1006" spans="1:4">
      <c r="A1006" s="70" t="s">
        <v>1314</v>
      </c>
      <c r="B1006" s="17" t="s">
        <v>2288</v>
      </c>
      <c r="C1006" s="16" t="s">
        <v>1340</v>
      </c>
      <c r="D1006" s="13">
        <v>7891999013125</v>
      </c>
    </row>
    <row r="1007" spans="1:4">
      <c r="A1007" s="70" t="s">
        <v>1314</v>
      </c>
      <c r="B1007" s="17" t="s">
        <v>2288</v>
      </c>
      <c r="C1007" s="16" t="s">
        <v>1341</v>
      </c>
      <c r="D1007" s="13">
        <v>7891999014467</v>
      </c>
    </row>
    <row r="1008" spans="1:4">
      <c r="A1008" s="70" t="s">
        <v>1314</v>
      </c>
      <c r="B1008" s="17" t="s">
        <v>2288</v>
      </c>
      <c r="C1008" s="16" t="s">
        <v>1365</v>
      </c>
      <c r="D1008" s="13">
        <v>7891999012388</v>
      </c>
    </row>
    <row r="1009" spans="1:4">
      <c r="A1009" s="70" t="s">
        <v>1314</v>
      </c>
      <c r="B1009" s="17" t="s">
        <v>2288</v>
      </c>
      <c r="C1009" s="16" t="s">
        <v>1366</v>
      </c>
      <c r="D1009" s="13">
        <v>7891999003706</v>
      </c>
    </row>
    <row r="1010" spans="1:4">
      <c r="A1010" s="70" t="s">
        <v>1314</v>
      </c>
      <c r="B1010" s="17" t="s">
        <v>2288</v>
      </c>
      <c r="C1010" s="16" t="s">
        <v>1367</v>
      </c>
      <c r="D1010" s="13">
        <v>7891999003713</v>
      </c>
    </row>
    <row r="1011" spans="1:4">
      <c r="A1011" s="70" t="s">
        <v>1314</v>
      </c>
      <c r="B1011" s="17" t="s">
        <v>2288</v>
      </c>
      <c r="C1011" s="16" t="s">
        <v>1367</v>
      </c>
      <c r="D1011" s="13">
        <v>7891999010742</v>
      </c>
    </row>
    <row r="1012" spans="1:4">
      <c r="A1012" s="70" t="s">
        <v>1314</v>
      </c>
      <c r="B1012" s="17" t="s">
        <v>2288</v>
      </c>
      <c r="C1012" s="16" t="s">
        <v>1368</v>
      </c>
      <c r="D1012" s="13">
        <v>7891999010735</v>
      </c>
    </row>
    <row r="1013" spans="1:4">
      <c r="A1013" s="70" t="s">
        <v>1314</v>
      </c>
      <c r="B1013" s="17" t="s">
        <v>2288</v>
      </c>
      <c r="C1013" s="16" t="s">
        <v>1342</v>
      </c>
      <c r="D1013" s="13">
        <v>7891999003072</v>
      </c>
    </row>
    <row r="1014" spans="1:4">
      <c r="A1014" s="70" t="s">
        <v>1841</v>
      </c>
      <c r="B1014" s="17" t="s">
        <v>2288</v>
      </c>
      <c r="C1014" s="16" t="s">
        <v>1842</v>
      </c>
      <c r="D1014" s="13">
        <v>7891025121152</v>
      </c>
    </row>
    <row r="1015" spans="1:4">
      <c r="A1015" s="70" t="s">
        <v>1450</v>
      </c>
      <c r="B1015" s="17" t="s">
        <v>2288</v>
      </c>
      <c r="C1015" s="16" t="s">
        <v>1455</v>
      </c>
      <c r="D1015" s="13">
        <v>7891025700579</v>
      </c>
    </row>
    <row r="1016" spans="1:4">
      <c r="A1016" s="70" t="s">
        <v>1450</v>
      </c>
      <c r="B1016" s="17" t="s">
        <v>2288</v>
      </c>
      <c r="C1016" s="16" t="s">
        <v>1205</v>
      </c>
      <c r="D1016" s="13">
        <v>7891025700609</v>
      </c>
    </row>
    <row r="1017" spans="1:4">
      <c r="A1017" s="70" t="s">
        <v>1789</v>
      </c>
      <c r="B1017" s="17" t="s">
        <v>2288</v>
      </c>
      <c r="C1017" s="16" t="s">
        <v>1794</v>
      </c>
      <c r="D1017" s="13">
        <v>7891025121107</v>
      </c>
    </row>
    <row r="1018" spans="1:4">
      <c r="A1018" s="70" t="s">
        <v>1789</v>
      </c>
      <c r="B1018" s="17" t="s">
        <v>2288</v>
      </c>
      <c r="C1018" s="16" t="s">
        <v>1795</v>
      </c>
      <c r="D1018" s="13">
        <v>7891025121121</v>
      </c>
    </row>
    <row r="1019" spans="1:4">
      <c r="A1019" s="70" t="s">
        <v>42</v>
      </c>
      <c r="B1019" s="17" t="s">
        <v>2283</v>
      </c>
      <c r="C1019" s="16" t="s">
        <v>201</v>
      </c>
      <c r="D1019" s="13">
        <v>7892840808013</v>
      </c>
    </row>
    <row r="1020" spans="1:4">
      <c r="A1020" s="70" t="s">
        <v>42</v>
      </c>
      <c r="B1020" s="17" t="s">
        <v>2283</v>
      </c>
      <c r="C1020" s="16" t="s">
        <v>202</v>
      </c>
      <c r="D1020" s="13">
        <v>7892840808020</v>
      </c>
    </row>
    <row r="1021" spans="1:4">
      <c r="A1021" s="70" t="s">
        <v>42</v>
      </c>
      <c r="B1021" s="17" t="s">
        <v>2283</v>
      </c>
      <c r="C1021" s="16" t="s">
        <v>203</v>
      </c>
      <c r="D1021" s="13">
        <v>7892840808037</v>
      </c>
    </row>
    <row r="1022" spans="1:4">
      <c r="A1022" s="70" t="s">
        <v>42</v>
      </c>
      <c r="B1022" s="17" t="s">
        <v>2283</v>
      </c>
      <c r="C1022" s="16" t="s">
        <v>204</v>
      </c>
      <c r="D1022" s="13">
        <v>7892840808068</v>
      </c>
    </row>
    <row r="1023" spans="1:4">
      <c r="A1023" s="70" t="s">
        <v>42</v>
      </c>
      <c r="B1023" s="17" t="s">
        <v>2283</v>
      </c>
      <c r="C1023" s="16" t="s">
        <v>205</v>
      </c>
      <c r="D1023" s="13">
        <v>7892840808174</v>
      </c>
    </row>
    <row r="1024" spans="1:4">
      <c r="A1024" s="70" t="s">
        <v>42</v>
      </c>
      <c r="B1024" s="17" t="s">
        <v>2283</v>
      </c>
      <c r="C1024" s="16" t="s">
        <v>206</v>
      </c>
      <c r="D1024" s="13">
        <v>7892840808044</v>
      </c>
    </row>
    <row r="1025" spans="1:4">
      <c r="A1025" s="70" t="s">
        <v>42</v>
      </c>
      <c r="B1025" s="17" t="s">
        <v>2283</v>
      </c>
      <c r="C1025" s="16" t="s">
        <v>207</v>
      </c>
      <c r="D1025" s="13">
        <v>7892840808051</v>
      </c>
    </row>
    <row r="1026" spans="1:4">
      <c r="A1026" s="70" t="s">
        <v>42</v>
      </c>
      <c r="B1026" s="17" t="s">
        <v>2283</v>
      </c>
      <c r="C1026" s="16" t="s">
        <v>208</v>
      </c>
      <c r="D1026" s="13">
        <v>7892840809416</v>
      </c>
    </row>
    <row r="1027" spans="1:4">
      <c r="A1027" s="70" t="s">
        <v>42</v>
      </c>
      <c r="B1027" s="17" t="s">
        <v>2283</v>
      </c>
      <c r="C1027" s="16" t="s">
        <v>209</v>
      </c>
      <c r="D1027" s="13">
        <v>7892840809409</v>
      </c>
    </row>
    <row r="1028" spans="1:4">
      <c r="A1028" s="70" t="s">
        <v>42</v>
      </c>
      <c r="B1028" s="17" t="s">
        <v>2283</v>
      </c>
      <c r="C1028" s="16" t="s">
        <v>2423</v>
      </c>
      <c r="D1028" s="13">
        <v>7892840819354</v>
      </c>
    </row>
    <row r="1029" spans="1:4">
      <c r="A1029" s="70" t="s">
        <v>42</v>
      </c>
      <c r="B1029" s="17" t="s">
        <v>2283</v>
      </c>
      <c r="C1029" s="16" t="s">
        <v>204</v>
      </c>
      <c r="D1029" s="13">
        <v>7894321263076</v>
      </c>
    </row>
    <row r="1030" spans="1:4">
      <c r="A1030" s="70" t="s">
        <v>1114</v>
      </c>
      <c r="B1030" s="17" t="s">
        <v>2284</v>
      </c>
      <c r="C1030" s="16" t="s">
        <v>1122</v>
      </c>
      <c r="D1030" s="13">
        <v>7897517207212</v>
      </c>
    </row>
    <row r="1031" spans="1:4">
      <c r="A1031" s="70" t="s">
        <v>1642</v>
      </c>
      <c r="B1031" s="17" t="s">
        <v>2284</v>
      </c>
      <c r="C1031" s="16" t="s">
        <v>1122</v>
      </c>
      <c r="D1031" s="13">
        <v>7897517207212</v>
      </c>
    </row>
    <row r="1032" spans="1:4">
      <c r="A1032" s="70" t="s">
        <v>1023</v>
      </c>
      <c r="B1032" s="17" t="s">
        <v>2284</v>
      </c>
      <c r="C1032" s="16" t="s">
        <v>228</v>
      </c>
      <c r="D1032" s="13">
        <v>7891031409091</v>
      </c>
    </row>
    <row r="1033" spans="1:4">
      <c r="A1033" s="70" t="s">
        <v>87</v>
      </c>
      <c r="B1033" s="17" t="s">
        <v>2284</v>
      </c>
      <c r="C1033" s="16" t="s">
        <v>229</v>
      </c>
      <c r="D1033" s="13">
        <v>7891031405031</v>
      </c>
    </row>
    <row r="1034" spans="1:4">
      <c r="A1034" s="70" t="s">
        <v>87</v>
      </c>
      <c r="B1034" s="17" t="s">
        <v>2284</v>
      </c>
      <c r="C1034" s="16" t="s">
        <v>228</v>
      </c>
      <c r="D1034" s="13">
        <v>7891031409091</v>
      </c>
    </row>
    <row r="1035" spans="1:4">
      <c r="A1035" s="70" t="s">
        <v>1952</v>
      </c>
      <c r="B1035" s="17" t="s">
        <v>2283</v>
      </c>
      <c r="C1035" s="16" t="s">
        <v>1963</v>
      </c>
      <c r="D1035" s="13">
        <v>4066600999911</v>
      </c>
    </row>
    <row r="1036" spans="1:4">
      <c r="A1036" s="70" t="s">
        <v>96</v>
      </c>
      <c r="B1036" s="17" t="s">
        <v>2281</v>
      </c>
      <c r="C1036" s="16" t="s">
        <v>952</v>
      </c>
      <c r="D1036" s="13">
        <v>7897393605249</v>
      </c>
    </row>
    <row r="1037" spans="1:4">
      <c r="A1037" s="70" t="s">
        <v>96</v>
      </c>
      <c r="B1037" s="17" t="s">
        <v>2281</v>
      </c>
      <c r="C1037" s="16" t="s">
        <v>952</v>
      </c>
      <c r="D1037" s="13">
        <v>7897393605188</v>
      </c>
    </row>
    <row r="1038" spans="1:4">
      <c r="A1038" s="70" t="s">
        <v>96</v>
      </c>
      <c r="B1038" s="17" t="s">
        <v>2281</v>
      </c>
      <c r="C1038" s="16" t="s">
        <v>952</v>
      </c>
      <c r="D1038" s="13">
        <v>7897393605195</v>
      </c>
    </row>
    <row r="1039" spans="1:4">
      <c r="A1039" s="70" t="s">
        <v>603</v>
      </c>
      <c r="B1039" s="17" t="s">
        <v>2285</v>
      </c>
      <c r="C1039" s="16" t="s">
        <v>610</v>
      </c>
      <c r="D1039" s="13">
        <v>7908124402997</v>
      </c>
    </row>
    <row r="1040" spans="1:4">
      <c r="A1040" s="70" t="s">
        <v>603</v>
      </c>
      <c r="B1040" s="17" t="s">
        <v>2285</v>
      </c>
      <c r="C1040" s="16" t="s">
        <v>611</v>
      </c>
      <c r="D1040" s="13">
        <v>7908124400313</v>
      </c>
    </row>
    <row r="1041" spans="1:4">
      <c r="A1041" s="70" t="s">
        <v>603</v>
      </c>
      <c r="B1041" s="17" t="s">
        <v>2285</v>
      </c>
      <c r="C1041" s="16" t="s">
        <v>612</v>
      </c>
      <c r="D1041" s="13">
        <v>7908124400337</v>
      </c>
    </row>
    <row r="1042" spans="1:4">
      <c r="A1042" s="70" t="s">
        <v>603</v>
      </c>
      <c r="B1042" s="17" t="s">
        <v>2285</v>
      </c>
      <c r="C1042" s="16" t="s">
        <v>613</v>
      </c>
      <c r="D1042" s="13">
        <v>7908124402423</v>
      </c>
    </row>
    <row r="1043" spans="1:4">
      <c r="A1043" s="70" t="s">
        <v>603</v>
      </c>
      <c r="B1043" s="17" t="s">
        <v>2285</v>
      </c>
      <c r="C1043" s="16" t="s">
        <v>614</v>
      </c>
      <c r="D1043" s="13">
        <v>7908124400306</v>
      </c>
    </row>
    <row r="1044" spans="1:4">
      <c r="A1044" s="70" t="s">
        <v>603</v>
      </c>
      <c r="B1044" s="17" t="s">
        <v>2285</v>
      </c>
      <c r="C1044" s="16" t="s">
        <v>615</v>
      </c>
      <c r="D1044" s="13">
        <v>7908124400320</v>
      </c>
    </row>
    <row r="1045" spans="1:4">
      <c r="A1045" s="70" t="s">
        <v>603</v>
      </c>
      <c r="B1045" s="17" t="s">
        <v>2285</v>
      </c>
      <c r="C1045" s="16" t="s">
        <v>616</v>
      </c>
      <c r="D1045" s="13">
        <v>7908124400344</v>
      </c>
    </row>
    <row r="1046" spans="1:4">
      <c r="A1046" s="70" t="s">
        <v>603</v>
      </c>
      <c r="B1046" s="17" t="s">
        <v>2285</v>
      </c>
      <c r="C1046" s="16" t="s">
        <v>617</v>
      </c>
      <c r="D1046" s="13">
        <v>7908124402966</v>
      </c>
    </row>
    <row r="1047" spans="1:4">
      <c r="A1047" s="70" t="s">
        <v>1462</v>
      </c>
      <c r="B1047" s="17" t="s">
        <v>2285</v>
      </c>
      <c r="C1047" s="16" t="s">
        <v>1467</v>
      </c>
      <c r="D1047" s="13">
        <v>7500435169387</v>
      </c>
    </row>
    <row r="1048" spans="1:4">
      <c r="A1048" s="70" t="s">
        <v>1462</v>
      </c>
      <c r="B1048" s="17" t="s">
        <v>2285</v>
      </c>
      <c r="C1048" s="16" t="s">
        <v>1834</v>
      </c>
      <c r="D1048" s="13">
        <v>7500435188227</v>
      </c>
    </row>
    <row r="1049" spans="1:4">
      <c r="A1049" s="70" t="s">
        <v>1462</v>
      </c>
      <c r="B1049" s="17" t="s">
        <v>2285</v>
      </c>
      <c r="C1049" s="16" t="s">
        <v>1468</v>
      </c>
      <c r="D1049" s="13">
        <v>7500435169370</v>
      </c>
    </row>
    <row r="1050" spans="1:4">
      <c r="A1050" s="70" t="s">
        <v>1462</v>
      </c>
      <c r="B1050" s="17" t="s">
        <v>2285</v>
      </c>
      <c r="C1050" s="16" t="s">
        <v>1469</v>
      </c>
      <c r="D1050" s="13">
        <v>7500435169363</v>
      </c>
    </row>
    <row r="1051" spans="1:4">
      <c r="A1051" s="70" t="s">
        <v>1462</v>
      </c>
      <c r="B1051" s="17" t="s">
        <v>2285</v>
      </c>
      <c r="C1051" s="16" t="s">
        <v>2713</v>
      </c>
      <c r="D1051" s="13">
        <v>7500435215565</v>
      </c>
    </row>
    <row r="1052" spans="1:4">
      <c r="A1052" s="70" t="s">
        <v>1462</v>
      </c>
      <c r="B1052" s="17" t="s">
        <v>2285</v>
      </c>
      <c r="C1052" s="16" t="s">
        <v>1470</v>
      </c>
      <c r="D1052" s="13">
        <v>7500435169356</v>
      </c>
    </row>
    <row r="1053" spans="1:4">
      <c r="A1053" s="70" t="s">
        <v>1462</v>
      </c>
      <c r="B1053" s="17" t="s">
        <v>2285</v>
      </c>
      <c r="C1053" s="16" t="s">
        <v>1620</v>
      </c>
      <c r="D1053" s="13">
        <v>7500435128421</v>
      </c>
    </row>
    <row r="1054" spans="1:4">
      <c r="A1054" s="70" t="s">
        <v>1462</v>
      </c>
      <c r="B1054" s="17" t="s">
        <v>2285</v>
      </c>
      <c r="C1054" s="16" t="s">
        <v>2001</v>
      </c>
      <c r="D1054" s="13">
        <v>7500435169394</v>
      </c>
    </row>
    <row r="1055" spans="1:4">
      <c r="A1055" s="70" t="s">
        <v>1462</v>
      </c>
      <c r="B1055" s="17" t="s">
        <v>2285</v>
      </c>
      <c r="C1055" s="16" t="s">
        <v>1621</v>
      </c>
      <c r="D1055" s="13">
        <v>7500435137577</v>
      </c>
    </row>
    <row r="1056" spans="1:4">
      <c r="A1056" s="70" t="s">
        <v>1462</v>
      </c>
      <c r="B1056" s="17" t="s">
        <v>2285</v>
      </c>
      <c r="C1056" s="16" t="s">
        <v>2577</v>
      </c>
      <c r="D1056" s="13">
        <v>7500435199780</v>
      </c>
    </row>
    <row r="1057" spans="1:4">
      <c r="A1057" s="70" t="s">
        <v>1462</v>
      </c>
      <c r="B1057" s="17" t="s">
        <v>2285</v>
      </c>
      <c r="C1057" s="16" t="s">
        <v>1622</v>
      </c>
      <c r="D1057" s="13">
        <v>7500435128414</v>
      </c>
    </row>
    <row r="1058" spans="1:4">
      <c r="A1058" s="70" t="s">
        <v>1462</v>
      </c>
      <c r="B1058" s="17" t="s">
        <v>2285</v>
      </c>
      <c r="C1058" s="16" t="s">
        <v>2430</v>
      </c>
      <c r="D1058" s="13">
        <v>7500435200301</v>
      </c>
    </row>
    <row r="1059" spans="1:4">
      <c r="A1059" s="70" t="s">
        <v>1462</v>
      </c>
      <c r="B1059" s="17" t="s">
        <v>2285</v>
      </c>
      <c r="C1059" s="16" t="s">
        <v>1623</v>
      </c>
      <c r="D1059" s="13">
        <v>7500435128407</v>
      </c>
    </row>
    <row r="1060" spans="1:4">
      <c r="A1060" s="70" t="s">
        <v>135</v>
      </c>
      <c r="B1060" s="17" t="s">
        <v>2285</v>
      </c>
      <c r="C1060" s="16" t="s">
        <v>326</v>
      </c>
      <c r="D1060" s="13">
        <v>7896044959960</v>
      </c>
    </row>
    <row r="1061" spans="1:4">
      <c r="A1061" s="70" t="s">
        <v>135</v>
      </c>
      <c r="B1061" s="17" t="s">
        <v>2285</v>
      </c>
      <c r="C1061" s="16" t="s">
        <v>325</v>
      </c>
      <c r="D1061" s="13">
        <v>7896044955856</v>
      </c>
    </row>
    <row r="1062" spans="1:4">
      <c r="A1062" s="70" t="s">
        <v>135</v>
      </c>
      <c r="B1062" s="17" t="s">
        <v>2285</v>
      </c>
      <c r="C1062" s="16" t="s">
        <v>324</v>
      </c>
      <c r="D1062" s="13">
        <v>7896044955832</v>
      </c>
    </row>
    <row r="1063" spans="1:4">
      <c r="A1063" s="70" t="s">
        <v>135</v>
      </c>
      <c r="B1063" s="17" t="s">
        <v>2285</v>
      </c>
      <c r="C1063" s="16" t="s">
        <v>323</v>
      </c>
      <c r="D1063" s="13">
        <v>7896044955849</v>
      </c>
    </row>
    <row r="1064" spans="1:4">
      <c r="A1064" s="70" t="s">
        <v>135</v>
      </c>
      <c r="B1064" s="17" t="s">
        <v>2285</v>
      </c>
      <c r="C1064" s="16" t="s">
        <v>322</v>
      </c>
      <c r="D1064" s="13">
        <v>7896044955801</v>
      </c>
    </row>
    <row r="1065" spans="1:4">
      <c r="A1065" s="70" t="s">
        <v>1741</v>
      </c>
      <c r="B1065" s="17" t="s">
        <v>2283</v>
      </c>
      <c r="C1065" s="16" t="s">
        <v>1749</v>
      </c>
      <c r="D1065" s="13">
        <v>7898626316048</v>
      </c>
    </row>
    <row r="1066" spans="1:4">
      <c r="A1066" s="70" t="s">
        <v>1741</v>
      </c>
      <c r="B1066" s="17" t="s">
        <v>2283</v>
      </c>
      <c r="C1066" s="16" t="s">
        <v>1760</v>
      </c>
      <c r="D1066" s="13">
        <v>7898626316147</v>
      </c>
    </row>
    <row r="1067" spans="1:4">
      <c r="A1067" s="70" t="s">
        <v>1937</v>
      </c>
      <c r="B1067" s="17" t="s">
        <v>2287</v>
      </c>
      <c r="C1067" s="16" t="s">
        <v>1938</v>
      </c>
      <c r="D1067" s="13">
        <v>7896451874924</v>
      </c>
    </row>
    <row r="1068" spans="1:4">
      <c r="A1068" s="70" t="s">
        <v>1968</v>
      </c>
      <c r="B1068" s="17" t="s">
        <v>2287</v>
      </c>
      <c r="C1068" s="16" t="s">
        <v>1973</v>
      </c>
      <c r="D1068" s="13">
        <v>7896451870308</v>
      </c>
    </row>
    <row r="1069" spans="1:4">
      <c r="A1069" s="70" t="s">
        <v>430</v>
      </c>
      <c r="B1069" s="17" t="s">
        <v>2287</v>
      </c>
      <c r="C1069" s="16" t="s">
        <v>431</v>
      </c>
      <c r="D1069" s="13">
        <v>7898324237737</v>
      </c>
    </row>
    <row r="1070" spans="1:4">
      <c r="A1070" s="70" t="s">
        <v>490</v>
      </c>
      <c r="B1070" s="17" t="s">
        <v>2287</v>
      </c>
      <c r="C1070" s="16" t="s">
        <v>262</v>
      </c>
      <c r="D1070" s="13">
        <v>7899771500214</v>
      </c>
    </row>
    <row r="1071" spans="1:4">
      <c r="A1071" s="70" t="s">
        <v>490</v>
      </c>
      <c r="B1071" s="17" t="s">
        <v>2287</v>
      </c>
      <c r="C1071" s="16" t="s">
        <v>1568</v>
      </c>
      <c r="D1071" s="13">
        <v>7898324006166</v>
      </c>
    </row>
    <row r="1072" spans="1:4">
      <c r="A1072" s="70" t="s">
        <v>490</v>
      </c>
      <c r="B1072" s="17" t="s">
        <v>2287</v>
      </c>
      <c r="C1072" s="16" t="s">
        <v>1568</v>
      </c>
      <c r="D1072" s="13">
        <v>7898324003127</v>
      </c>
    </row>
    <row r="1073" spans="1:4">
      <c r="A1073" s="70" t="s">
        <v>490</v>
      </c>
      <c r="B1073" s="17" t="s">
        <v>2287</v>
      </c>
      <c r="C1073" s="16" t="s">
        <v>1568</v>
      </c>
      <c r="D1073" s="13">
        <v>7899771500825</v>
      </c>
    </row>
    <row r="1074" spans="1:4">
      <c r="A1074" s="70" t="s">
        <v>1201</v>
      </c>
      <c r="B1074" s="17" t="s">
        <v>2287</v>
      </c>
      <c r="C1074" s="16" t="s">
        <v>1213</v>
      </c>
      <c r="D1074" s="13">
        <v>7898324005145</v>
      </c>
    </row>
    <row r="1075" spans="1:4">
      <c r="A1075" s="70" t="s">
        <v>1201</v>
      </c>
      <c r="B1075" s="17" t="s">
        <v>2287</v>
      </c>
      <c r="C1075" s="16" t="s">
        <v>1230</v>
      </c>
      <c r="D1075" s="13">
        <v>7898324005138</v>
      </c>
    </row>
    <row r="1076" spans="1:4">
      <c r="A1076" s="70" t="s">
        <v>418</v>
      </c>
      <c r="B1076" s="17" t="s">
        <v>2287</v>
      </c>
      <c r="C1076" s="16" t="s">
        <v>428</v>
      </c>
      <c r="D1076" s="13">
        <v>7899771500115</v>
      </c>
    </row>
    <row r="1077" spans="1:4">
      <c r="A1077" s="70" t="s">
        <v>803</v>
      </c>
      <c r="B1077" s="17" t="s">
        <v>2287</v>
      </c>
      <c r="C1077" s="16" t="s">
        <v>788</v>
      </c>
      <c r="D1077" s="13">
        <v>7899771500139</v>
      </c>
    </row>
    <row r="1078" spans="1:4">
      <c r="A1078" s="70" t="s">
        <v>803</v>
      </c>
      <c r="B1078" s="17" t="s">
        <v>2287</v>
      </c>
      <c r="C1078" s="16" t="s">
        <v>788</v>
      </c>
      <c r="D1078" s="13">
        <v>7898324005152</v>
      </c>
    </row>
    <row r="1079" spans="1:4">
      <c r="A1079" s="70" t="s">
        <v>803</v>
      </c>
      <c r="B1079" s="17" t="s">
        <v>2287</v>
      </c>
      <c r="C1079" s="16" t="s">
        <v>788</v>
      </c>
      <c r="D1079" s="13">
        <v>7898324003080</v>
      </c>
    </row>
    <row r="1080" spans="1:4">
      <c r="A1080" s="70" t="s">
        <v>942</v>
      </c>
      <c r="B1080" s="17" t="s">
        <v>2287</v>
      </c>
      <c r="C1080" s="16" t="s">
        <v>957</v>
      </c>
      <c r="D1080" s="13">
        <v>7898324005176</v>
      </c>
    </row>
    <row r="1081" spans="1:4">
      <c r="A1081" s="70" t="s">
        <v>942</v>
      </c>
      <c r="B1081" s="17" t="s">
        <v>2287</v>
      </c>
      <c r="C1081" s="16" t="s">
        <v>957</v>
      </c>
      <c r="D1081" s="13">
        <v>7898324003103</v>
      </c>
    </row>
    <row r="1082" spans="1:4">
      <c r="A1082" s="70" t="s">
        <v>942</v>
      </c>
      <c r="B1082" s="17" t="s">
        <v>2287</v>
      </c>
      <c r="C1082" s="16" t="s">
        <v>957</v>
      </c>
      <c r="D1082" s="13">
        <v>7899771500153</v>
      </c>
    </row>
    <row r="1083" spans="1:4">
      <c r="A1083" s="70" t="s">
        <v>9</v>
      </c>
      <c r="B1083" s="17" t="s">
        <v>2287</v>
      </c>
      <c r="C1083" s="16" t="s">
        <v>211</v>
      </c>
      <c r="D1083" s="13">
        <v>7899771500153</v>
      </c>
    </row>
    <row r="1084" spans="1:4">
      <c r="A1084" s="70" t="s">
        <v>3293</v>
      </c>
      <c r="B1084" s="17" t="s">
        <v>2282</v>
      </c>
      <c r="C1084" s="16" t="s">
        <v>645</v>
      </c>
      <c r="D1084" s="13">
        <v>7896074604496</v>
      </c>
    </row>
    <row r="1085" spans="1:4">
      <c r="A1085" s="70" t="s">
        <v>3293</v>
      </c>
      <c r="B1085" s="17" t="s">
        <v>2282</v>
      </c>
      <c r="C1085" s="16" t="s">
        <v>646</v>
      </c>
      <c r="D1085" s="13">
        <v>7896074605318</v>
      </c>
    </row>
    <row r="1086" spans="1:4">
      <c r="A1086" s="70" t="s">
        <v>878</v>
      </c>
      <c r="B1086" s="17" t="s">
        <v>2282</v>
      </c>
      <c r="C1086" s="16" t="s">
        <v>925</v>
      </c>
      <c r="D1086" s="13">
        <v>7893000492981</v>
      </c>
    </row>
    <row r="1087" spans="1:4">
      <c r="A1087" s="70" t="s">
        <v>878</v>
      </c>
      <c r="B1087" s="17" t="s">
        <v>2282</v>
      </c>
      <c r="C1087" s="16" t="s">
        <v>926</v>
      </c>
      <c r="D1087" s="13">
        <v>7893000439825</v>
      </c>
    </row>
    <row r="1088" spans="1:4">
      <c r="A1088" s="70" t="s">
        <v>878</v>
      </c>
      <c r="B1088" s="17" t="s">
        <v>2282</v>
      </c>
      <c r="C1088" s="16" t="s">
        <v>927</v>
      </c>
      <c r="D1088" s="13">
        <v>7893000038684</v>
      </c>
    </row>
    <row r="1089" spans="1:4">
      <c r="A1089" s="70" t="s">
        <v>878</v>
      </c>
      <c r="B1089" s="17" t="s">
        <v>2282</v>
      </c>
      <c r="C1089" s="16" t="s">
        <v>928</v>
      </c>
      <c r="D1089" s="13">
        <v>7893000071025</v>
      </c>
    </row>
    <row r="1090" spans="1:4">
      <c r="A1090" s="70" t="s">
        <v>878</v>
      </c>
      <c r="B1090" s="17" t="s">
        <v>2282</v>
      </c>
      <c r="C1090" s="16" t="s">
        <v>929</v>
      </c>
      <c r="D1090" s="13">
        <v>7893000825208</v>
      </c>
    </row>
    <row r="1091" spans="1:4">
      <c r="A1091" s="70" t="s">
        <v>878</v>
      </c>
      <c r="B1091" s="17" t="s">
        <v>2282</v>
      </c>
      <c r="C1091" s="16" t="s">
        <v>926</v>
      </c>
      <c r="D1091" s="13">
        <v>7891515475703</v>
      </c>
    </row>
    <row r="1092" spans="1:4">
      <c r="A1092" s="70" t="s">
        <v>878</v>
      </c>
      <c r="B1092" s="17" t="s">
        <v>2282</v>
      </c>
      <c r="C1092" s="16" t="s">
        <v>925</v>
      </c>
      <c r="D1092" s="13">
        <v>7891515475680</v>
      </c>
    </row>
    <row r="1093" spans="1:4">
      <c r="A1093" s="70" t="s">
        <v>878</v>
      </c>
      <c r="B1093" s="17" t="s">
        <v>2282</v>
      </c>
      <c r="C1093" s="16" t="s">
        <v>927</v>
      </c>
      <c r="D1093" s="13">
        <v>7891515476229</v>
      </c>
    </row>
    <row r="1094" spans="1:4">
      <c r="A1094" s="70" t="s">
        <v>878</v>
      </c>
      <c r="B1094" s="17" t="s">
        <v>2282</v>
      </c>
      <c r="C1094" s="16" t="s">
        <v>1431</v>
      </c>
      <c r="D1094" s="13">
        <v>7891515476212</v>
      </c>
    </row>
    <row r="1095" spans="1:4">
      <c r="A1095" s="70" t="s">
        <v>878</v>
      </c>
      <c r="B1095" s="17" t="s">
        <v>2282</v>
      </c>
      <c r="C1095" s="16" t="s">
        <v>1432</v>
      </c>
      <c r="D1095" s="13">
        <v>7891515485719</v>
      </c>
    </row>
    <row r="1096" spans="1:4">
      <c r="A1096" s="70" t="s">
        <v>878</v>
      </c>
      <c r="B1096" s="17" t="s">
        <v>2282</v>
      </c>
      <c r="C1096" s="16" t="s">
        <v>928</v>
      </c>
      <c r="D1096" s="13">
        <v>7891515475642</v>
      </c>
    </row>
    <row r="1097" spans="1:4">
      <c r="A1097" s="70" t="s">
        <v>878</v>
      </c>
      <c r="B1097" s="17" t="s">
        <v>2282</v>
      </c>
      <c r="C1097" s="16" t="s">
        <v>929</v>
      </c>
      <c r="D1097" s="13">
        <v>7891515475697</v>
      </c>
    </row>
    <row r="1098" spans="1:4">
      <c r="A1098" s="70" t="s">
        <v>63</v>
      </c>
      <c r="B1098" s="17" t="s">
        <v>2282</v>
      </c>
      <c r="C1098" s="16" t="s">
        <v>857</v>
      </c>
      <c r="D1098" s="13">
        <v>7894904082728</v>
      </c>
    </row>
    <row r="1099" spans="1:4">
      <c r="A1099" s="70" t="s">
        <v>63</v>
      </c>
      <c r="B1099" s="17" t="s">
        <v>2282</v>
      </c>
      <c r="C1099" s="16" t="s">
        <v>858</v>
      </c>
      <c r="D1099" s="13">
        <v>7894904082704</v>
      </c>
    </row>
    <row r="1100" spans="1:4">
      <c r="A1100" s="70" t="s">
        <v>63</v>
      </c>
      <c r="B1100" s="17" t="s">
        <v>2282</v>
      </c>
      <c r="C1100" s="16" t="s">
        <v>859</v>
      </c>
      <c r="D1100" s="13">
        <v>7894904070602</v>
      </c>
    </row>
    <row r="1101" spans="1:4">
      <c r="A1101" s="70" t="s">
        <v>63</v>
      </c>
      <c r="B1101" s="17" t="s">
        <v>2282</v>
      </c>
      <c r="C1101" s="16" t="s">
        <v>860</v>
      </c>
      <c r="D1101" s="13">
        <v>7894904070596</v>
      </c>
    </row>
    <row r="1102" spans="1:4">
      <c r="A1102" s="70" t="s">
        <v>63</v>
      </c>
      <c r="B1102" s="17" t="s">
        <v>2282</v>
      </c>
      <c r="C1102" s="16" t="s">
        <v>861</v>
      </c>
      <c r="D1102" s="13">
        <v>7894904072453</v>
      </c>
    </row>
    <row r="1103" spans="1:4">
      <c r="A1103" s="70" t="s">
        <v>63</v>
      </c>
      <c r="B1103" s="17" t="s">
        <v>2282</v>
      </c>
      <c r="C1103" s="16" t="s">
        <v>862</v>
      </c>
      <c r="D1103" s="13">
        <v>7894904072439</v>
      </c>
    </row>
    <row r="1104" spans="1:4">
      <c r="A1104" s="70" t="s">
        <v>551</v>
      </c>
      <c r="B1104" s="17" t="s">
        <v>2286</v>
      </c>
      <c r="C1104" s="16" t="s">
        <v>567</v>
      </c>
      <c r="D1104" s="13">
        <v>7896183312466</v>
      </c>
    </row>
    <row r="1105" spans="1:4">
      <c r="A1105" s="70" t="s">
        <v>5</v>
      </c>
      <c r="B1105" s="17" t="s">
        <v>2286</v>
      </c>
      <c r="C1105" s="16" t="s">
        <v>1454</v>
      </c>
      <c r="D1105" s="13">
        <v>751320003126</v>
      </c>
    </row>
    <row r="1106" spans="1:4">
      <c r="A1106" s="70" t="s">
        <v>2169</v>
      </c>
      <c r="B1106" s="17" t="s">
        <v>2286</v>
      </c>
      <c r="C1106" s="16" t="s">
        <v>2191</v>
      </c>
      <c r="D1106" s="13">
        <v>798190210261</v>
      </c>
    </row>
    <row r="1107" spans="1:4">
      <c r="A1107" s="70" t="s">
        <v>2155</v>
      </c>
      <c r="B1107" s="17" t="s">
        <v>2286</v>
      </c>
      <c r="C1107" s="16" t="s">
        <v>2157</v>
      </c>
      <c r="D1107" s="13">
        <v>7908324402681</v>
      </c>
    </row>
    <row r="1108" spans="1:4">
      <c r="A1108" s="70" t="s">
        <v>2155</v>
      </c>
      <c r="B1108" s="17" t="s">
        <v>2286</v>
      </c>
      <c r="C1108" s="16" t="s">
        <v>2158</v>
      </c>
      <c r="D1108" s="13">
        <v>7908324402698</v>
      </c>
    </row>
    <row r="1109" spans="1:4">
      <c r="A1109" s="70" t="s">
        <v>319</v>
      </c>
      <c r="B1109" s="17" t="s">
        <v>2286</v>
      </c>
      <c r="C1109" s="16" t="s">
        <v>328</v>
      </c>
      <c r="D1109" s="13">
        <v>7893300522388</v>
      </c>
    </row>
    <row r="1110" spans="1:4">
      <c r="A1110" s="70" t="s">
        <v>319</v>
      </c>
      <c r="B1110" s="17" t="s">
        <v>2286</v>
      </c>
      <c r="C1110" s="16" t="s">
        <v>327</v>
      </c>
      <c r="D1110" s="13">
        <v>7893300522395</v>
      </c>
    </row>
    <row r="1111" spans="1:4">
      <c r="A1111" s="70" t="s">
        <v>553</v>
      </c>
      <c r="B1111" s="17" t="s">
        <v>2286</v>
      </c>
      <c r="C1111" s="16" t="s">
        <v>563</v>
      </c>
      <c r="D1111" s="13">
        <v>7908324400328</v>
      </c>
    </row>
    <row r="1112" spans="1:4">
      <c r="A1112" s="70" t="s">
        <v>553</v>
      </c>
      <c r="B1112" s="17" t="s">
        <v>2286</v>
      </c>
      <c r="C1112" s="16" t="s">
        <v>571</v>
      </c>
      <c r="D1112" s="13">
        <v>7908324400335</v>
      </c>
    </row>
    <row r="1113" spans="1:4">
      <c r="A1113" s="70" t="s">
        <v>386</v>
      </c>
      <c r="B1113" s="17" t="s">
        <v>2286</v>
      </c>
      <c r="C1113" s="16" t="s">
        <v>405</v>
      </c>
      <c r="D1113" s="13">
        <v>7891176118049</v>
      </c>
    </row>
    <row r="1114" spans="1:4">
      <c r="A1114" s="70" t="s">
        <v>386</v>
      </c>
      <c r="B1114" s="17" t="s">
        <v>2286</v>
      </c>
      <c r="C1114" s="16" t="s">
        <v>406</v>
      </c>
      <c r="D1114" s="13">
        <v>7897664172067</v>
      </c>
    </row>
    <row r="1115" spans="1:4">
      <c r="A1115" s="70" t="s">
        <v>1847</v>
      </c>
      <c r="B1115" s="17" t="s">
        <v>2286</v>
      </c>
      <c r="C1115" s="16" t="s">
        <v>1846</v>
      </c>
      <c r="D1115" s="13">
        <v>7891150064331</v>
      </c>
    </row>
    <row r="1116" spans="1:4">
      <c r="A1116" s="70" t="s">
        <v>1847</v>
      </c>
      <c r="B1116" s="17" t="s">
        <v>2286</v>
      </c>
      <c r="C1116" s="16" t="s">
        <v>1852</v>
      </c>
      <c r="D1116" s="13">
        <v>7891150081147</v>
      </c>
    </row>
    <row r="1117" spans="1:4">
      <c r="A1117" s="70" t="s">
        <v>2292</v>
      </c>
      <c r="B1117" s="17" t="s">
        <v>2286</v>
      </c>
      <c r="C1117" s="16" t="s">
        <v>636</v>
      </c>
      <c r="D1117" s="13">
        <v>7891150064317</v>
      </c>
    </row>
    <row r="1118" spans="1:4">
      <c r="A1118" s="70" t="s">
        <v>2292</v>
      </c>
      <c r="B1118" s="17" t="s">
        <v>2286</v>
      </c>
      <c r="C1118" s="16" t="s">
        <v>637</v>
      </c>
      <c r="D1118" s="13">
        <v>7891150064324</v>
      </c>
    </row>
    <row r="1119" spans="1:4">
      <c r="A1119" s="70" t="s">
        <v>1220</v>
      </c>
      <c r="B1119" s="17" t="s">
        <v>2286</v>
      </c>
      <c r="C1119" s="16" t="s">
        <v>1224</v>
      </c>
      <c r="D1119" s="13">
        <v>7896098901113</v>
      </c>
    </row>
    <row r="1120" spans="1:4">
      <c r="A1120" s="70" t="s">
        <v>2133</v>
      </c>
      <c r="B1120" s="17" t="s">
        <v>2286</v>
      </c>
      <c r="C1120" s="16" t="s">
        <v>2135</v>
      </c>
      <c r="D1120" s="13">
        <v>7896056406681</v>
      </c>
    </row>
    <row r="1121" spans="1:4">
      <c r="A1121" s="70" t="s">
        <v>83</v>
      </c>
      <c r="B1121" s="17" t="s">
        <v>2286</v>
      </c>
      <c r="C1121" s="16" t="s">
        <v>338</v>
      </c>
      <c r="D1121" s="13">
        <v>7500435142014</v>
      </c>
    </row>
    <row r="1122" spans="1:4">
      <c r="A1122" s="70" t="s">
        <v>1494</v>
      </c>
      <c r="B1122" s="17" t="s">
        <v>2286</v>
      </c>
      <c r="C1122" s="16" t="s">
        <v>1497</v>
      </c>
      <c r="D1122" s="13">
        <v>7500435141987</v>
      </c>
    </row>
    <row r="1123" spans="1:4">
      <c r="A1123" s="70" t="s">
        <v>1828</v>
      </c>
      <c r="B1123" s="17" t="s">
        <v>2286</v>
      </c>
      <c r="C1123" s="16" t="s">
        <v>889</v>
      </c>
      <c r="D1123" s="13">
        <v>7500435115353</v>
      </c>
    </row>
    <row r="1124" spans="1:4">
      <c r="A1124" s="70" t="s">
        <v>1828</v>
      </c>
      <c r="B1124" s="17" t="s">
        <v>2286</v>
      </c>
      <c r="C1124" s="16" t="s">
        <v>1811</v>
      </c>
      <c r="D1124" s="13">
        <v>7500435156653</v>
      </c>
    </row>
    <row r="1125" spans="1:4">
      <c r="A1125" s="70" t="s">
        <v>1828</v>
      </c>
      <c r="B1125" s="17" t="s">
        <v>2286</v>
      </c>
      <c r="C1125" s="16" t="s">
        <v>930</v>
      </c>
      <c r="D1125" s="13">
        <v>7500435115827</v>
      </c>
    </row>
    <row r="1126" spans="1:4">
      <c r="A1126" s="70" t="s">
        <v>1685</v>
      </c>
      <c r="B1126" s="17" t="s">
        <v>2281</v>
      </c>
      <c r="C1126" s="16" t="s">
        <v>254</v>
      </c>
      <c r="D1126" s="13">
        <v>7896275960896</v>
      </c>
    </row>
    <row r="1127" spans="1:4">
      <c r="A1127" s="70" t="s">
        <v>1995</v>
      </c>
      <c r="B1127" s="17" t="s">
        <v>2281</v>
      </c>
      <c r="C1127" s="16" t="s">
        <v>1996</v>
      </c>
      <c r="D1127" s="13">
        <v>7891000100103</v>
      </c>
    </row>
    <row r="1128" spans="1:4">
      <c r="A1128" s="70" t="s">
        <v>1317</v>
      </c>
      <c r="B1128" s="17" t="s">
        <v>2281</v>
      </c>
      <c r="C1128" s="16" t="s">
        <v>1319</v>
      </c>
      <c r="D1128" s="13">
        <v>7896051115038</v>
      </c>
    </row>
    <row r="1129" spans="1:4">
      <c r="A1129" s="70" t="s">
        <v>1682</v>
      </c>
      <c r="B1129" s="17" t="s">
        <v>2281</v>
      </c>
      <c r="C1129" s="16" t="s">
        <v>277</v>
      </c>
      <c r="D1129" s="13">
        <v>7898215152002</v>
      </c>
    </row>
    <row r="1130" spans="1:4">
      <c r="A1130" s="70" t="s">
        <v>2249</v>
      </c>
      <c r="B1130" s="17" t="s">
        <v>2281</v>
      </c>
      <c r="C1130" s="16" t="s">
        <v>2251</v>
      </c>
      <c r="D1130" s="13">
        <v>7896275970598</v>
      </c>
    </row>
    <row r="1131" spans="1:4">
      <c r="A1131" s="70" t="s">
        <v>2249</v>
      </c>
      <c r="B1131" s="17" t="s">
        <v>2281</v>
      </c>
      <c r="C1131" s="16" t="s">
        <v>2252</v>
      </c>
      <c r="D1131" s="13">
        <v>7896275970574</v>
      </c>
    </row>
    <row r="1132" spans="1:4">
      <c r="A1132" s="70" t="s">
        <v>834</v>
      </c>
      <c r="B1132" s="17" t="s">
        <v>2281</v>
      </c>
      <c r="C1132" s="16" t="s">
        <v>851</v>
      </c>
      <c r="D1132" s="13">
        <v>7896051130116</v>
      </c>
    </row>
    <row r="1133" spans="1:4">
      <c r="A1133" s="70" t="s">
        <v>834</v>
      </c>
      <c r="B1133" s="17" t="s">
        <v>2281</v>
      </c>
      <c r="C1133" s="16" t="s">
        <v>852</v>
      </c>
      <c r="D1133" s="13">
        <v>7896051130123</v>
      </c>
    </row>
    <row r="1134" spans="1:4">
      <c r="A1134" s="70" t="s">
        <v>2067</v>
      </c>
      <c r="B1134" s="17" t="s">
        <v>2281</v>
      </c>
      <c r="C1134" s="16" t="s">
        <v>2068</v>
      </c>
      <c r="D1134" s="13">
        <v>7891000284933</v>
      </c>
    </row>
    <row r="1135" spans="1:4">
      <c r="A1135" s="70" t="s">
        <v>2067</v>
      </c>
      <c r="B1135" s="17" t="s">
        <v>2281</v>
      </c>
      <c r="C1135" s="16" t="s">
        <v>2069</v>
      </c>
      <c r="D1135" s="13">
        <v>7891000325858</v>
      </c>
    </row>
    <row r="1136" spans="1:4">
      <c r="A1136" s="70" t="s">
        <v>2067</v>
      </c>
      <c r="B1136" s="17" t="s">
        <v>2281</v>
      </c>
      <c r="C1136" s="16" t="s">
        <v>2069</v>
      </c>
      <c r="D1136" s="13">
        <v>7891000340981</v>
      </c>
    </row>
    <row r="1137" spans="1:4">
      <c r="A1137" s="70" t="s">
        <v>2910</v>
      </c>
      <c r="B1137" s="17" t="s">
        <v>2281</v>
      </c>
      <c r="C1137" s="16" t="s">
        <v>1644</v>
      </c>
      <c r="D1137" s="13">
        <v>7898215152439</v>
      </c>
    </row>
    <row r="1138" spans="1:4">
      <c r="A1138" s="70" t="s">
        <v>2910</v>
      </c>
      <c r="B1138" s="17" t="s">
        <v>2281</v>
      </c>
      <c r="C1138" s="16" t="s">
        <v>1643</v>
      </c>
      <c r="D1138" s="13">
        <v>7898215152347</v>
      </c>
    </row>
    <row r="1139" spans="1:4">
      <c r="A1139" s="70" t="s">
        <v>1264</v>
      </c>
      <c r="B1139" s="17" t="s">
        <v>2288</v>
      </c>
      <c r="C1139" s="16" t="s">
        <v>1270</v>
      </c>
      <c r="D1139" s="13">
        <v>7891000070444</v>
      </c>
    </row>
    <row r="1140" spans="1:4">
      <c r="A1140" s="70" t="s">
        <v>1244</v>
      </c>
      <c r="B1140" s="17" t="s">
        <v>2288</v>
      </c>
      <c r="C1140" s="16" t="s">
        <v>1246</v>
      </c>
      <c r="D1140" s="13">
        <v>7891025115687</v>
      </c>
    </row>
    <row r="1141" spans="1:4">
      <c r="A1141" s="70" t="s">
        <v>1503</v>
      </c>
      <c r="B1141" s="17" t="s">
        <v>2288</v>
      </c>
      <c r="C1141" s="16" t="s">
        <v>1529</v>
      </c>
      <c r="D1141" s="13">
        <v>7891999904805</v>
      </c>
    </row>
    <row r="1142" spans="1:4">
      <c r="A1142" s="70" t="s">
        <v>1503</v>
      </c>
      <c r="B1142" s="17" t="s">
        <v>2288</v>
      </c>
      <c r="C1142" s="16" t="s">
        <v>1528</v>
      </c>
      <c r="D1142" s="13">
        <v>78913554</v>
      </c>
    </row>
    <row r="1143" spans="1:4">
      <c r="A1143" s="70" t="s">
        <v>1024</v>
      </c>
      <c r="B1143" s="17" t="s">
        <v>2281</v>
      </c>
      <c r="C1143" s="16" t="s">
        <v>1026</v>
      </c>
      <c r="D1143" s="13">
        <v>7896283800191</v>
      </c>
    </row>
    <row r="1144" spans="1:4">
      <c r="A1144" s="70" t="s">
        <v>1024</v>
      </c>
      <c r="B1144" s="17" t="s">
        <v>2281</v>
      </c>
      <c r="C1144" s="72" t="s">
        <v>1060</v>
      </c>
      <c r="D1144" s="75">
        <v>47896283800274</v>
      </c>
    </row>
    <row r="1145" spans="1:4">
      <c r="A1145" s="70" t="s">
        <v>1024</v>
      </c>
      <c r="B1145" s="17" t="s">
        <v>2281</v>
      </c>
      <c r="C1145" s="16" t="s">
        <v>1027</v>
      </c>
      <c r="D1145" s="13">
        <v>7896283800542</v>
      </c>
    </row>
    <row r="1146" spans="1:4">
      <c r="A1146" s="70" t="s">
        <v>1024</v>
      </c>
      <c r="B1146" s="17" t="s">
        <v>2281</v>
      </c>
      <c r="C1146" s="72" t="s">
        <v>1061</v>
      </c>
      <c r="D1146" s="75">
        <v>47896283800267</v>
      </c>
    </row>
    <row r="1147" spans="1:4">
      <c r="A1147" s="70" t="s">
        <v>1024</v>
      </c>
      <c r="B1147" s="17" t="s">
        <v>2281</v>
      </c>
      <c r="C1147" s="16" t="s">
        <v>1025</v>
      </c>
      <c r="D1147" s="13">
        <v>7896283800184</v>
      </c>
    </row>
    <row r="1148" spans="1:4">
      <c r="A1148" s="70" t="s">
        <v>1024</v>
      </c>
      <c r="B1148" s="17" t="s">
        <v>2281</v>
      </c>
      <c r="C1148" s="72" t="s">
        <v>1062</v>
      </c>
      <c r="D1148" s="75">
        <v>47896283800250</v>
      </c>
    </row>
    <row r="1149" spans="1:4">
      <c r="A1149" s="70" t="s">
        <v>1896</v>
      </c>
      <c r="B1149" s="17" t="s">
        <v>2281</v>
      </c>
      <c r="C1149" s="16" t="s">
        <v>1899</v>
      </c>
      <c r="D1149" s="13">
        <v>7896569405027</v>
      </c>
    </row>
    <row r="1150" spans="1:4">
      <c r="A1150" s="70" t="s">
        <v>1896</v>
      </c>
      <c r="B1150" s="17" t="s">
        <v>2281</v>
      </c>
      <c r="C1150" s="16" t="s">
        <v>1917</v>
      </c>
      <c r="D1150" s="13">
        <v>17896569405024</v>
      </c>
    </row>
    <row r="1151" spans="1:4">
      <c r="A1151" s="70" t="s">
        <v>1896</v>
      </c>
      <c r="B1151" s="17" t="s">
        <v>2281</v>
      </c>
      <c r="C1151" s="16" t="s">
        <v>1900</v>
      </c>
      <c r="D1151" s="13">
        <v>7896569405003</v>
      </c>
    </row>
    <row r="1152" spans="1:4">
      <c r="A1152" s="70" t="s">
        <v>1896</v>
      </c>
      <c r="B1152" s="17" t="s">
        <v>2281</v>
      </c>
      <c r="C1152" s="16" t="s">
        <v>1918</v>
      </c>
      <c r="D1152" s="13">
        <v>17896569405000</v>
      </c>
    </row>
    <row r="1153" spans="1:4">
      <c r="A1153" s="70" t="s">
        <v>1896</v>
      </c>
      <c r="B1153" s="17" t="s">
        <v>2281</v>
      </c>
      <c r="C1153" s="16" t="s">
        <v>1901</v>
      </c>
      <c r="D1153" s="13">
        <v>7896569405010</v>
      </c>
    </row>
    <row r="1154" spans="1:4">
      <c r="A1154" s="70" t="s">
        <v>1896</v>
      </c>
      <c r="B1154" s="17" t="s">
        <v>2281</v>
      </c>
      <c r="C1154" s="16" t="s">
        <v>1919</v>
      </c>
      <c r="D1154" s="13">
        <v>17896569405017</v>
      </c>
    </row>
    <row r="1155" spans="1:4">
      <c r="A1155" s="70" t="s">
        <v>1247</v>
      </c>
      <c r="B1155" s="17" t="s">
        <v>2281</v>
      </c>
      <c r="C1155" s="16" t="s">
        <v>1252</v>
      </c>
      <c r="D1155" s="13">
        <v>7898215151937</v>
      </c>
    </row>
    <row r="1156" spans="1:4">
      <c r="A1156" s="70" t="s">
        <v>1247</v>
      </c>
      <c r="B1156" s="17" t="s">
        <v>2281</v>
      </c>
      <c r="C1156" s="16" t="s">
        <v>1252</v>
      </c>
      <c r="D1156" s="13">
        <v>7898215151692</v>
      </c>
    </row>
    <row r="1157" spans="1:4">
      <c r="A1157" s="70" t="s">
        <v>1247</v>
      </c>
      <c r="B1157" s="17" t="s">
        <v>2281</v>
      </c>
      <c r="C1157" s="16" t="s">
        <v>1252</v>
      </c>
      <c r="D1157" s="13">
        <v>7898215151760</v>
      </c>
    </row>
    <row r="1158" spans="1:4">
      <c r="A1158" s="70" t="s">
        <v>1247</v>
      </c>
      <c r="B1158" s="17" t="s">
        <v>2281</v>
      </c>
      <c r="C1158" s="16" t="s">
        <v>1258</v>
      </c>
      <c r="D1158" s="13">
        <v>7898215151920</v>
      </c>
    </row>
    <row r="1159" spans="1:4">
      <c r="A1159" s="70" t="s">
        <v>1247</v>
      </c>
      <c r="B1159" s="17" t="s">
        <v>2281</v>
      </c>
      <c r="C1159" s="16" t="s">
        <v>1258</v>
      </c>
      <c r="D1159" s="13">
        <v>7898215151739</v>
      </c>
    </row>
    <row r="1160" spans="1:4">
      <c r="A1160" s="70" t="s">
        <v>1247</v>
      </c>
      <c r="B1160" s="17" t="s">
        <v>2281</v>
      </c>
      <c r="C1160" s="16" t="s">
        <v>1253</v>
      </c>
      <c r="D1160" s="13">
        <v>7898215151890</v>
      </c>
    </row>
    <row r="1161" spans="1:4">
      <c r="A1161" s="70" t="s">
        <v>1247</v>
      </c>
      <c r="B1161" s="17" t="s">
        <v>2281</v>
      </c>
      <c r="C1161" s="16" t="s">
        <v>1253</v>
      </c>
      <c r="D1161" s="13">
        <v>7898215151678</v>
      </c>
    </row>
    <row r="1162" spans="1:4">
      <c r="A1162" s="70" t="s">
        <v>1247</v>
      </c>
      <c r="B1162" s="17" t="s">
        <v>2281</v>
      </c>
      <c r="C1162" s="16" t="s">
        <v>1253</v>
      </c>
      <c r="D1162" s="13">
        <v>7898215151708</v>
      </c>
    </row>
    <row r="1163" spans="1:4">
      <c r="A1163" s="70" t="s">
        <v>1247</v>
      </c>
      <c r="B1163" s="17" t="s">
        <v>2281</v>
      </c>
      <c r="C1163" s="16" t="s">
        <v>1259</v>
      </c>
      <c r="D1163" s="13">
        <v>7898215151906</v>
      </c>
    </row>
    <row r="1164" spans="1:4">
      <c r="A1164" s="70" t="s">
        <v>1247</v>
      </c>
      <c r="B1164" s="17" t="s">
        <v>2281</v>
      </c>
      <c r="C1164" s="16" t="s">
        <v>1259</v>
      </c>
      <c r="D1164" s="13">
        <v>7898215151715</v>
      </c>
    </row>
    <row r="1165" spans="1:4">
      <c r="A1165" s="70" t="s">
        <v>1247</v>
      </c>
      <c r="B1165" s="17" t="s">
        <v>2281</v>
      </c>
      <c r="C1165" s="16" t="s">
        <v>1254</v>
      </c>
      <c r="D1165" s="13">
        <v>7898215151913</v>
      </c>
    </row>
    <row r="1166" spans="1:4">
      <c r="A1166" s="70" t="s">
        <v>1247</v>
      </c>
      <c r="B1166" s="17" t="s">
        <v>2281</v>
      </c>
      <c r="C1166" s="16" t="s">
        <v>1254</v>
      </c>
      <c r="D1166" s="13">
        <v>7898215151685</v>
      </c>
    </row>
    <row r="1167" spans="1:4">
      <c r="A1167" s="70" t="s">
        <v>1247</v>
      </c>
      <c r="B1167" s="17" t="s">
        <v>2281</v>
      </c>
      <c r="C1167" s="16" t="s">
        <v>1254</v>
      </c>
      <c r="D1167" s="13">
        <v>7898215151722</v>
      </c>
    </row>
    <row r="1168" spans="1:4">
      <c r="A1168" s="70" t="s">
        <v>1247</v>
      </c>
      <c r="B1168" s="17" t="s">
        <v>2281</v>
      </c>
      <c r="C1168" s="16" t="s">
        <v>1260</v>
      </c>
      <c r="D1168" s="13">
        <v>7898215151944</v>
      </c>
    </row>
    <row r="1169" spans="1:4">
      <c r="A1169" s="70" t="s">
        <v>1247</v>
      </c>
      <c r="B1169" s="17" t="s">
        <v>2281</v>
      </c>
      <c r="C1169" s="16" t="s">
        <v>1260</v>
      </c>
      <c r="D1169" s="13">
        <v>7898215151777</v>
      </c>
    </row>
    <row r="1170" spans="1:4">
      <c r="A1170" s="70" t="s">
        <v>2761</v>
      </c>
      <c r="B1170" s="17" t="s">
        <v>2281</v>
      </c>
      <c r="C1170" s="16" t="s">
        <v>350</v>
      </c>
      <c r="D1170" s="13">
        <v>7898215152811</v>
      </c>
    </row>
    <row r="1171" spans="1:4">
      <c r="A1171" s="70" t="s">
        <v>2761</v>
      </c>
      <c r="B1171" s="17" t="s">
        <v>2281</v>
      </c>
      <c r="C1171" s="72" t="s">
        <v>1641</v>
      </c>
      <c r="D1171" s="75">
        <v>7898215153146</v>
      </c>
    </row>
    <row r="1172" spans="1:4">
      <c r="A1172" s="70" t="s">
        <v>2761</v>
      </c>
      <c r="B1172" s="17" t="s">
        <v>2281</v>
      </c>
      <c r="C1172" s="72" t="s">
        <v>1641</v>
      </c>
      <c r="D1172" s="75">
        <v>17898215152818</v>
      </c>
    </row>
    <row r="1173" spans="1:4">
      <c r="A1173" s="70" t="s">
        <v>993</v>
      </c>
      <c r="B1173" s="17" t="s">
        <v>2281</v>
      </c>
      <c r="C1173" s="16" t="s">
        <v>258</v>
      </c>
      <c r="D1173" s="13">
        <v>7896051128069</v>
      </c>
    </row>
    <row r="1174" spans="1:4">
      <c r="A1174" s="70" t="s">
        <v>993</v>
      </c>
      <c r="B1174" s="17" t="s">
        <v>2281</v>
      </c>
      <c r="C1174" s="16" t="s">
        <v>1017</v>
      </c>
      <c r="D1174" s="13">
        <v>7896051111764</v>
      </c>
    </row>
    <row r="1175" spans="1:4">
      <c r="A1175" s="70" t="s">
        <v>993</v>
      </c>
      <c r="B1175" s="17" t="s">
        <v>2281</v>
      </c>
      <c r="C1175" s="16" t="s">
        <v>1018</v>
      </c>
      <c r="D1175" s="13">
        <v>7896051128076</v>
      </c>
    </row>
    <row r="1176" spans="1:4">
      <c r="A1176" s="70" t="s">
        <v>873</v>
      </c>
      <c r="B1176" s="17" t="s">
        <v>2281</v>
      </c>
      <c r="C1176" s="16" t="s">
        <v>912</v>
      </c>
      <c r="D1176" s="13">
        <v>7898215157311</v>
      </c>
    </row>
    <row r="1177" spans="1:4">
      <c r="A1177" s="70" t="s">
        <v>873</v>
      </c>
      <c r="B1177" s="17" t="s">
        <v>2281</v>
      </c>
      <c r="C1177" s="16" t="s">
        <v>911</v>
      </c>
      <c r="D1177" s="13">
        <v>7898215157359</v>
      </c>
    </row>
    <row r="1178" spans="1:4">
      <c r="A1178" s="70" t="s">
        <v>873</v>
      </c>
      <c r="B1178" s="17" t="s">
        <v>2281</v>
      </c>
      <c r="C1178" s="16" t="s">
        <v>931</v>
      </c>
      <c r="D1178" s="13">
        <v>7891000076248</v>
      </c>
    </row>
    <row r="1179" spans="1:4">
      <c r="A1179" s="70" t="s">
        <v>873</v>
      </c>
      <c r="B1179" s="17" t="s">
        <v>2281</v>
      </c>
      <c r="C1179" s="16" t="s">
        <v>932</v>
      </c>
      <c r="D1179" s="13">
        <v>7891000106761</v>
      </c>
    </row>
    <row r="1180" spans="1:4">
      <c r="A1180" s="70" t="s">
        <v>873</v>
      </c>
      <c r="B1180" s="17" t="s">
        <v>2281</v>
      </c>
      <c r="C1180" s="16" t="s">
        <v>939</v>
      </c>
      <c r="D1180" s="13">
        <v>7891000106754</v>
      </c>
    </row>
    <row r="1181" spans="1:4">
      <c r="A1181" s="70" t="s">
        <v>873</v>
      </c>
      <c r="B1181" s="17" t="s">
        <v>2281</v>
      </c>
      <c r="C1181" s="16" t="s">
        <v>912</v>
      </c>
      <c r="D1181" s="13">
        <v>7891000076231</v>
      </c>
    </row>
    <row r="1182" spans="1:4">
      <c r="A1182" s="70" t="s">
        <v>873</v>
      </c>
      <c r="B1182" s="17" t="s">
        <v>2281</v>
      </c>
      <c r="C1182" s="16" t="s">
        <v>912</v>
      </c>
      <c r="D1182" s="13">
        <v>7898215157410</v>
      </c>
    </row>
    <row r="1183" spans="1:4">
      <c r="A1183" s="70" t="s">
        <v>873</v>
      </c>
      <c r="B1183" s="17" t="s">
        <v>2281</v>
      </c>
      <c r="C1183" s="16" t="s">
        <v>939</v>
      </c>
      <c r="D1183" s="13">
        <v>7898215157458</v>
      </c>
    </row>
    <row r="1184" spans="1:4">
      <c r="A1184" s="70" t="s">
        <v>879</v>
      </c>
      <c r="B1184" s="17" t="s">
        <v>2281</v>
      </c>
      <c r="C1184" s="16" t="s">
        <v>555</v>
      </c>
      <c r="D1184" s="13">
        <v>7898215157328</v>
      </c>
    </row>
    <row r="1185" spans="1:4">
      <c r="A1185" s="70" t="s">
        <v>879</v>
      </c>
      <c r="B1185" s="17" t="s">
        <v>2281</v>
      </c>
      <c r="C1185" s="16" t="s">
        <v>555</v>
      </c>
      <c r="D1185" s="13">
        <v>7891000076217</v>
      </c>
    </row>
    <row r="1186" spans="1:4">
      <c r="A1186" s="70" t="s">
        <v>879</v>
      </c>
      <c r="B1186" s="17" t="s">
        <v>2281</v>
      </c>
      <c r="C1186" s="16" t="s">
        <v>555</v>
      </c>
      <c r="D1186" s="13">
        <v>7898215157427</v>
      </c>
    </row>
    <row r="1187" spans="1:4">
      <c r="A1187" s="70" t="s">
        <v>879</v>
      </c>
      <c r="B1187" s="17" t="s">
        <v>2281</v>
      </c>
      <c r="C1187" s="16" t="s">
        <v>340</v>
      </c>
      <c r="D1187" s="13">
        <v>7898215157304</v>
      </c>
    </row>
    <row r="1188" spans="1:4">
      <c r="A1188" s="70" t="s">
        <v>879</v>
      </c>
      <c r="B1188" s="17" t="s">
        <v>2281</v>
      </c>
      <c r="C1188" s="16" t="s">
        <v>340</v>
      </c>
      <c r="D1188" s="13">
        <v>7898215157403</v>
      </c>
    </row>
    <row r="1189" spans="1:4">
      <c r="A1189" s="70" t="s">
        <v>879</v>
      </c>
      <c r="B1189" s="17" t="s">
        <v>2281</v>
      </c>
      <c r="C1189" s="16" t="s">
        <v>340</v>
      </c>
      <c r="D1189" s="13">
        <v>7891000066560</v>
      </c>
    </row>
    <row r="1190" spans="1:4">
      <c r="A1190" s="70" t="s">
        <v>879</v>
      </c>
      <c r="B1190" s="17" t="s">
        <v>2281</v>
      </c>
      <c r="C1190" s="16" t="s">
        <v>556</v>
      </c>
      <c r="D1190" s="13">
        <v>7898215157342</v>
      </c>
    </row>
    <row r="1191" spans="1:4">
      <c r="A1191" s="70" t="s">
        <v>879</v>
      </c>
      <c r="B1191" s="17" t="s">
        <v>2281</v>
      </c>
      <c r="C1191" s="16" t="s">
        <v>556</v>
      </c>
      <c r="D1191" s="13">
        <v>7891000066607</v>
      </c>
    </row>
    <row r="1192" spans="1:4">
      <c r="A1192" s="70" t="s">
        <v>879</v>
      </c>
      <c r="B1192" s="17" t="s">
        <v>2281</v>
      </c>
      <c r="C1192" s="16" t="s">
        <v>556</v>
      </c>
      <c r="D1192" s="13">
        <v>7898215157441</v>
      </c>
    </row>
    <row r="1193" spans="1:4">
      <c r="A1193" s="70" t="s">
        <v>879</v>
      </c>
      <c r="B1193" s="17" t="s">
        <v>2281</v>
      </c>
      <c r="C1193" s="72" t="s">
        <v>1107</v>
      </c>
      <c r="D1193" s="13">
        <v>7891000076224</v>
      </c>
    </row>
    <row r="1194" spans="1:4">
      <c r="A1194" s="70" t="s">
        <v>879</v>
      </c>
      <c r="B1194" s="17" t="s">
        <v>2281</v>
      </c>
      <c r="C1194" s="72" t="s">
        <v>3022</v>
      </c>
      <c r="D1194" s="13">
        <v>17898215157424</v>
      </c>
    </row>
    <row r="1195" spans="1:4">
      <c r="A1195" s="70" t="s">
        <v>879</v>
      </c>
      <c r="B1195" s="17" t="s">
        <v>2281</v>
      </c>
      <c r="C1195" s="72" t="s">
        <v>1108</v>
      </c>
      <c r="D1195" s="13">
        <v>7891000066577</v>
      </c>
    </row>
    <row r="1196" spans="1:4">
      <c r="A1196" s="70" t="s">
        <v>879</v>
      </c>
      <c r="B1196" s="17" t="s">
        <v>2281</v>
      </c>
      <c r="C1196" s="72" t="s">
        <v>3023</v>
      </c>
      <c r="D1196" s="13">
        <v>17898215157400</v>
      </c>
    </row>
    <row r="1197" spans="1:4">
      <c r="A1197" s="70" t="s">
        <v>879</v>
      </c>
      <c r="B1197" s="17" t="s">
        <v>2281</v>
      </c>
      <c r="C1197" s="72" t="s">
        <v>1109</v>
      </c>
      <c r="D1197" s="13">
        <v>7891000066614</v>
      </c>
    </row>
    <row r="1198" spans="1:4">
      <c r="A1198" s="70" t="s">
        <v>879</v>
      </c>
      <c r="B1198" s="17" t="s">
        <v>2281</v>
      </c>
      <c r="C1198" s="72" t="s">
        <v>3024</v>
      </c>
      <c r="D1198" s="13">
        <v>17898215157448</v>
      </c>
    </row>
    <row r="1199" spans="1:4">
      <c r="A1199" s="70" t="s">
        <v>1446</v>
      </c>
      <c r="B1199" s="17" t="s">
        <v>2281</v>
      </c>
      <c r="C1199" s="16" t="s">
        <v>340</v>
      </c>
      <c r="D1199" s="13">
        <v>7898215157304</v>
      </c>
    </row>
    <row r="1200" spans="1:4">
      <c r="A1200" s="70" t="s">
        <v>1446</v>
      </c>
      <c r="B1200" s="17" t="s">
        <v>2281</v>
      </c>
      <c r="C1200" s="16" t="s">
        <v>340</v>
      </c>
      <c r="D1200" s="13">
        <v>7898215157403</v>
      </c>
    </row>
    <row r="1201" spans="1:4">
      <c r="A1201" s="70" t="s">
        <v>1446</v>
      </c>
      <c r="B1201" s="17" t="s">
        <v>2281</v>
      </c>
      <c r="C1201" s="16" t="s">
        <v>340</v>
      </c>
      <c r="D1201" s="13">
        <v>7891000066560</v>
      </c>
    </row>
    <row r="1202" spans="1:4">
      <c r="A1202" s="70" t="s">
        <v>1446</v>
      </c>
      <c r="B1202" s="17" t="s">
        <v>2281</v>
      </c>
      <c r="C1202" s="16" t="s">
        <v>1108</v>
      </c>
      <c r="D1202" s="13">
        <v>7891000066577</v>
      </c>
    </row>
    <row r="1203" spans="1:4">
      <c r="A1203" s="70" t="s">
        <v>106</v>
      </c>
      <c r="B1203" s="17" t="s">
        <v>2281</v>
      </c>
      <c r="C1203" s="16" t="s">
        <v>340</v>
      </c>
      <c r="D1203" s="13">
        <v>7898215157403</v>
      </c>
    </row>
    <row r="1204" spans="1:4">
      <c r="A1204" s="70" t="s">
        <v>552</v>
      </c>
      <c r="B1204" s="17" t="s">
        <v>2281</v>
      </c>
      <c r="C1204" s="16" t="s">
        <v>556</v>
      </c>
      <c r="D1204" s="13">
        <v>7898215157342</v>
      </c>
    </row>
    <row r="1205" spans="1:4">
      <c r="A1205" s="70" t="s">
        <v>2072</v>
      </c>
      <c r="B1205" s="17" t="s">
        <v>2281</v>
      </c>
      <c r="C1205" s="16" t="s">
        <v>912</v>
      </c>
      <c r="D1205" s="13">
        <v>7898215157311</v>
      </c>
    </row>
    <row r="1206" spans="1:4">
      <c r="A1206" s="70" t="s">
        <v>2072</v>
      </c>
      <c r="B1206" s="17" t="s">
        <v>2281</v>
      </c>
      <c r="C1206" s="16" t="s">
        <v>912</v>
      </c>
      <c r="D1206" s="13">
        <v>7891000076231</v>
      </c>
    </row>
    <row r="1207" spans="1:4">
      <c r="A1207" s="70" t="s">
        <v>2072</v>
      </c>
      <c r="B1207" s="17" t="s">
        <v>2281</v>
      </c>
      <c r="C1207" s="16" t="s">
        <v>912</v>
      </c>
      <c r="D1207" s="13">
        <v>7898215157410</v>
      </c>
    </row>
    <row r="1208" spans="1:4">
      <c r="A1208" s="70" t="s">
        <v>2072</v>
      </c>
      <c r="B1208" s="17" t="s">
        <v>2281</v>
      </c>
      <c r="C1208" s="16" t="s">
        <v>2074</v>
      </c>
      <c r="D1208" s="13">
        <v>7898215157410</v>
      </c>
    </row>
    <row r="1209" spans="1:4">
      <c r="A1209" s="70" t="s">
        <v>1733</v>
      </c>
      <c r="B1209" s="17" t="s">
        <v>2281</v>
      </c>
      <c r="C1209" s="16" t="s">
        <v>912</v>
      </c>
      <c r="D1209" s="13">
        <v>7898215157311</v>
      </c>
    </row>
    <row r="1210" spans="1:4">
      <c r="A1210" s="70" t="s">
        <v>1733</v>
      </c>
      <c r="B1210" s="17" t="s">
        <v>2281</v>
      </c>
      <c r="C1210" s="16" t="s">
        <v>911</v>
      </c>
      <c r="D1210" s="13">
        <v>7898215157359</v>
      </c>
    </row>
    <row r="1211" spans="1:4">
      <c r="A1211" s="70" t="s">
        <v>1733</v>
      </c>
      <c r="B1211" s="17" t="s">
        <v>2281</v>
      </c>
      <c r="C1211" s="16" t="s">
        <v>2006</v>
      </c>
      <c r="D1211" s="13">
        <v>7891000076248</v>
      </c>
    </row>
    <row r="1212" spans="1:4">
      <c r="A1212" s="70" t="s">
        <v>1733</v>
      </c>
      <c r="B1212" s="17" t="s">
        <v>2281</v>
      </c>
      <c r="C1212" s="16" t="s">
        <v>2008</v>
      </c>
      <c r="D1212" s="13">
        <v>7891000106761</v>
      </c>
    </row>
    <row r="1213" spans="1:4">
      <c r="A1213" s="70" t="s">
        <v>1733</v>
      </c>
      <c r="B1213" s="17" t="s">
        <v>2281</v>
      </c>
      <c r="C1213" s="16" t="s">
        <v>2009</v>
      </c>
      <c r="D1213" s="13">
        <v>7898215157417</v>
      </c>
    </row>
    <row r="1214" spans="1:4">
      <c r="A1214" s="70" t="s">
        <v>1733</v>
      </c>
      <c r="B1214" s="17" t="s">
        <v>2281</v>
      </c>
      <c r="C1214" s="16" t="s">
        <v>939</v>
      </c>
      <c r="D1214" s="13">
        <v>7891000106754</v>
      </c>
    </row>
    <row r="1215" spans="1:4">
      <c r="A1215" s="70" t="s">
        <v>1733</v>
      </c>
      <c r="B1215" s="17" t="s">
        <v>2281</v>
      </c>
      <c r="C1215" s="16" t="s">
        <v>912</v>
      </c>
      <c r="D1215" s="13">
        <v>7891000076231</v>
      </c>
    </row>
    <row r="1216" spans="1:4">
      <c r="A1216" s="70" t="s">
        <v>1733</v>
      </c>
      <c r="B1216" s="17" t="s">
        <v>2281</v>
      </c>
      <c r="C1216" s="16" t="s">
        <v>912</v>
      </c>
      <c r="D1216" s="13">
        <v>7898215157410</v>
      </c>
    </row>
    <row r="1217" spans="1:4">
      <c r="A1217" s="70" t="s">
        <v>1733</v>
      </c>
      <c r="B1217" s="17" t="s">
        <v>2281</v>
      </c>
      <c r="C1217" s="16" t="s">
        <v>939</v>
      </c>
      <c r="D1217" s="13">
        <v>7898215157458</v>
      </c>
    </row>
    <row r="1218" spans="1:4">
      <c r="A1218" s="70" t="s">
        <v>2145</v>
      </c>
      <c r="B1218" s="17" t="s">
        <v>2285</v>
      </c>
      <c r="C1218" s="16" t="s">
        <v>2146</v>
      </c>
      <c r="D1218" s="13">
        <v>7896018700659</v>
      </c>
    </row>
    <row r="1219" spans="1:4">
      <c r="A1219" s="70" t="s">
        <v>2145</v>
      </c>
      <c r="B1219" s="17" t="s">
        <v>2285</v>
      </c>
      <c r="C1219" s="16" t="s">
        <v>2147</v>
      </c>
      <c r="D1219" s="13">
        <v>7896018700604</v>
      </c>
    </row>
    <row r="1220" spans="1:4">
      <c r="A1220" s="70" t="s">
        <v>1401</v>
      </c>
      <c r="B1220" s="17" t="s">
        <v>2284</v>
      </c>
      <c r="C1220" s="16" t="s">
        <v>1415</v>
      </c>
      <c r="D1220" s="13">
        <v>7896280400097</v>
      </c>
    </row>
    <row r="1221" spans="1:4">
      <c r="A1221" s="70" t="s">
        <v>1987</v>
      </c>
      <c r="B1221" s="17" t="s">
        <v>2283</v>
      </c>
      <c r="C1221" s="16" t="s">
        <v>1991</v>
      </c>
      <c r="D1221" s="13">
        <v>5011013100132</v>
      </c>
    </row>
    <row r="1222" spans="1:4">
      <c r="A1222" s="70" t="s">
        <v>1954</v>
      </c>
      <c r="B1222" s="17" t="s">
        <v>2286</v>
      </c>
      <c r="C1222" s="16" t="s">
        <v>1958</v>
      </c>
      <c r="D1222" s="13">
        <v>7896183301071</v>
      </c>
    </row>
    <row r="1223" spans="1:4">
      <c r="A1223" s="70" t="s">
        <v>1954</v>
      </c>
      <c r="B1223" s="17" t="s">
        <v>2286</v>
      </c>
      <c r="C1223" s="16" t="s">
        <v>1959</v>
      </c>
      <c r="D1223" s="13">
        <v>7896183301057</v>
      </c>
    </row>
    <row r="1224" spans="1:4">
      <c r="A1224" s="70" t="s">
        <v>1954</v>
      </c>
      <c r="B1224" s="17" t="s">
        <v>2286</v>
      </c>
      <c r="C1224" s="16" t="s">
        <v>1960</v>
      </c>
      <c r="D1224" s="13">
        <v>7896183301262</v>
      </c>
    </row>
    <row r="1225" spans="1:4">
      <c r="A1225" s="70" t="s">
        <v>1954</v>
      </c>
      <c r="B1225" s="17" t="s">
        <v>2286</v>
      </c>
      <c r="C1225" s="16" t="s">
        <v>1961</v>
      </c>
      <c r="D1225" s="13">
        <v>7896183301064</v>
      </c>
    </row>
    <row r="1226" spans="1:4">
      <c r="A1226" s="70" t="s">
        <v>1954</v>
      </c>
      <c r="B1226" s="17" t="s">
        <v>2286</v>
      </c>
      <c r="C1226" s="16" t="s">
        <v>1962</v>
      </c>
      <c r="D1226" s="13">
        <v>7896183305833</v>
      </c>
    </row>
    <row r="1227" spans="1:4">
      <c r="A1227" s="70" t="s">
        <v>528</v>
      </c>
      <c r="B1227" s="17" t="s">
        <v>3406</v>
      </c>
      <c r="C1227" s="16" t="s">
        <v>545</v>
      </c>
      <c r="D1227" s="13">
        <v>99042</v>
      </c>
    </row>
    <row r="1228" spans="1:4">
      <c r="A1228" s="70" t="s">
        <v>142</v>
      </c>
      <c r="B1228" s="17" t="s">
        <v>3406</v>
      </c>
      <c r="C1228" s="16" t="s">
        <v>142</v>
      </c>
      <c r="D1228" s="13">
        <v>99301</v>
      </c>
    </row>
    <row r="1229" spans="1:4">
      <c r="A1229" s="70" t="s">
        <v>836</v>
      </c>
      <c r="B1229" s="17" t="s">
        <v>3406</v>
      </c>
      <c r="C1229" s="16" t="s">
        <v>863</v>
      </c>
      <c r="D1229" s="13">
        <v>99721</v>
      </c>
    </row>
    <row r="1230" spans="1:4">
      <c r="A1230" s="70" t="s">
        <v>318</v>
      </c>
      <c r="B1230" s="17" t="s">
        <v>3406</v>
      </c>
      <c r="C1230" s="16" t="s">
        <v>320</v>
      </c>
      <c r="D1230" s="13">
        <v>99240</v>
      </c>
    </row>
    <row r="1231" spans="1:4">
      <c r="A1231" s="70" t="s">
        <v>317</v>
      </c>
      <c r="B1231" s="17" t="s">
        <v>2282</v>
      </c>
      <c r="C1231" s="16" t="s">
        <v>335</v>
      </c>
      <c r="D1231" s="13">
        <v>7894904204557</v>
      </c>
    </row>
    <row r="1232" spans="1:4">
      <c r="A1232" s="70" t="s">
        <v>49</v>
      </c>
      <c r="B1232" s="17" t="s">
        <v>3406</v>
      </c>
      <c r="C1232" s="16" t="s">
        <v>376</v>
      </c>
      <c r="D1232" s="13">
        <v>99073</v>
      </c>
    </row>
    <row r="1233" spans="1:4">
      <c r="A1233" s="70" t="s">
        <v>1935</v>
      </c>
      <c r="B1233" s="17" t="s">
        <v>3406</v>
      </c>
      <c r="C1233" s="16" t="s">
        <v>3377</v>
      </c>
      <c r="D1233" s="13">
        <v>99318</v>
      </c>
    </row>
    <row r="1234" spans="1:4">
      <c r="A1234" s="70" t="s">
        <v>103</v>
      </c>
      <c r="B1234" s="17" t="s">
        <v>3406</v>
      </c>
      <c r="C1234" s="16" t="s">
        <v>103</v>
      </c>
      <c r="D1234" s="13">
        <v>99738</v>
      </c>
    </row>
    <row r="1235" spans="1:4">
      <c r="A1235" s="70" t="s">
        <v>2275</v>
      </c>
      <c r="B1235" s="17" t="s">
        <v>3406</v>
      </c>
      <c r="C1235" s="16" t="s">
        <v>1490</v>
      </c>
      <c r="D1235" s="13">
        <v>99257</v>
      </c>
    </row>
    <row r="1236" spans="1:4">
      <c r="A1236" s="70" t="s">
        <v>457</v>
      </c>
      <c r="B1236" s="17" t="s">
        <v>2285</v>
      </c>
      <c r="C1236" s="16" t="s">
        <v>462</v>
      </c>
      <c r="D1236" s="13">
        <v>7896044995777</v>
      </c>
    </row>
    <row r="1237" spans="1:4">
      <c r="A1237" s="70" t="s">
        <v>457</v>
      </c>
      <c r="B1237" s="17" t="s">
        <v>2285</v>
      </c>
      <c r="C1237" s="16" t="s">
        <v>463</v>
      </c>
      <c r="D1237" s="13">
        <v>7896044954545</v>
      </c>
    </row>
    <row r="1238" spans="1:4">
      <c r="A1238" s="70" t="s">
        <v>457</v>
      </c>
      <c r="B1238" s="17" t="s">
        <v>2285</v>
      </c>
      <c r="C1238" s="16" t="s">
        <v>464</v>
      </c>
      <c r="D1238" s="13">
        <v>7896044956372</v>
      </c>
    </row>
    <row r="1239" spans="1:4">
      <c r="A1239" s="70" t="s">
        <v>457</v>
      </c>
      <c r="B1239" s="17" t="s">
        <v>2285</v>
      </c>
      <c r="C1239" s="16" t="s">
        <v>465</v>
      </c>
      <c r="D1239" s="13">
        <v>7896044954521</v>
      </c>
    </row>
    <row r="1240" spans="1:4">
      <c r="A1240" s="70" t="s">
        <v>457</v>
      </c>
      <c r="B1240" s="17" t="s">
        <v>2285</v>
      </c>
      <c r="C1240" s="16" t="s">
        <v>466</v>
      </c>
      <c r="D1240" s="13">
        <v>7896044954552</v>
      </c>
    </row>
    <row r="1241" spans="1:4">
      <c r="A1241" s="70" t="s">
        <v>457</v>
      </c>
      <c r="B1241" s="17" t="s">
        <v>2285</v>
      </c>
      <c r="C1241" s="16" t="s">
        <v>467</v>
      </c>
      <c r="D1241" s="13">
        <v>7896044996828</v>
      </c>
    </row>
    <row r="1242" spans="1:4">
      <c r="A1242" s="70" t="s">
        <v>457</v>
      </c>
      <c r="B1242" s="17" t="s">
        <v>2285</v>
      </c>
      <c r="C1242" s="16" t="s">
        <v>468</v>
      </c>
      <c r="D1242" s="13">
        <v>7896044954538</v>
      </c>
    </row>
    <row r="1243" spans="1:4">
      <c r="A1243" s="70" t="s">
        <v>457</v>
      </c>
      <c r="B1243" s="17" t="s">
        <v>2285</v>
      </c>
      <c r="C1243" s="16" t="s">
        <v>484</v>
      </c>
      <c r="D1243" s="13">
        <v>7896044954569</v>
      </c>
    </row>
    <row r="1244" spans="1:4">
      <c r="A1244" s="70" t="s">
        <v>457</v>
      </c>
      <c r="B1244" s="17" t="s">
        <v>2285</v>
      </c>
      <c r="C1244" s="16" t="s">
        <v>485</v>
      </c>
      <c r="D1244" s="13">
        <v>7896044960164</v>
      </c>
    </row>
    <row r="1245" spans="1:4">
      <c r="A1245" s="70" t="s">
        <v>2830</v>
      </c>
      <c r="B1245" s="17" t="s">
        <v>2284</v>
      </c>
      <c r="C1245" s="16" t="s">
        <v>1093</v>
      </c>
      <c r="D1245" s="13">
        <v>7896022204174</v>
      </c>
    </row>
    <row r="1246" spans="1:4">
      <c r="A1246" s="70" t="s">
        <v>2830</v>
      </c>
      <c r="B1246" s="17" t="s">
        <v>2284</v>
      </c>
      <c r="C1246" s="16" t="s">
        <v>1094</v>
      </c>
      <c r="D1246" s="13">
        <v>7896022204150</v>
      </c>
    </row>
    <row r="1247" spans="1:4">
      <c r="A1247" s="70" t="s">
        <v>2830</v>
      </c>
      <c r="B1247" s="17" t="s">
        <v>2284</v>
      </c>
      <c r="C1247" s="16" t="s">
        <v>1095</v>
      </c>
      <c r="D1247" s="13">
        <v>7896022204143</v>
      </c>
    </row>
    <row r="1248" spans="1:4">
      <c r="A1248" s="70" t="s">
        <v>1280</v>
      </c>
      <c r="B1248" s="17" t="s">
        <v>2284</v>
      </c>
      <c r="C1248" s="16" t="s">
        <v>302</v>
      </c>
      <c r="D1248" s="13">
        <v>7896022202996</v>
      </c>
    </row>
    <row r="1249" spans="1:4">
      <c r="A1249" s="70" t="s">
        <v>1280</v>
      </c>
      <c r="B1249" s="17" t="s">
        <v>2284</v>
      </c>
      <c r="C1249" s="16" t="s">
        <v>303</v>
      </c>
      <c r="D1249" s="13">
        <v>7896022200879</v>
      </c>
    </row>
    <row r="1250" spans="1:4">
      <c r="A1250" s="70" t="s">
        <v>1280</v>
      </c>
      <c r="B1250" s="17" t="s">
        <v>2284</v>
      </c>
      <c r="C1250" s="16" t="s">
        <v>304</v>
      </c>
      <c r="D1250" s="13">
        <v>7896022202972</v>
      </c>
    </row>
    <row r="1251" spans="1:4">
      <c r="A1251" s="70" t="s">
        <v>1280</v>
      </c>
      <c r="B1251" s="17" t="s">
        <v>2284</v>
      </c>
      <c r="C1251" s="16" t="s">
        <v>305</v>
      </c>
      <c r="D1251" s="13">
        <v>7896022202989</v>
      </c>
    </row>
    <row r="1252" spans="1:4">
      <c r="A1252" s="70" t="s">
        <v>1280</v>
      </c>
      <c r="B1252" s="17" t="s">
        <v>2284</v>
      </c>
      <c r="C1252" s="16" t="s">
        <v>306</v>
      </c>
      <c r="D1252" s="13">
        <v>7896022203443</v>
      </c>
    </row>
    <row r="1253" spans="1:4">
      <c r="A1253" s="70" t="s">
        <v>965</v>
      </c>
      <c r="B1253" s="17" t="s">
        <v>2284</v>
      </c>
      <c r="C1253" s="16" t="s">
        <v>981</v>
      </c>
      <c r="D1253" s="13">
        <v>7896232111842</v>
      </c>
    </row>
    <row r="1254" spans="1:4">
      <c r="A1254" s="70" t="s">
        <v>965</v>
      </c>
      <c r="B1254" s="17" t="s">
        <v>2284</v>
      </c>
      <c r="C1254" s="16" t="s">
        <v>982</v>
      </c>
      <c r="D1254" s="13">
        <v>7896232111828</v>
      </c>
    </row>
    <row r="1255" spans="1:4">
      <c r="A1255" s="70" t="s">
        <v>965</v>
      </c>
      <c r="B1255" s="17" t="s">
        <v>2284</v>
      </c>
      <c r="C1255" s="16" t="s">
        <v>983</v>
      </c>
      <c r="D1255" s="13">
        <v>7896232111804</v>
      </c>
    </row>
    <row r="1256" spans="1:4">
      <c r="A1256" s="70" t="s">
        <v>965</v>
      </c>
      <c r="B1256" s="17" t="s">
        <v>2284</v>
      </c>
      <c r="C1256" s="16" t="s">
        <v>984</v>
      </c>
      <c r="D1256" s="13">
        <v>7896232111811</v>
      </c>
    </row>
    <row r="1257" spans="1:4">
      <c r="A1257" s="70" t="s">
        <v>965</v>
      </c>
      <c r="B1257" s="17" t="s">
        <v>2284</v>
      </c>
      <c r="C1257" s="16" t="s">
        <v>985</v>
      </c>
      <c r="D1257" s="13">
        <v>7896232111835</v>
      </c>
    </row>
    <row r="1258" spans="1:4">
      <c r="A1258" s="70" t="s">
        <v>965</v>
      </c>
      <c r="B1258" s="17" t="s">
        <v>2284</v>
      </c>
      <c r="C1258" s="16" t="s">
        <v>986</v>
      </c>
      <c r="D1258" s="13">
        <v>7896232115802</v>
      </c>
    </row>
    <row r="1259" spans="1:4">
      <c r="A1259" s="70" t="s">
        <v>965</v>
      </c>
      <c r="B1259" s="17" t="s">
        <v>2284</v>
      </c>
      <c r="C1259" s="16" t="s">
        <v>987</v>
      </c>
      <c r="D1259" s="13">
        <v>7896232113464</v>
      </c>
    </row>
    <row r="1260" spans="1:4">
      <c r="A1260" s="70" t="s">
        <v>965</v>
      </c>
      <c r="B1260" s="17" t="s">
        <v>2284</v>
      </c>
      <c r="C1260" s="16" t="s">
        <v>988</v>
      </c>
      <c r="D1260" s="13">
        <v>7896232113488</v>
      </c>
    </row>
    <row r="1261" spans="1:4">
      <c r="A1261" s="70" t="s">
        <v>965</v>
      </c>
      <c r="B1261" s="17" t="s">
        <v>2284</v>
      </c>
      <c r="C1261" s="16" t="s">
        <v>989</v>
      </c>
      <c r="D1261" s="13">
        <v>7896232113471</v>
      </c>
    </row>
    <row r="1262" spans="1:4">
      <c r="A1262" s="70" t="s">
        <v>965</v>
      </c>
      <c r="B1262" s="17" t="s">
        <v>2284</v>
      </c>
      <c r="C1262" s="16" t="s">
        <v>990</v>
      </c>
      <c r="D1262" s="13">
        <v>7896232113457</v>
      </c>
    </row>
    <row r="1263" spans="1:4">
      <c r="A1263" s="70" t="s">
        <v>311</v>
      </c>
      <c r="B1263" s="17" t="s">
        <v>2284</v>
      </c>
      <c r="C1263" s="16" t="s">
        <v>314</v>
      </c>
      <c r="D1263" s="13">
        <v>7896022202811</v>
      </c>
    </row>
    <row r="1264" spans="1:4">
      <c r="A1264" s="70" t="s">
        <v>32</v>
      </c>
      <c r="B1264" s="17" t="s">
        <v>2284</v>
      </c>
      <c r="C1264" s="16" t="s">
        <v>1064</v>
      </c>
      <c r="D1264" s="13">
        <v>7896022204129</v>
      </c>
    </row>
    <row r="1265" spans="1:4">
      <c r="A1265" s="70" t="s">
        <v>659</v>
      </c>
      <c r="B1265" s="17" t="s">
        <v>2284</v>
      </c>
      <c r="C1265" s="16" t="s">
        <v>387</v>
      </c>
      <c r="D1265" s="13">
        <v>7896022201944</v>
      </c>
    </row>
    <row r="1266" spans="1:4">
      <c r="A1266" s="70" t="s">
        <v>659</v>
      </c>
      <c r="B1266" s="17" t="s">
        <v>2284</v>
      </c>
      <c r="C1266" s="16" t="s">
        <v>388</v>
      </c>
      <c r="D1266" s="13">
        <v>7896022201906</v>
      </c>
    </row>
    <row r="1267" spans="1:4">
      <c r="A1267" s="70" t="s">
        <v>659</v>
      </c>
      <c r="B1267" s="17" t="s">
        <v>2284</v>
      </c>
      <c r="C1267" s="16" t="s">
        <v>389</v>
      </c>
      <c r="D1267" s="13">
        <v>7896022201869</v>
      </c>
    </row>
    <row r="1268" spans="1:4">
      <c r="A1268" s="70" t="s">
        <v>659</v>
      </c>
      <c r="B1268" s="17" t="s">
        <v>2284</v>
      </c>
      <c r="C1268" s="16" t="s">
        <v>390</v>
      </c>
      <c r="D1268" s="13">
        <v>7896022201852</v>
      </c>
    </row>
    <row r="1269" spans="1:4">
      <c r="A1269" s="70" t="s">
        <v>659</v>
      </c>
      <c r="B1269" s="17" t="s">
        <v>2284</v>
      </c>
      <c r="C1269" s="16" t="s">
        <v>391</v>
      </c>
      <c r="D1269" s="13">
        <v>7896022201913</v>
      </c>
    </row>
    <row r="1270" spans="1:4">
      <c r="A1270" s="70" t="s">
        <v>659</v>
      </c>
      <c r="B1270" s="17" t="s">
        <v>2284</v>
      </c>
      <c r="C1270" s="16" t="s">
        <v>392</v>
      </c>
      <c r="D1270" s="13">
        <v>7896022201890</v>
      </c>
    </row>
    <row r="1271" spans="1:4">
      <c r="A1271" s="70" t="s">
        <v>659</v>
      </c>
      <c r="B1271" s="17" t="s">
        <v>2284</v>
      </c>
      <c r="C1271" s="16" t="s">
        <v>410</v>
      </c>
      <c r="D1271" s="13">
        <v>7896022200909</v>
      </c>
    </row>
    <row r="1272" spans="1:4">
      <c r="A1272" s="70" t="s">
        <v>659</v>
      </c>
      <c r="B1272" s="17" t="s">
        <v>2284</v>
      </c>
      <c r="C1272" s="16" t="s">
        <v>393</v>
      </c>
      <c r="D1272" s="13">
        <v>7896022201937</v>
      </c>
    </row>
    <row r="1273" spans="1:4">
      <c r="A1273" s="70" t="s">
        <v>659</v>
      </c>
      <c r="B1273" s="17" t="s">
        <v>2284</v>
      </c>
      <c r="C1273" s="16" t="s">
        <v>416</v>
      </c>
      <c r="D1273" s="13">
        <v>7896022203146</v>
      </c>
    </row>
    <row r="1274" spans="1:4">
      <c r="A1274" s="70" t="s">
        <v>659</v>
      </c>
      <c r="B1274" s="17" t="s">
        <v>2284</v>
      </c>
      <c r="C1274" s="16" t="s">
        <v>411</v>
      </c>
      <c r="D1274" s="13">
        <v>7896022203849</v>
      </c>
    </row>
    <row r="1275" spans="1:4">
      <c r="A1275" s="70" t="s">
        <v>659</v>
      </c>
      <c r="B1275" s="17" t="s">
        <v>2284</v>
      </c>
      <c r="C1275" s="16" t="s">
        <v>412</v>
      </c>
      <c r="D1275" s="13">
        <v>7896022203122</v>
      </c>
    </row>
    <row r="1276" spans="1:4">
      <c r="A1276" s="70" t="s">
        <v>659</v>
      </c>
      <c r="B1276" s="17" t="s">
        <v>2284</v>
      </c>
      <c r="C1276" s="16" t="s">
        <v>413</v>
      </c>
      <c r="D1276" s="13">
        <v>7896022203139</v>
      </c>
    </row>
    <row r="1277" spans="1:4">
      <c r="A1277" s="70" t="s">
        <v>659</v>
      </c>
      <c r="B1277" s="17" t="s">
        <v>2284</v>
      </c>
      <c r="C1277" s="16" t="s">
        <v>414</v>
      </c>
      <c r="D1277" s="13">
        <v>7896022204006</v>
      </c>
    </row>
    <row r="1278" spans="1:4">
      <c r="A1278" s="70" t="s">
        <v>659</v>
      </c>
      <c r="B1278" s="17" t="s">
        <v>2284</v>
      </c>
      <c r="C1278" s="16" t="s">
        <v>415</v>
      </c>
      <c r="D1278" s="13">
        <v>7896022202101</v>
      </c>
    </row>
    <row r="1279" spans="1:4">
      <c r="A1279" s="70" t="s">
        <v>460</v>
      </c>
      <c r="B1279" s="17" t="s">
        <v>2284</v>
      </c>
      <c r="C1279" s="16" t="s">
        <v>483</v>
      </c>
      <c r="D1279" s="13">
        <v>7896022200282</v>
      </c>
    </row>
    <row r="1280" spans="1:4">
      <c r="A1280" s="70" t="s">
        <v>460</v>
      </c>
      <c r="B1280" s="17" t="s">
        <v>2284</v>
      </c>
      <c r="C1280" s="16" t="s">
        <v>482</v>
      </c>
      <c r="D1280" s="13">
        <v>7896022200275</v>
      </c>
    </row>
    <row r="1281" spans="1:4">
      <c r="A1281" s="70" t="s">
        <v>460</v>
      </c>
      <c r="B1281" s="17" t="s">
        <v>2284</v>
      </c>
      <c r="C1281" s="16" t="s">
        <v>481</v>
      </c>
      <c r="D1281" s="13">
        <v>7896022205478</v>
      </c>
    </row>
    <row r="1282" spans="1:4">
      <c r="A1282" s="70" t="s">
        <v>460</v>
      </c>
      <c r="B1282" s="17" t="s">
        <v>2284</v>
      </c>
      <c r="C1282" s="16" t="s">
        <v>480</v>
      </c>
      <c r="D1282" s="13">
        <v>7896022200206</v>
      </c>
    </row>
    <row r="1283" spans="1:4">
      <c r="A1283" s="70" t="s">
        <v>1923</v>
      </c>
      <c r="B1283" s="17" t="s">
        <v>2284</v>
      </c>
      <c r="C1283" s="16" t="s">
        <v>1928</v>
      </c>
      <c r="D1283" s="13">
        <v>7896022200022</v>
      </c>
    </row>
    <row r="1284" spans="1:4">
      <c r="A1284" s="70" t="s">
        <v>1923</v>
      </c>
      <c r="B1284" s="17" t="s">
        <v>2284</v>
      </c>
      <c r="C1284" s="16" t="s">
        <v>1929</v>
      </c>
      <c r="D1284" s="13">
        <v>7896022202606</v>
      </c>
    </row>
    <row r="1285" spans="1:4">
      <c r="A1285" s="70" t="s">
        <v>1923</v>
      </c>
      <c r="B1285" s="17" t="s">
        <v>2284</v>
      </c>
      <c r="C1285" s="16" t="s">
        <v>1930</v>
      </c>
      <c r="D1285" s="13">
        <v>7896022200039</v>
      </c>
    </row>
    <row r="1286" spans="1:4">
      <c r="A1286" s="70" t="s">
        <v>1923</v>
      </c>
      <c r="B1286" s="17" t="s">
        <v>2284</v>
      </c>
      <c r="C1286" s="16" t="s">
        <v>1931</v>
      </c>
      <c r="D1286" s="13">
        <v>7896022202620</v>
      </c>
    </row>
    <row r="1287" spans="1:4">
      <c r="A1287" s="70" t="s">
        <v>1923</v>
      </c>
      <c r="B1287" s="17" t="s">
        <v>2284</v>
      </c>
      <c r="C1287" s="16" t="s">
        <v>1932</v>
      </c>
      <c r="D1287" s="13">
        <v>7896022200046</v>
      </c>
    </row>
    <row r="1288" spans="1:4">
      <c r="A1288" s="70" t="s">
        <v>75</v>
      </c>
      <c r="B1288" s="17" t="s">
        <v>2284</v>
      </c>
      <c r="C1288" s="16" t="s">
        <v>332</v>
      </c>
      <c r="D1288" s="13">
        <v>7896239821256</v>
      </c>
    </row>
    <row r="1289" spans="1:4">
      <c r="A1289" s="70" t="s">
        <v>75</v>
      </c>
      <c r="B1289" s="17" t="s">
        <v>2284</v>
      </c>
      <c r="C1289" s="16" t="s">
        <v>331</v>
      </c>
      <c r="D1289" s="13">
        <v>7896239820525</v>
      </c>
    </row>
    <row r="1290" spans="1:4">
      <c r="A1290" s="70" t="s">
        <v>75</v>
      </c>
      <c r="B1290" s="17" t="s">
        <v>2284</v>
      </c>
      <c r="C1290" s="16" t="s">
        <v>330</v>
      </c>
      <c r="D1290" s="13">
        <v>7896239821249</v>
      </c>
    </row>
    <row r="1291" spans="1:4">
      <c r="A1291" s="70" t="s">
        <v>75</v>
      </c>
      <c r="B1291" s="17" t="s">
        <v>2284</v>
      </c>
      <c r="C1291" s="16" t="s">
        <v>329</v>
      </c>
      <c r="D1291" s="13">
        <v>7896239821119</v>
      </c>
    </row>
    <row r="1292" spans="1:4">
      <c r="A1292" s="70" t="s">
        <v>144</v>
      </c>
      <c r="B1292" s="17" t="s">
        <v>2284</v>
      </c>
      <c r="C1292" s="16" t="s">
        <v>257</v>
      </c>
      <c r="D1292" s="13">
        <v>7897517205560</v>
      </c>
    </row>
    <row r="1293" spans="1:4">
      <c r="A1293" s="70" t="s">
        <v>1065</v>
      </c>
      <c r="B1293" s="17" t="s">
        <v>2284</v>
      </c>
      <c r="C1293" s="16" t="s">
        <v>1461</v>
      </c>
      <c r="D1293" s="13">
        <v>7894000050034</v>
      </c>
    </row>
    <row r="1294" spans="1:4">
      <c r="A1294" s="70" t="s">
        <v>137</v>
      </c>
      <c r="B1294" s="17" t="s">
        <v>2284</v>
      </c>
      <c r="C1294" s="16" t="s">
        <v>137</v>
      </c>
      <c r="D1294" s="13">
        <v>7891031412176</v>
      </c>
    </row>
    <row r="1295" spans="1:4">
      <c r="A1295" s="70" t="s">
        <v>2193</v>
      </c>
      <c r="B1295" s="17" t="s">
        <v>2284</v>
      </c>
      <c r="C1295" s="16" t="s">
        <v>2222</v>
      </c>
      <c r="D1295" s="13">
        <v>7896036091326</v>
      </c>
    </row>
    <row r="1296" spans="1:4">
      <c r="A1296" s="70" t="s">
        <v>601</v>
      </c>
      <c r="B1296" s="17" t="s">
        <v>2284</v>
      </c>
      <c r="C1296" s="16" t="s">
        <v>625</v>
      </c>
      <c r="D1296" s="13">
        <v>7891999004888</v>
      </c>
    </row>
    <row r="1297" spans="1:4">
      <c r="A1297" s="70" t="s">
        <v>1255</v>
      </c>
      <c r="B1297" s="17" t="s">
        <v>2288</v>
      </c>
      <c r="C1297" s="16" t="s">
        <v>1256</v>
      </c>
      <c r="D1297" s="13">
        <v>7898908207514</v>
      </c>
    </row>
    <row r="1298" spans="1:4">
      <c r="A1298" s="70" t="s">
        <v>1255</v>
      </c>
      <c r="B1298" s="17" t="s">
        <v>2288</v>
      </c>
      <c r="C1298" s="16" t="s">
        <v>1257</v>
      </c>
      <c r="D1298" s="13">
        <v>7898908207521</v>
      </c>
    </row>
    <row r="1299" spans="1:4">
      <c r="A1299" s="70" t="s">
        <v>1255</v>
      </c>
      <c r="B1299" s="17" t="s">
        <v>2288</v>
      </c>
      <c r="C1299" s="16" t="s">
        <v>1356</v>
      </c>
      <c r="D1299" s="13">
        <v>7898908207590</v>
      </c>
    </row>
    <row r="1300" spans="1:4">
      <c r="A1300" s="70" t="s">
        <v>1255</v>
      </c>
      <c r="B1300" s="17" t="s">
        <v>2288</v>
      </c>
      <c r="C1300" s="16" t="s">
        <v>1357</v>
      </c>
      <c r="D1300" s="13">
        <v>7898908207606</v>
      </c>
    </row>
    <row r="1301" spans="1:4">
      <c r="A1301" s="70" t="s">
        <v>1216</v>
      </c>
      <c r="B1301" s="17" t="s">
        <v>2288</v>
      </c>
      <c r="C1301" s="16" t="s">
        <v>1225</v>
      </c>
      <c r="D1301" s="13">
        <v>7896238101229</v>
      </c>
    </row>
    <row r="1302" spans="1:4">
      <c r="A1302" s="70" t="s">
        <v>1216</v>
      </c>
      <c r="B1302" s="17" t="s">
        <v>2288</v>
      </c>
      <c r="C1302" s="16" t="s">
        <v>1226</v>
      </c>
      <c r="D1302" s="13">
        <v>7896238101236</v>
      </c>
    </row>
    <row r="1303" spans="1:4">
      <c r="A1303" s="70" t="s">
        <v>1944</v>
      </c>
      <c r="B1303" s="17" t="s">
        <v>2288</v>
      </c>
      <c r="C1303" s="16" t="s">
        <v>1946</v>
      </c>
      <c r="D1303" s="13">
        <v>7891080400087</v>
      </c>
    </row>
    <row r="1304" spans="1:4">
      <c r="A1304" s="70" t="s">
        <v>1944</v>
      </c>
      <c r="B1304" s="17" t="s">
        <v>2288</v>
      </c>
      <c r="C1304" s="16" t="s">
        <v>1947</v>
      </c>
      <c r="D1304" s="13">
        <v>7891080400070</v>
      </c>
    </row>
    <row r="1305" spans="1:4">
      <c r="A1305" s="70" t="s">
        <v>17</v>
      </c>
      <c r="B1305" s="17" t="s">
        <v>2288</v>
      </c>
      <c r="C1305" s="16" t="s">
        <v>275</v>
      </c>
      <c r="D1305" s="13">
        <v>7894904571956</v>
      </c>
    </row>
    <row r="1306" spans="1:4">
      <c r="A1306" s="70" t="s">
        <v>17</v>
      </c>
      <c r="B1306" s="17" t="s">
        <v>2288</v>
      </c>
      <c r="C1306" s="16" t="s">
        <v>276</v>
      </c>
      <c r="D1306" s="13">
        <v>7894904571963</v>
      </c>
    </row>
    <row r="1307" spans="1:4">
      <c r="A1307" s="70" t="s">
        <v>453</v>
      </c>
      <c r="B1307" s="17" t="s">
        <v>2288</v>
      </c>
      <c r="C1307" s="16" t="s">
        <v>451</v>
      </c>
      <c r="D1307" s="13">
        <v>7893000383005</v>
      </c>
    </row>
    <row r="1308" spans="1:4">
      <c r="A1308" s="70" t="s">
        <v>453</v>
      </c>
      <c r="B1308" s="17" t="s">
        <v>2288</v>
      </c>
      <c r="C1308" s="16" t="s">
        <v>452</v>
      </c>
      <c r="D1308" s="13">
        <v>7893000394209</v>
      </c>
    </row>
    <row r="1309" spans="1:4">
      <c r="A1309" s="70" t="s">
        <v>48</v>
      </c>
      <c r="B1309" s="17" t="s">
        <v>2288</v>
      </c>
      <c r="C1309" s="16" t="s">
        <v>787</v>
      </c>
      <c r="D1309" s="13">
        <v>7891999011039</v>
      </c>
    </row>
    <row r="1310" spans="1:4">
      <c r="A1310" s="70" t="s">
        <v>48</v>
      </c>
      <c r="B1310" s="17" t="s">
        <v>2288</v>
      </c>
      <c r="C1310" s="16" t="s">
        <v>2616</v>
      </c>
      <c r="D1310" s="13">
        <v>7891999010995</v>
      </c>
    </row>
    <row r="1311" spans="1:4">
      <c r="A1311" s="70" t="s">
        <v>1693</v>
      </c>
      <c r="B1311" s="17" t="s">
        <v>2282</v>
      </c>
      <c r="C1311" s="16" t="s">
        <v>1698</v>
      </c>
      <c r="D1311" s="13">
        <v>7898123800026</v>
      </c>
    </row>
    <row r="1312" spans="1:4">
      <c r="A1312" s="70" t="s">
        <v>806</v>
      </c>
      <c r="B1312" s="17" t="s">
        <v>2288</v>
      </c>
      <c r="C1312" s="16" t="s">
        <v>807</v>
      </c>
      <c r="D1312" s="13">
        <v>7896002364546</v>
      </c>
    </row>
    <row r="1313" spans="1:4">
      <c r="A1313" s="70" t="s">
        <v>806</v>
      </c>
      <c r="B1313" s="17" t="s">
        <v>2288</v>
      </c>
      <c r="C1313" s="16" t="s">
        <v>808</v>
      </c>
      <c r="D1313" s="13">
        <v>7896002365420</v>
      </c>
    </row>
    <row r="1314" spans="1:4">
      <c r="A1314" s="70" t="s">
        <v>806</v>
      </c>
      <c r="B1314" s="17" t="s">
        <v>2288</v>
      </c>
      <c r="C1314" s="16" t="s">
        <v>809</v>
      </c>
      <c r="D1314" s="13">
        <v>7896002363792</v>
      </c>
    </row>
    <row r="1315" spans="1:4">
      <c r="A1315" s="70" t="s">
        <v>488</v>
      </c>
      <c r="B1315" s="17" t="s">
        <v>2284</v>
      </c>
      <c r="C1315" s="16" t="s">
        <v>511</v>
      </c>
      <c r="D1315" s="13">
        <v>7891095006984</v>
      </c>
    </row>
    <row r="1316" spans="1:4">
      <c r="A1316" s="70" t="s">
        <v>110</v>
      </c>
      <c r="B1316" s="17" t="s">
        <v>2284</v>
      </c>
      <c r="C1316" s="16" t="s">
        <v>380</v>
      </c>
      <c r="D1316" s="13">
        <v>7896280400707</v>
      </c>
    </row>
    <row r="1317" spans="1:4">
      <c r="A1317" s="70" t="s">
        <v>417</v>
      </c>
      <c r="B1317" s="17" t="s">
        <v>2284</v>
      </c>
      <c r="C1317" s="16" t="s">
        <v>426</v>
      </c>
      <c r="D1317" s="13">
        <v>7897517209391</v>
      </c>
    </row>
    <row r="1318" spans="1:4">
      <c r="A1318" s="70" t="s">
        <v>2261</v>
      </c>
      <c r="B1318" s="17" t="s">
        <v>2284</v>
      </c>
      <c r="C1318" s="16" t="s">
        <v>426</v>
      </c>
      <c r="D1318" s="13">
        <v>7897517209391</v>
      </c>
    </row>
    <row r="1319" spans="1:4">
      <c r="A1319" s="70" t="s">
        <v>1812</v>
      </c>
      <c r="B1319" s="17" t="s">
        <v>2284</v>
      </c>
      <c r="C1319" s="16" t="s">
        <v>1826</v>
      </c>
      <c r="D1319" s="13">
        <v>7897517209544</v>
      </c>
    </row>
    <row r="1320" spans="1:4">
      <c r="A1320" s="70" t="s">
        <v>804</v>
      </c>
      <c r="B1320" s="17" t="s">
        <v>2284</v>
      </c>
      <c r="C1320" s="16" t="s">
        <v>805</v>
      </c>
      <c r="D1320" s="13">
        <v>7897517209025</v>
      </c>
    </row>
    <row r="1321" spans="1:4">
      <c r="A1321" s="70" t="s">
        <v>434</v>
      </c>
      <c r="B1321" s="17" t="s">
        <v>2284</v>
      </c>
      <c r="C1321" s="16" t="s">
        <v>438</v>
      </c>
      <c r="D1321" s="13">
        <v>7896292340503</v>
      </c>
    </row>
    <row r="1322" spans="1:4">
      <c r="A1322" s="70" t="s">
        <v>817</v>
      </c>
      <c r="B1322" s="17" t="s">
        <v>2281</v>
      </c>
      <c r="C1322" s="16" t="s">
        <v>818</v>
      </c>
      <c r="D1322" s="13">
        <v>7896534401085</v>
      </c>
    </row>
    <row r="1323" spans="1:4">
      <c r="A1323" s="70" t="s">
        <v>456</v>
      </c>
      <c r="B1323" s="17" t="s">
        <v>2281</v>
      </c>
      <c r="C1323" s="16" t="s">
        <v>469</v>
      </c>
      <c r="D1323" s="13">
        <v>7896534401092</v>
      </c>
    </row>
    <row r="1324" spans="1:4">
      <c r="A1324" s="70" t="s">
        <v>456</v>
      </c>
      <c r="B1324" s="17" t="s">
        <v>2281</v>
      </c>
      <c r="C1324" s="16" t="s">
        <v>470</v>
      </c>
      <c r="D1324" s="13">
        <v>7896534404260</v>
      </c>
    </row>
    <row r="1325" spans="1:4">
      <c r="A1325" s="70" t="s">
        <v>456</v>
      </c>
      <c r="B1325" s="17" t="s">
        <v>2281</v>
      </c>
      <c r="C1325" s="16" t="s">
        <v>471</v>
      </c>
      <c r="D1325" s="13">
        <v>7896534401078</v>
      </c>
    </row>
    <row r="1326" spans="1:4">
      <c r="A1326" s="70" t="s">
        <v>456</v>
      </c>
      <c r="B1326" s="17" t="s">
        <v>2281</v>
      </c>
      <c r="C1326" s="16" t="s">
        <v>472</v>
      </c>
      <c r="D1326" s="13">
        <v>7896534404246</v>
      </c>
    </row>
    <row r="1327" spans="1:4">
      <c r="A1327" s="70" t="s">
        <v>456</v>
      </c>
      <c r="B1327" s="17" t="s">
        <v>2281</v>
      </c>
      <c r="C1327" s="16" t="s">
        <v>473</v>
      </c>
      <c r="D1327" s="13">
        <v>7896534401061</v>
      </c>
    </row>
    <row r="1328" spans="1:4">
      <c r="A1328" s="70" t="s">
        <v>456</v>
      </c>
      <c r="B1328" s="17" t="s">
        <v>2281</v>
      </c>
      <c r="C1328" s="16" t="s">
        <v>474</v>
      </c>
      <c r="D1328" s="13">
        <v>7896534401054</v>
      </c>
    </row>
    <row r="1329" spans="1:4">
      <c r="A1329" s="70" t="s">
        <v>1361</v>
      </c>
      <c r="B1329" s="17" t="s">
        <v>2281</v>
      </c>
      <c r="C1329" s="16" t="s">
        <v>1377</v>
      </c>
      <c r="D1329" s="13">
        <v>7896022204808</v>
      </c>
    </row>
    <row r="1330" spans="1:4">
      <c r="A1330" s="70" t="s">
        <v>1361</v>
      </c>
      <c r="B1330" s="17" t="s">
        <v>2281</v>
      </c>
      <c r="C1330" s="16" t="s">
        <v>1378</v>
      </c>
      <c r="D1330" s="13">
        <v>7896022204921</v>
      </c>
    </row>
    <row r="1331" spans="1:4">
      <c r="A1331" s="70" t="s">
        <v>1361</v>
      </c>
      <c r="B1331" s="17" t="s">
        <v>2281</v>
      </c>
      <c r="C1331" s="16" t="s">
        <v>1379</v>
      </c>
      <c r="D1331" s="13">
        <v>7896022204198</v>
      </c>
    </row>
    <row r="1332" spans="1:4">
      <c r="A1332" s="70" t="s">
        <v>1361</v>
      </c>
      <c r="B1332" s="17" t="s">
        <v>2281</v>
      </c>
      <c r="C1332" s="16" t="s">
        <v>1380</v>
      </c>
      <c r="D1332" s="13">
        <v>7896022204914</v>
      </c>
    </row>
    <row r="1333" spans="1:4">
      <c r="A1333" s="70" t="s">
        <v>1361</v>
      </c>
      <c r="B1333" s="17" t="s">
        <v>2281</v>
      </c>
      <c r="C1333" s="16" t="s">
        <v>1381</v>
      </c>
      <c r="D1333" s="13">
        <v>7896022204228</v>
      </c>
    </row>
    <row r="1334" spans="1:4">
      <c r="A1334" s="70" t="s">
        <v>1361</v>
      </c>
      <c r="B1334" s="17" t="s">
        <v>2281</v>
      </c>
      <c r="C1334" s="16" t="s">
        <v>1382</v>
      </c>
      <c r="D1334" s="13">
        <v>7896022204815</v>
      </c>
    </row>
    <row r="1335" spans="1:4">
      <c r="A1335" s="70" t="s">
        <v>1361</v>
      </c>
      <c r="B1335" s="17" t="s">
        <v>2281</v>
      </c>
      <c r="C1335" s="16" t="s">
        <v>1383</v>
      </c>
      <c r="D1335" s="13">
        <v>7896022204204</v>
      </c>
    </row>
    <row r="1336" spans="1:4">
      <c r="A1336" s="70" t="s">
        <v>1361</v>
      </c>
      <c r="B1336" s="17" t="s">
        <v>2281</v>
      </c>
      <c r="C1336" s="16" t="s">
        <v>1384</v>
      </c>
      <c r="D1336" s="13">
        <v>7896022204211</v>
      </c>
    </row>
    <row r="1337" spans="1:4">
      <c r="A1337" s="70" t="s">
        <v>1361</v>
      </c>
      <c r="B1337" s="17" t="s">
        <v>2281</v>
      </c>
      <c r="C1337" s="16" t="s">
        <v>1385</v>
      </c>
      <c r="D1337" s="13">
        <v>7896022204259</v>
      </c>
    </row>
    <row r="1338" spans="1:4">
      <c r="A1338" s="70" t="s">
        <v>1805</v>
      </c>
      <c r="B1338" s="17" t="s">
        <v>2284</v>
      </c>
      <c r="C1338" s="16" t="s">
        <v>1806</v>
      </c>
      <c r="D1338" s="13">
        <v>7897517206086</v>
      </c>
    </row>
    <row r="1339" spans="1:4">
      <c r="A1339" s="70" t="s">
        <v>35</v>
      </c>
      <c r="B1339" s="17" t="s">
        <v>2281</v>
      </c>
      <c r="C1339" s="16" t="s">
        <v>253</v>
      </c>
      <c r="D1339" s="13">
        <v>7897517206086</v>
      </c>
    </row>
    <row r="1340" spans="1:4">
      <c r="A1340" s="70" t="s">
        <v>1674</v>
      </c>
      <c r="B1340" s="17" t="s">
        <v>2284</v>
      </c>
      <c r="C1340" s="16" t="s">
        <v>1677</v>
      </c>
      <c r="D1340" s="13">
        <v>7891032015727</v>
      </c>
    </row>
    <row r="1341" spans="1:4">
      <c r="A1341" s="70" t="s">
        <v>1965</v>
      </c>
      <c r="B1341" s="17" t="s">
        <v>2284</v>
      </c>
      <c r="C1341" s="16" t="s">
        <v>1950</v>
      </c>
      <c r="D1341" s="13">
        <v>7896292333000</v>
      </c>
    </row>
    <row r="1342" spans="1:4">
      <c r="A1342" s="70" t="s">
        <v>1965</v>
      </c>
      <c r="B1342" s="17" t="s">
        <v>2284</v>
      </c>
      <c r="C1342" s="16" t="s">
        <v>336</v>
      </c>
      <c r="D1342" s="13">
        <v>7896292303003</v>
      </c>
    </row>
    <row r="1343" spans="1:4">
      <c r="A1343" s="70" t="s">
        <v>945</v>
      </c>
      <c r="B1343" s="17" t="s">
        <v>2284</v>
      </c>
      <c r="C1343" s="16" t="s">
        <v>949</v>
      </c>
      <c r="D1343" s="13">
        <v>7896292313330</v>
      </c>
    </row>
    <row r="1344" spans="1:4">
      <c r="A1344" s="70" t="s">
        <v>665</v>
      </c>
      <c r="B1344" s="17" t="s">
        <v>2287</v>
      </c>
      <c r="C1344" s="16" t="s">
        <v>666</v>
      </c>
      <c r="D1344" s="13">
        <v>7897753669461</v>
      </c>
    </row>
    <row r="1345" spans="1:4">
      <c r="A1345" s="70" t="s">
        <v>1281</v>
      </c>
      <c r="B1345" s="17" t="s">
        <v>2287</v>
      </c>
      <c r="C1345" s="16" t="s">
        <v>1282</v>
      </c>
      <c r="D1345" s="13">
        <v>7896001000612</v>
      </c>
    </row>
    <row r="1346" spans="1:4">
      <c r="A1346" s="70" t="s">
        <v>1463</v>
      </c>
      <c r="B1346" s="17" t="s">
        <v>3406</v>
      </c>
      <c r="C1346" s="16" t="s">
        <v>2495</v>
      </c>
      <c r="D1346" s="13">
        <v>98229</v>
      </c>
    </row>
    <row r="1347" spans="1:4">
      <c r="A1347" s="70" t="s">
        <v>1463</v>
      </c>
      <c r="B1347" s="17" t="s">
        <v>3406</v>
      </c>
      <c r="C1347" s="16" t="s">
        <v>3094</v>
      </c>
      <c r="D1347" s="13">
        <v>98366</v>
      </c>
    </row>
    <row r="1348" spans="1:4">
      <c r="A1348" s="70" t="s">
        <v>1313</v>
      </c>
      <c r="B1348" s="17" t="s">
        <v>2283</v>
      </c>
      <c r="C1348" s="16" t="s">
        <v>1345</v>
      </c>
      <c r="D1348" s="13">
        <v>7896288970738</v>
      </c>
    </row>
    <row r="1349" spans="1:4">
      <c r="A1349" s="70" t="s">
        <v>1313</v>
      </c>
      <c r="B1349" s="17" t="s">
        <v>2283</v>
      </c>
      <c r="C1349" s="16" t="s">
        <v>1346</v>
      </c>
      <c r="D1349" s="13">
        <v>7896288970646</v>
      </c>
    </row>
    <row r="1350" spans="1:4">
      <c r="A1350" s="70" t="s">
        <v>1313</v>
      </c>
      <c r="B1350" s="17" t="s">
        <v>2283</v>
      </c>
      <c r="C1350" s="16" t="s">
        <v>1347</v>
      </c>
      <c r="D1350" s="13">
        <v>7896288970561</v>
      </c>
    </row>
    <row r="1351" spans="1:4">
      <c r="A1351" s="70" t="s">
        <v>1313</v>
      </c>
      <c r="B1351" s="17" t="s">
        <v>2283</v>
      </c>
      <c r="C1351" s="16" t="s">
        <v>1348</v>
      </c>
      <c r="D1351" s="13">
        <v>7896288970806</v>
      </c>
    </row>
    <row r="1352" spans="1:4">
      <c r="A1352" s="70" t="s">
        <v>1313</v>
      </c>
      <c r="B1352" s="17" t="s">
        <v>2283</v>
      </c>
      <c r="C1352" s="16" t="s">
        <v>1349</v>
      </c>
      <c r="D1352" s="13">
        <v>7896288970226</v>
      </c>
    </row>
    <row r="1353" spans="1:4">
      <c r="A1353" s="70" t="s">
        <v>1313</v>
      </c>
      <c r="B1353" s="17" t="s">
        <v>2283</v>
      </c>
      <c r="C1353" s="16" t="s">
        <v>1350</v>
      </c>
      <c r="D1353" s="13">
        <v>7896288970813</v>
      </c>
    </row>
    <row r="1354" spans="1:4">
      <c r="A1354" s="70" t="s">
        <v>1313</v>
      </c>
      <c r="B1354" s="17" t="s">
        <v>2283</v>
      </c>
      <c r="C1354" s="16" t="s">
        <v>1351</v>
      </c>
      <c r="D1354" s="13">
        <v>7896288970134</v>
      </c>
    </row>
    <row r="1355" spans="1:4">
      <c r="A1355" s="70" t="s">
        <v>1313</v>
      </c>
      <c r="B1355" s="17" t="s">
        <v>2283</v>
      </c>
      <c r="C1355" s="16" t="s">
        <v>1352</v>
      </c>
      <c r="D1355" s="13">
        <v>7896288970820</v>
      </c>
    </row>
    <row r="1356" spans="1:4">
      <c r="A1356" s="70" t="s">
        <v>1363</v>
      </c>
      <c r="B1356" s="17" t="s">
        <v>2283</v>
      </c>
      <c r="C1356" s="16" t="s">
        <v>1390</v>
      </c>
      <c r="D1356" s="13">
        <v>7896288960265</v>
      </c>
    </row>
    <row r="1357" spans="1:4">
      <c r="A1357" s="70" t="s">
        <v>1363</v>
      </c>
      <c r="B1357" s="17" t="s">
        <v>2283</v>
      </c>
      <c r="C1357" s="16" t="s">
        <v>1391</v>
      </c>
      <c r="D1357" s="13">
        <v>7896288960173</v>
      </c>
    </row>
    <row r="1358" spans="1:4">
      <c r="A1358" s="70" t="s">
        <v>1363</v>
      </c>
      <c r="B1358" s="17" t="s">
        <v>2283</v>
      </c>
      <c r="C1358" s="16" t="s">
        <v>1392</v>
      </c>
      <c r="D1358" s="13">
        <v>7896288960753</v>
      </c>
    </row>
    <row r="1359" spans="1:4">
      <c r="A1359" s="70" t="s">
        <v>1363</v>
      </c>
      <c r="B1359" s="17" t="s">
        <v>2283</v>
      </c>
      <c r="C1359" s="16" t="s">
        <v>1393</v>
      </c>
      <c r="D1359" s="13">
        <v>7896288960500</v>
      </c>
    </row>
    <row r="1360" spans="1:4">
      <c r="A1360" s="70" t="s">
        <v>1363</v>
      </c>
      <c r="B1360" s="17" t="s">
        <v>2283</v>
      </c>
      <c r="C1360" s="16" t="s">
        <v>1394</v>
      </c>
      <c r="D1360" s="13">
        <v>7896288960685</v>
      </c>
    </row>
    <row r="1361" spans="1:4">
      <c r="A1361" s="70" t="s">
        <v>1363</v>
      </c>
      <c r="B1361" s="17" t="s">
        <v>2283</v>
      </c>
      <c r="C1361" s="16" t="s">
        <v>1395</v>
      </c>
      <c r="D1361" s="13">
        <v>7896288960760</v>
      </c>
    </row>
    <row r="1362" spans="1:4">
      <c r="A1362" s="70" t="s">
        <v>1363</v>
      </c>
      <c r="B1362" s="17" t="s">
        <v>2283</v>
      </c>
      <c r="C1362" s="16" t="s">
        <v>1396</v>
      </c>
      <c r="D1362" s="13">
        <v>7896288960746</v>
      </c>
    </row>
    <row r="1363" spans="1:4">
      <c r="A1363" s="70" t="s">
        <v>1363</v>
      </c>
      <c r="B1363" s="17" t="s">
        <v>2283</v>
      </c>
      <c r="C1363" s="16" t="s">
        <v>1397</v>
      </c>
      <c r="D1363" s="13">
        <v>7896288960852</v>
      </c>
    </row>
    <row r="1364" spans="1:4">
      <c r="A1364" s="70" t="s">
        <v>76</v>
      </c>
      <c r="B1364" s="17" t="s">
        <v>2281</v>
      </c>
      <c r="C1364" s="16" t="s">
        <v>837</v>
      </c>
      <c r="D1364" s="13">
        <v>7613033279461</v>
      </c>
    </row>
    <row r="1365" spans="1:4">
      <c r="A1365" s="70" t="s">
        <v>76</v>
      </c>
      <c r="B1365" s="17" t="s">
        <v>2281</v>
      </c>
      <c r="C1365" s="16" t="s">
        <v>838</v>
      </c>
      <c r="D1365" s="13">
        <v>7501059273276</v>
      </c>
    </row>
    <row r="1366" spans="1:4">
      <c r="A1366" s="70" t="s">
        <v>76</v>
      </c>
      <c r="B1366" s="17" t="s">
        <v>2281</v>
      </c>
      <c r="C1366" s="16" t="s">
        <v>2538</v>
      </c>
      <c r="D1366" s="13">
        <v>7891000360781</v>
      </c>
    </row>
    <row r="1367" spans="1:4">
      <c r="A1367" s="70" t="s">
        <v>76</v>
      </c>
      <c r="B1367" s="17" t="s">
        <v>2281</v>
      </c>
      <c r="C1367" s="16" t="s">
        <v>839</v>
      </c>
      <c r="D1367" s="13">
        <v>7613034735034</v>
      </c>
    </row>
    <row r="1368" spans="1:4">
      <c r="A1368" s="70" t="s">
        <v>76</v>
      </c>
      <c r="B1368" s="17" t="s">
        <v>2281</v>
      </c>
      <c r="C1368" s="16" t="s">
        <v>840</v>
      </c>
      <c r="D1368" s="13">
        <v>7501059273283</v>
      </c>
    </row>
    <row r="1369" spans="1:4">
      <c r="A1369" s="70" t="s">
        <v>76</v>
      </c>
      <c r="B1369" s="17" t="s">
        <v>2281</v>
      </c>
      <c r="C1369" s="16" t="s">
        <v>841</v>
      </c>
      <c r="D1369" s="13">
        <v>7501059273252</v>
      </c>
    </row>
    <row r="1370" spans="1:4">
      <c r="A1370" s="70" t="s">
        <v>76</v>
      </c>
      <c r="B1370" s="17" t="s">
        <v>2281</v>
      </c>
      <c r="C1370" s="16" t="s">
        <v>842</v>
      </c>
      <c r="D1370" s="13">
        <v>7613033026720</v>
      </c>
    </row>
    <row r="1371" spans="1:4">
      <c r="A1371" s="70" t="s">
        <v>76</v>
      </c>
      <c r="B1371" s="17" t="s">
        <v>2281</v>
      </c>
      <c r="C1371" s="16" t="s">
        <v>1486</v>
      </c>
      <c r="D1371" s="13">
        <v>7891000302644</v>
      </c>
    </row>
    <row r="1372" spans="1:4">
      <c r="A1372" s="70" t="s">
        <v>76</v>
      </c>
      <c r="B1372" s="17" t="s">
        <v>2281</v>
      </c>
      <c r="C1372" s="16" t="s">
        <v>1487</v>
      </c>
      <c r="D1372" s="13">
        <v>7891000299098</v>
      </c>
    </row>
    <row r="1373" spans="1:4">
      <c r="A1373" s="70" t="s">
        <v>76</v>
      </c>
      <c r="B1373" s="17" t="s">
        <v>2281</v>
      </c>
      <c r="C1373" s="16" t="s">
        <v>1488</v>
      </c>
      <c r="D1373" s="13">
        <v>7613032396350</v>
      </c>
    </row>
    <row r="1374" spans="1:4">
      <c r="A1374" s="70" t="s">
        <v>76</v>
      </c>
      <c r="B1374" s="17" t="s">
        <v>2281</v>
      </c>
      <c r="C1374" s="16" t="s">
        <v>843</v>
      </c>
      <c r="D1374" s="13">
        <v>7613031526406</v>
      </c>
    </row>
    <row r="1375" spans="1:4">
      <c r="A1375" s="70" t="s">
        <v>76</v>
      </c>
      <c r="B1375" s="17" t="s">
        <v>2281</v>
      </c>
      <c r="C1375" s="16" t="s">
        <v>844</v>
      </c>
      <c r="D1375" s="13">
        <v>7501059273269</v>
      </c>
    </row>
    <row r="1376" spans="1:4">
      <c r="A1376" s="70" t="s">
        <v>76</v>
      </c>
      <c r="B1376" s="17" t="s">
        <v>2281</v>
      </c>
      <c r="C1376" s="16" t="s">
        <v>845</v>
      </c>
      <c r="D1376" s="13">
        <v>7501059273245</v>
      </c>
    </row>
    <row r="1377" spans="1:4">
      <c r="A1377" s="70" t="s">
        <v>76</v>
      </c>
      <c r="B1377" s="17" t="s">
        <v>2281</v>
      </c>
      <c r="C1377" s="16" t="s">
        <v>846</v>
      </c>
      <c r="D1377" s="13">
        <v>7891000118924</v>
      </c>
    </row>
    <row r="1378" spans="1:4">
      <c r="A1378" s="70" t="s">
        <v>76</v>
      </c>
      <c r="B1378" s="17" t="s">
        <v>2281</v>
      </c>
      <c r="C1378" s="16" t="s">
        <v>847</v>
      </c>
      <c r="D1378" s="13">
        <v>7613035177611</v>
      </c>
    </row>
    <row r="1379" spans="1:4">
      <c r="A1379" s="70" t="s">
        <v>76</v>
      </c>
      <c r="B1379" s="17" t="s">
        <v>2281</v>
      </c>
      <c r="C1379" s="16" t="s">
        <v>848</v>
      </c>
      <c r="D1379" s="13">
        <v>7613035260566</v>
      </c>
    </row>
    <row r="1380" spans="1:4">
      <c r="A1380" s="70" t="s">
        <v>76</v>
      </c>
      <c r="B1380" s="17" t="s">
        <v>2281</v>
      </c>
      <c r="C1380" s="16" t="s">
        <v>864</v>
      </c>
      <c r="D1380" s="13">
        <v>7613033174728</v>
      </c>
    </row>
    <row r="1381" spans="1:4">
      <c r="A1381" s="70" t="s">
        <v>76</v>
      </c>
      <c r="B1381" s="17" t="s">
        <v>2281</v>
      </c>
      <c r="C1381" s="16" t="s">
        <v>865</v>
      </c>
      <c r="D1381" s="13">
        <v>7891000256510</v>
      </c>
    </row>
    <row r="1382" spans="1:4">
      <c r="A1382" s="70" t="s">
        <v>76</v>
      </c>
      <c r="B1382" s="17" t="s">
        <v>2281</v>
      </c>
      <c r="C1382" s="16" t="s">
        <v>849</v>
      </c>
      <c r="D1382" s="13">
        <v>7613035260771</v>
      </c>
    </row>
    <row r="1383" spans="1:4">
      <c r="A1383" s="70" t="s">
        <v>76</v>
      </c>
      <c r="B1383" s="17" t="s">
        <v>2281</v>
      </c>
      <c r="C1383" s="16" t="s">
        <v>1877</v>
      </c>
      <c r="D1383" s="13">
        <v>7891000951378</v>
      </c>
    </row>
    <row r="1384" spans="1:4">
      <c r="A1384" s="70" t="s">
        <v>76</v>
      </c>
      <c r="B1384" s="17" t="s">
        <v>2281</v>
      </c>
      <c r="C1384" s="16" t="s">
        <v>1878</v>
      </c>
      <c r="D1384" s="13">
        <v>7891000302606</v>
      </c>
    </row>
    <row r="1385" spans="1:4">
      <c r="A1385" s="70" t="s">
        <v>76</v>
      </c>
      <c r="B1385" s="17" t="s">
        <v>2281</v>
      </c>
      <c r="C1385" s="16" t="s">
        <v>2483</v>
      </c>
      <c r="D1385" s="13">
        <v>7891000355848</v>
      </c>
    </row>
    <row r="1386" spans="1:4">
      <c r="A1386" s="70" t="s">
        <v>76</v>
      </c>
      <c r="B1386" s="17" t="s">
        <v>2281</v>
      </c>
      <c r="C1386" s="16" t="s">
        <v>2471</v>
      </c>
      <c r="D1386" s="13">
        <v>7891000600641</v>
      </c>
    </row>
    <row r="1387" spans="1:4">
      <c r="A1387" s="70" t="s">
        <v>76</v>
      </c>
      <c r="B1387" s="17" t="s">
        <v>2281</v>
      </c>
      <c r="C1387" s="16" t="s">
        <v>870</v>
      </c>
      <c r="D1387" s="13">
        <v>7891000291900</v>
      </c>
    </row>
    <row r="1388" spans="1:4">
      <c r="A1388" s="70" t="s">
        <v>76</v>
      </c>
      <c r="B1388" s="17" t="s">
        <v>2281</v>
      </c>
      <c r="C1388" s="16" t="s">
        <v>850</v>
      </c>
      <c r="D1388" s="13">
        <v>7501059273597</v>
      </c>
    </row>
    <row r="1389" spans="1:4">
      <c r="A1389" s="70" t="s">
        <v>1702</v>
      </c>
      <c r="B1389" s="17" t="s">
        <v>2284</v>
      </c>
      <c r="C1389" s="16" t="s">
        <v>1703</v>
      </c>
      <c r="D1389" s="13">
        <v>7896036096437</v>
      </c>
    </row>
    <row r="1390" spans="1:4">
      <c r="A1390" s="70" t="s">
        <v>2242</v>
      </c>
      <c r="B1390" s="17" t="s">
        <v>2284</v>
      </c>
      <c r="C1390" s="16" t="s">
        <v>2248</v>
      </c>
      <c r="D1390" s="13">
        <v>7896036098325</v>
      </c>
    </row>
    <row r="1391" spans="1:4">
      <c r="A1391" s="70" t="s">
        <v>1706</v>
      </c>
      <c r="B1391" s="17" t="s">
        <v>2280</v>
      </c>
      <c r="C1391" s="16" t="s">
        <v>1708</v>
      </c>
      <c r="D1391" s="13">
        <v>7896036090626</v>
      </c>
    </row>
    <row r="1392" spans="1:4">
      <c r="A1392" s="70" t="s">
        <v>1053</v>
      </c>
      <c r="B1392" s="17" t="s">
        <v>2280</v>
      </c>
      <c r="C1392" s="16" t="s">
        <v>1069</v>
      </c>
      <c r="D1392" s="13">
        <v>7898247780266</v>
      </c>
    </row>
    <row r="1393" spans="1:4">
      <c r="A1393" s="70" t="s">
        <v>140</v>
      </c>
      <c r="B1393" s="17" t="s">
        <v>2281</v>
      </c>
      <c r="C1393" s="16" t="s">
        <v>140</v>
      </c>
      <c r="D1393" s="13">
        <v>7896256041668</v>
      </c>
    </row>
    <row r="1394" spans="1:4">
      <c r="A1394" s="70" t="s">
        <v>1690</v>
      </c>
      <c r="B1394" s="17" t="s">
        <v>2280</v>
      </c>
      <c r="C1394" s="16" t="s">
        <v>1701</v>
      </c>
      <c r="D1394" s="13">
        <v>7896036090602</v>
      </c>
    </row>
    <row r="1395" spans="1:4">
      <c r="A1395" s="70" t="s">
        <v>109</v>
      </c>
      <c r="B1395" s="17" t="s">
        <v>2280</v>
      </c>
      <c r="C1395" s="16" t="s">
        <v>337</v>
      </c>
      <c r="D1395" s="13">
        <v>7896036098721</v>
      </c>
    </row>
    <row r="1396" spans="1:4">
      <c r="A1396" s="70" t="s">
        <v>384</v>
      </c>
      <c r="B1396" s="17" t="s">
        <v>2280</v>
      </c>
      <c r="C1396" s="16" t="s">
        <v>396</v>
      </c>
      <c r="D1396" s="13">
        <v>7898247780242</v>
      </c>
    </row>
    <row r="1397" spans="1:4">
      <c r="A1397" s="70" t="s">
        <v>1853</v>
      </c>
      <c r="B1397" s="17" t="s">
        <v>2280</v>
      </c>
      <c r="C1397" s="16" t="s">
        <v>1856</v>
      </c>
      <c r="D1397" s="13">
        <v>7896036090619</v>
      </c>
    </row>
    <row r="1398" spans="1:4">
      <c r="A1398" s="70" t="s">
        <v>46</v>
      </c>
      <c r="B1398" s="17" t="s">
        <v>2280</v>
      </c>
      <c r="C1398" s="16" t="s">
        <v>349</v>
      </c>
      <c r="D1398" s="13">
        <v>7896036098608</v>
      </c>
    </row>
    <row r="1399" spans="1:4">
      <c r="A1399" s="70" t="s">
        <v>27</v>
      </c>
      <c r="B1399" s="17" t="s">
        <v>2280</v>
      </c>
      <c r="C1399" s="16" t="s">
        <v>1689</v>
      </c>
      <c r="D1399" s="13">
        <v>7898247780075</v>
      </c>
    </row>
    <row r="1400" spans="1:4">
      <c r="A1400" s="70" t="s">
        <v>124</v>
      </c>
      <c r="B1400" s="17" t="s">
        <v>2284</v>
      </c>
      <c r="C1400" s="16" t="s">
        <v>252</v>
      </c>
      <c r="D1400" s="13">
        <v>7896036090244</v>
      </c>
    </row>
    <row r="1401" spans="1:4">
      <c r="A1401" s="70" t="s">
        <v>3031</v>
      </c>
      <c r="B1401" s="17" t="s">
        <v>2280</v>
      </c>
      <c r="C1401" s="16" t="s">
        <v>407</v>
      </c>
      <c r="D1401" s="13">
        <v>7896277400055</v>
      </c>
    </row>
    <row r="1402" spans="1:4">
      <c r="A1402" s="70" t="s">
        <v>3031</v>
      </c>
      <c r="B1402" s="17" t="s">
        <v>2280</v>
      </c>
      <c r="C1402" s="16" t="s">
        <v>407</v>
      </c>
      <c r="D1402" s="13">
        <v>7896223709423</v>
      </c>
    </row>
    <row r="1403" spans="1:4">
      <c r="A1403" s="70" t="s">
        <v>1129</v>
      </c>
      <c r="B1403" s="17" t="s">
        <v>2299</v>
      </c>
      <c r="C1403" s="16" t="s">
        <v>1131</v>
      </c>
      <c r="D1403" s="13">
        <v>7898926529674</v>
      </c>
    </row>
    <row r="1404" spans="1:4">
      <c r="A1404" s="70" t="s">
        <v>1129</v>
      </c>
      <c r="B1404" s="17" t="s">
        <v>2299</v>
      </c>
      <c r="C1404" s="16" t="s">
        <v>1131</v>
      </c>
      <c r="D1404" s="13">
        <v>7898951441224</v>
      </c>
    </row>
    <row r="1405" spans="1:4" ht="30">
      <c r="A1405" s="70" t="s">
        <v>1604</v>
      </c>
      <c r="B1405" s="17" t="s">
        <v>2281</v>
      </c>
      <c r="C1405" s="16" t="s">
        <v>1614</v>
      </c>
      <c r="D1405" s="13">
        <v>7898142864955</v>
      </c>
    </row>
    <row r="1406" spans="1:4" ht="30">
      <c r="A1406" s="70" t="s">
        <v>1604</v>
      </c>
      <c r="B1406" s="17" t="s">
        <v>2281</v>
      </c>
      <c r="C1406" s="16" t="s">
        <v>339</v>
      </c>
      <c r="D1406" s="13">
        <v>7898142864849</v>
      </c>
    </row>
    <row r="1407" spans="1:4" ht="30">
      <c r="A1407" s="70" t="s">
        <v>1604</v>
      </c>
      <c r="B1407" s="17" t="s">
        <v>2281</v>
      </c>
      <c r="C1407" s="16" t="s">
        <v>1615</v>
      </c>
      <c r="D1407" s="13">
        <v>7898142864924</v>
      </c>
    </row>
    <row r="1408" spans="1:4" ht="30">
      <c r="A1408" s="70" t="s">
        <v>1604</v>
      </c>
      <c r="B1408" s="17" t="s">
        <v>2281</v>
      </c>
      <c r="C1408" s="16" t="s">
        <v>1616</v>
      </c>
      <c r="D1408" s="13">
        <v>7898142864863</v>
      </c>
    </row>
    <row r="1409" spans="1:4" ht="30">
      <c r="A1409" s="70" t="s">
        <v>1604</v>
      </c>
      <c r="B1409" s="17" t="s">
        <v>2281</v>
      </c>
      <c r="C1409" s="16" t="s">
        <v>1617</v>
      </c>
      <c r="D1409" s="13">
        <v>7898142864931</v>
      </c>
    </row>
    <row r="1410" spans="1:4" ht="30">
      <c r="A1410" s="70" t="s">
        <v>1604</v>
      </c>
      <c r="B1410" s="17" t="s">
        <v>2281</v>
      </c>
      <c r="C1410" s="16" t="s">
        <v>1618</v>
      </c>
      <c r="D1410" s="13">
        <v>7898142864887</v>
      </c>
    </row>
    <row r="1411" spans="1:4" ht="30">
      <c r="A1411" s="70" t="s">
        <v>1604</v>
      </c>
      <c r="B1411" s="17" t="s">
        <v>2281</v>
      </c>
      <c r="C1411" s="16" t="s">
        <v>1619</v>
      </c>
      <c r="D1411" s="13">
        <v>7898142864900</v>
      </c>
    </row>
    <row r="1412" spans="1:4">
      <c r="A1412" s="70" t="s">
        <v>1549</v>
      </c>
      <c r="B1412" s="17" t="s">
        <v>2281</v>
      </c>
      <c r="C1412" s="16" t="s">
        <v>1560</v>
      </c>
      <c r="D1412" s="13">
        <v>7898142864054</v>
      </c>
    </row>
    <row r="1413" spans="1:4">
      <c r="A1413" s="70" t="s">
        <v>1549</v>
      </c>
      <c r="B1413" s="17" t="s">
        <v>2281</v>
      </c>
      <c r="C1413" s="16" t="s">
        <v>1561</v>
      </c>
      <c r="D1413" s="13">
        <v>7898142864047</v>
      </c>
    </row>
    <row r="1414" spans="1:4">
      <c r="A1414" s="70" t="s">
        <v>1549</v>
      </c>
      <c r="B1414" s="17" t="s">
        <v>2281</v>
      </c>
      <c r="C1414" s="16" t="s">
        <v>1562</v>
      </c>
      <c r="D1414" s="13">
        <v>7898142862692</v>
      </c>
    </row>
    <row r="1415" spans="1:4">
      <c r="A1415" s="70" t="s">
        <v>1569</v>
      </c>
      <c r="B1415" s="17" t="s">
        <v>2281</v>
      </c>
      <c r="C1415" s="16" t="s">
        <v>1596</v>
      </c>
      <c r="D1415" s="13">
        <v>7898142864771</v>
      </c>
    </row>
    <row r="1416" spans="1:4">
      <c r="A1416" s="70" t="s">
        <v>1569</v>
      </c>
      <c r="B1416" s="17" t="s">
        <v>2281</v>
      </c>
      <c r="C1416" s="16" t="s">
        <v>1597</v>
      </c>
      <c r="D1416" s="13">
        <v>7898142864788</v>
      </c>
    </row>
    <row r="1417" spans="1:4">
      <c r="A1417" s="70" t="s">
        <v>113</v>
      </c>
      <c r="B1417" s="17" t="s">
        <v>2284</v>
      </c>
      <c r="C1417" s="16" t="s">
        <v>282</v>
      </c>
      <c r="D1417" s="13">
        <v>7897518300097</v>
      </c>
    </row>
    <row r="1418" spans="1:4">
      <c r="A1418" s="70" t="s">
        <v>60</v>
      </c>
      <c r="B1418" s="17" t="s">
        <v>2284</v>
      </c>
      <c r="C1418" s="16" t="s">
        <v>1229</v>
      </c>
      <c r="D1418" s="13">
        <v>7898906434103</v>
      </c>
    </row>
    <row r="1419" spans="1:4">
      <c r="A1419" s="70" t="s">
        <v>38</v>
      </c>
      <c r="B1419" s="17" t="s">
        <v>2284</v>
      </c>
      <c r="C1419" s="16" t="s">
        <v>360</v>
      </c>
      <c r="D1419" s="13">
        <v>7897518300141</v>
      </c>
    </row>
    <row r="1420" spans="1:4">
      <c r="A1420" s="70" t="s">
        <v>1453</v>
      </c>
      <c r="B1420" s="17" t="s">
        <v>2284</v>
      </c>
      <c r="C1420" s="16" t="s">
        <v>334</v>
      </c>
      <c r="D1420" s="13">
        <v>7897518300011</v>
      </c>
    </row>
    <row r="1421" spans="1:4">
      <c r="A1421" s="70" t="s">
        <v>31</v>
      </c>
      <c r="B1421" s="17" t="s">
        <v>2284</v>
      </c>
      <c r="C1421" s="16" t="s">
        <v>282</v>
      </c>
      <c r="D1421" s="13">
        <v>7897518300097</v>
      </c>
    </row>
    <row r="1422" spans="1:4">
      <c r="A1422" s="70" t="s">
        <v>1448</v>
      </c>
      <c r="B1422" s="17" t="s">
        <v>2284</v>
      </c>
      <c r="C1422" s="16" t="s">
        <v>360</v>
      </c>
      <c r="D1422" s="13">
        <v>7897518300141</v>
      </c>
    </row>
    <row r="1423" spans="1:4">
      <c r="A1423" s="70" t="s">
        <v>479</v>
      </c>
      <c r="B1423" s="17" t="s">
        <v>2284</v>
      </c>
      <c r="C1423" s="16" t="s">
        <v>334</v>
      </c>
      <c r="D1423" s="13">
        <v>7897518300011</v>
      </c>
    </row>
    <row r="1424" spans="1:4">
      <c r="A1424" s="70" t="s">
        <v>2391</v>
      </c>
      <c r="B1424" s="17" t="s">
        <v>2281</v>
      </c>
      <c r="C1424" s="16" t="s">
        <v>1942</v>
      </c>
      <c r="D1424" s="13">
        <v>7897173098599</v>
      </c>
    </row>
    <row r="1425" spans="1:4">
      <c r="A1425" s="70" t="s">
        <v>2391</v>
      </c>
      <c r="B1425" s="17" t="s">
        <v>2281</v>
      </c>
      <c r="C1425" s="16" t="s">
        <v>1943</v>
      </c>
      <c r="D1425" s="13">
        <v>7897173098605</v>
      </c>
    </row>
    <row r="1426" spans="1:4">
      <c r="A1426" s="70" t="s">
        <v>39</v>
      </c>
      <c r="B1426" s="17" t="s">
        <v>2281</v>
      </c>
      <c r="C1426" s="16" t="s">
        <v>1288</v>
      </c>
      <c r="D1426" s="13">
        <v>7896064203456</v>
      </c>
    </row>
    <row r="1427" spans="1:4">
      <c r="A1427" s="70" t="s">
        <v>39</v>
      </c>
      <c r="B1427" s="17" t="s">
        <v>2281</v>
      </c>
      <c r="C1427" s="16" t="s">
        <v>1289</v>
      </c>
      <c r="D1427" s="13">
        <v>7896064203449</v>
      </c>
    </row>
    <row r="1428" spans="1:4">
      <c r="A1428" s="70" t="s">
        <v>1482</v>
      </c>
      <c r="B1428" s="17" t="s">
        <v>2281</v>
      </c>
      <c r="C1428" s="16" t="s">
        <v>1483</v>
      </c>
      <c r="D1428" s="13">
        <v>7898904875014</v>
      </c>
    </row>
    <row r="1429" spans="1:4">
      <c r="A1429" s="70" t="s">
        <v>1482</v>
      </c>
      <c r="B1429" s="17" t="s">
        <v>2281</v>
      </c>
      <c r="C1429" s="16" t="s">
        <v>1483</v>
      </c>
      <c r="D1429" s="13">
        <v>7898904874192</v>
      </c>
    </row>
    <row r="1430" spans="1:4">
      <c r="A1430" s="70" t="s">
        <v>1482</v>
      </c>
      <c r="B1430" s="17" t="s">
        <v>2281</v>
      </c>
      <c r="C1430" s="16" t="s">
        <v>1484</v>
      </c>
      <c r="D1430" s="13">
        <v>7898904874260</v>
      </c>
    </row>
    <row r="1431" spans="1:4">
      <c r="A1431" s="70" t="s">
        <v>1482</v>
      </c>
      <c r="B1431" s="17" t="s">
        <v>2281</v>
      </c>
      <c r="C1431" s="16" t="s">
        <v>1484</v>
      </c>
      <c r="D1431" s="13">
        <v>7898904875021</v>
      </c>
    </row>
    <row r="1432" spans="1:4">
      <c r="A1432" s="70" t="s">
        <v>1887</v>
      </c>
      <c r="B1432" s="17" t="s">
        <v>2281</v>
      </c>
      <c r="C1432" s="16" t="s">
        <v>1119</v>
      </c>
      <c r="D1432" s="13">
        <v>7896011107523</v>
      </c>
    </row>
    <row r="1433" spans="1:4">
      <c r="A1433" s="70" t="s">
        <v>1887</v>
      </c>
      <c r="B1433" s="17" t="s">
        <v>2281</v>
      </c>
      <c r="C1433" s="16" t="s">
        <v>1120</v>
      </c>
      <c r="D1433" s="13">
        <v>7896011125640</v>
      </c>
    </row>
    <row r="1434" spans="1:4">
      <c r="A1434" s="70" t="s">
        <v>1887</v>
      </c>
      <c r="B1434" s="17" t="s">
        <v>2281</v>
      </c>
      <c r="C1434" s="16" t="s">
        <v>1121</v>
      </c>
      <c r="D1434" s="13">
        <v>7896011125305</v>
      </c>
    </row>
    <row r="1435" spans="1:4">
      <c r="A1435" s="70" t="s">
        <v>1269</v>
      </c>
      <c r="B1435" s="17" t="s">
        <v>2281</v>
      </c>
      <c r="C1435" s="16" t="s">
        <v>1272</v>
      </c>
      <c r="D1435" s="13">
        <v>7896058255478</v>
      </c>
    </row>
    <row r="1436" spans="1:4">
      <c r="A1436" s="70" t="s">
        <v>1269</v>
      </c>
      <c r="B1436" s="17" t="s">
        <v>2281</v>
      </c>
      <c r="C1436" s="16" t="s">
        <v>1276</v>
      </c>
      <c r="D1436" s="13">
        <v>7896058255461</v>
      </c>
    </row>
    <row r="1437" spans="1:4">
      <c r="A1437" s="70" t="s">
        <v>1202</v>
      </c>
      <c r="B1437" s="17" t="s">
        <v>2287</v>
      </c>
      <c r="C1437" s="16" t="s">
        <v>1214</v>
      </c>
      <c r="D1437" s="13">
        <v>7702425537859</v>
      </c>
    </row>
    <row r="1438" spans="1:4">
      <c r="A1438" s="70" t="s">
        <v>1055</v>
      </c>
      <c r="B1438" s="17" t="s">
        <v>2286</v>
      </c>
      <c r="C1438" s="16" t="s">
        <v>1072</v>
      </c>
      <c r="D1438" s="13">
        <v>7896090700141</v>
      </c>
    </row>
    <row r="1439" spans="1:4">
      <c r="A1439" s="70" t="s">
        <v>1055</v>
      </c>
      <c r="B1439" s="17" t="s">
        <v>2286</v>
      </c>
      <c r="C1439" s="16" t="s">
        <v>1073</v>
      </c>
      <c r="D1439" s="13">
        <v>7896090700165</v>
      </c>
    </row>
    <row r="1440" spans="1:4">
      <c r="A1440" s="70" t="s">
        <v>1055</v>
      </c>
      <c r="B1440" s="17" t="s">
        <v>2286</v>
      </c>
      <c r="C1440" s="16" t="s">
        <v>1074</v>
      </c>
      <c r="D1440" s="13">
        <v>7896090700172</v>
      </c>
    </row>
    <row r="1441" spans="1:4">
      <c r="A1441" s="70" t="s">
        <v>1055</v>
      </c>
      <c r="B1441" s="17" t="s">
        <v>2286</v>
      </c>
      <c r="C1441" s="16" t="s">
        <v>1075</v>
      </c>
      <c r="D1441" s="13">
        <v>7896090700158</v>
      </c>
    </row>
    <row r="1442" spans="1:4">
      <c r="A1442" s="70" t="s">
        <v>1359</v>
      </c>
      <c r="B1442" s="17" t="s">
        <v>2288</v>
      </c>
      <c r="C1442" s="16" t="s">
        <v>1370</v>
      </c>
      <c r="D1442" s="13">
        <v>7898938227216</v>
      </c>
    </row>
    <row r="1443" spans="1:4">
      <c r="A1443" s="70" t="s">
        <v>1359</v>
      </c>
      <c r="B1443" s="17" t="s">
        <v>2288</v>
      </c>
      <c r="C1443" s="16" t="s">
        <v>1371</v>
      </c>
      <c r="D1443" s="13">
        <v>7898938227223</v>
      </c>
    </row>
    <row r="1444" spans="1:4">
      <c r="A1444" s="70" t="s">
        <v>2911</v>
      </c>
      <c r="B1444" s="17" t="s">
        <v>2288</v>
      </c>
      <c r="C1444" s="16" t="s">
        <v>245</v>
      </c>
      <c r="D1444" s="13">
        <v>7898067340503</v>
      </c>
    </row>
    <row r="1445" spans="1:4">
      <c r="A1445" s="70" t="s">
        <v>2911</v>
      </c>
      <c r="B1445" s="17" t="s">
        <v>2288</v>
      </c>
      <c r="C1445" s="16" t="s">
        <v>2915</v>
      </c>
      <c r="D1445" s="13">
        <v>7898067340688</v>
      </c>
    </row>
    <row r="1446" spans="1:4">
      <c r="A1446" s="70" t="s">
        <v>2911</v>
      </c>
      <c r="B1446" s="17" t="s">
        <v>2288</v>
      </c>
      <c r="C1446" s="16" t="s">
        <v>246</v>
      </c>
      <c r="D1446" s="13">
        <v>7898067340404</v>
      </c>
    </row>
    <row r="1447" spans="1:4">
      <c r="A1447" s="70" t="s">
        <v>1874</v>
      </c>
      <c r="B1447" s="17" t="s">
        <v>2288</v>
      </c>
      <c r="C1447" s="16" t="s">
        <v>1875</v>
      </c>
      <c r="D1447" s="13">
        <v>7898337980262</v>
      </c>
    </row>
    <row r="1448" spans="1:4">
      <c r="A1448" s="70" t="s">
        <v>1874</v>
      </c>
      <c r="B1448" s="17" t="s">
        <v>2288</v>
      </c>
      <c r="C1448" s="16" t="s">
        <v>1876</v>
      </c>
      <c r="D1448" s="13">
        <v>7898337980248</v>
      </c>
    </row>
    <row r="1449" spans="1:4">
      <c r="A1449" s="70" t="s">
        <v>2070</v>
      </c>
      <c r="B1449" s="17" t="s">
        <v>2288</v>
      </c>
      <c r="C1449" s="16" t="s">
        <v>2073</v>
      </c>
      <c r="D1449" s="13">
        <v>7898904874307</v>
      </c>
    </row>
    <row r="1450" spans="1:4">
      <c r="A1450" s="70" t="s">
        <v>145</v>
      </c>
      <c r="B1450" s="17" t="s">
        <v>2288</v>
      </c>
      <c r="C1450" s="16" t="s">
        <v>255</v>
      </c>
      <c r="D1450" s="13">
        <v>7896002302197</v>
      </c>
    </row>
    <row r="1451" spans="1:4">
      <c r="A1451" s="70" t="s">
        <v>1203</v>
      </c>
      <c r="B1451" s="17" t="s">
        <v>2288</v>
      </c>
      <c r="C1451" s="16" t="s">
        <v>1206</v>
      </c>
      <c r="D1451" s="13">
        <v>7896002300148</v>
      </c>
    </row>
    <row r="1452" spans="1:4">
      <c r="A1452" s="70" t="s">
        <v>1712</v>
      </c>
      <c r="B1452" s="17" t="s">
        <v>2288</v>
      </c>
      <c r="C1452" s="16" t="s">
        <v>1724</v>
      </c>
      <c r="D1452" s="13">
        <v>7896002360326</v>
      </c>
    </row>
    <row r="1453" spans="1:4">
      <c r="A1453" s="70" t="s">
        <v>1712</v>
      </c>
      <c r="B1453" s="17" t="s">
        <v>2288</v>
      </c>
      <c r="C1453" s="16" t="s">
        <v>1724</v>
      </c>
      <c r="D1453" s="13">
        <v>7896002360326</v>
      </c>
    </row>
    <row r="1454" spans="1:4">
      <c r="A1454" s="70" t="s">
        <v>90</v>
      </c>
      <c r="B1454" s="17" t="s">
        <v>2288</v>
      </c>
      <c r="C1454" s="16" t="s">
        <v>260</v>
      </c>
      <c r="D1454" s="13">
        <v>7896002360326</v>
      </c>
    </row>
    <row r="1455" spans="1:4">
      <c r="A1455" s="70" t="s">
        <v>1474</v>
      </c>
      <c r="B1455" s="17" t="s">
        <v>2288</v>
      </c>
      <c r="C1455" s="16" t="s">
        <v>1480</v>
      </c>
      <c r="D1455" s="13">
        <v>7898904874000</v>
      </c>
    </row>
    <row r="1456" spans="1:4">
      <c r="A1456" s="70" t="s">
        <v>1474</v>
      </c>
      <c r="B1456" s="17" t="s">
        <v>2288</v>
      </c>
      <c r="C1456" s="16" t="s">
        <v>1481</v>
      </c>
      <c r="D1456" s="13">
        <v>7898904874017</v>
      </c>
    </row>
    <row r="1457" spans="1:4">
      <c r="A1457" s="70" t="s">
        <v>1477</v>
      </c>
      <c r="B1457" s="17" t="s">
        <v>2288</v>
      </c>
      <c r="C1457" s="16" t="s">
        <v>1478</v>
      </c>
      <c r="D1457" s="13">
        <v>7898904875144</v>
      </c>
    </row>
    <row r="1458" spans="1:4">
      <c r="A1458" s="70" t="s">
        <v>1477</v>
      </c>
      <c r="B1458" s="17" t="s">
        <v>2288</v>
      </c>
      <c r="C1458" s="16" t="s">
        <v>1479</v>
      </c>
      <c r="D1458" s="13">
        <v>7898904875069</v>
      </c>
    </row>
    <row r="1459" spans="1:4">
      <c r="A1459" s="70" t="s">
        <v>1477</v>
      </c>
      <c r="B1459" s="17" t="s">
        <v>2288</v>
      </c>
      <c r="C1459" s="16" t="s">
        <v>1478</v>
      </c>
      <c r="D1459" s="13">
        <v>7898904874291</v>
      </c>
    </row>
    <row r="1460" spans="1:4">
      <c r="A1460" s="70" t="s">
        <v>1477</v>
      </c>
      <c r="B1460" s="17" t="s">
        <v>2288</v>
      </c>
      <c r="C1460" s="16" t="s">
        <v>1479</v>
      </c>
      <c r="D1460" s="13">
        <v>7898904874277</v>
      </c>
    </row>
    <row r="1461" spans="1:4">
      <c r="A1461" s="70" t="s">
        <v>1714</v>
      </c>
      <c r="B1461" s="17" t="s">
        <v>2288</v>
      </c>
      <c r="C1461" s="16" t="s">
        <v>1716</v>
      </c>
      <c r="D1461" s="13">
        <v>7896062534088</v>
      </c>
    </row>
    <row r="1462" spans="1:4">
      <c r="A1462" s="70" t="s">
        <v>1692</v>
      </c>
      <c r="B1462" s="17" t="s">
        <v>2288</v>
      </c>
      <c r="C1462" s="16" t="s">
        <v>1697</v>
      </c>
      <c r="D1462" s="13">
        <v>7896062537225</v>
      </c>
    </row>
    <row r="1463" spans="1:4">
      <c r="A1463" s="70" t="s">
        <v>1707</v>
      </c>
      <c r="B1463" s="17" t="s">
        <v>2288</v>
      </c>
      <c r="C1463" s="16" t="s">
        <v>1709</v>
      </c>
      <c r="D1463" s="13">
        <v>7896074600092</v>
      </c>
    </row>
    <row r="1464" spans="1:4">
      <c r="A1464" s="70" t="s">
        <v>1707</v>
      </c>
      <c r="B1464" s="17" t="s">
        <v>2288</v>
      </c>
      <c r="C1464" s="16" t="s">
        <v>1710</v>
      </c>
      <c r="D1464" s="13" t="s">
        <v>2318</v>
      </c>
    </row>
    <row r="1465" spans="1:4">
      <c r="A1465" s="70" t="s">
        <v>1707</v>
      </c>
      <c r="B1465" s="17" t="s">
        <v>2288</v>
      </c>
      <c r="C1465" s="16" t="s">
        <v>1711</v>
      </c>
      <c r="D1465" s="13" t="s">
        <v>2319</v>
      </c>
    </row>
    <row r="1466" spans="1:4">
      <c r="A1466" s="70" t="s">
        <v>1836</v>
      </c>
      <c r="B1466" s="17" t="s">
        <v>2288</v>
      </c>
      <c r="C1466" s="16" t="s">
        <v>1709</v>
      </c>
      <c r="D1466" s="13">
        <v>7896074600092</v>
      </c>
    </row>
    <row r="1467" spans="1:4">
      <c r="A1467" s="70" t="s">
        <v>1836</v>
      </c>
      <c r="B1467" s="17" t="s">
        <v>2288</v>
      </c>
      <c r="C1467" s="16" t="s">
        <v>1710</v>
      </c>
      <c r="D1467" s="13">
        <v>7896074600085</v>
      </c>
    </row>
    <row r="1468" spans="1:4">
      <c r="A1468" s="70" t="s">
        <v>1836</v>
      </c>
      <c r="B1468" s="17" t="s">
        <v>2288</v>
      </c>
      <c r="C1468" s="16" t="s">
        <v>1837</v>
      </c>
      <c r="D1468" s="13">
        <v>7896074604380</v>
      </c>
    </row>
    <row r="1469" spans="1:4">
      <c r="A1469" s="70" t="s">
        <v>1836</v>
      </c>
      <c r="B1469" s="17" t="s">
        <v>2288</v>
      </c>
      <c r="C1469" s="16" t="s">
        <v>1711</v>
      </c>
      <c r="D1469" s="13">
        <v>7896074603468</v>
      </c>
    </row>
    <row r="1470" spans="1:4" ht="30">
      <c r="A1470" s="70" t="s">
        <v>810</v>
      </c>
      <c r="B1470" s="17" t="s">
        <v>2288</v>
      </c>
      <c r="C1470" s="16" t="s">
        <v>811</v>
      </c>
      <c r="D1470" s="13">
        <v>7896074600993</v>
      </c>
    </row>
    <row r="1471" spans="1:4" ht="30">
      <c r="A1471" s="70" t="s">
        <v>810</v>
      </c>
      <c r="B1471" s="17" t="s">
        <v>2288</v>
      </c>
      <c r="C1471" s="16" t="s">
        <v>812</v>
      </c>
      <c r="D1471" s="13">
        <v>7896074604489</v>
      </c>
    </row>
    <row r="1472" spans="1:4" ht="30">
      <c r="A1472" s="70" t="s">
        <v>810</v>
      </c>
      <c r="B1472" s="17" t="s">
        <v>2288</v>
      </c>
      <c r="C1472" s="16" t="s">
        <v>813</v>
      </c>
      <c r="D1472" s="13">
        <v>7896074602416</v>
      </c>
    </row>
    <row r="1473" spans="1:4" ht="30">
      <c r="A1473" s="70" t="s">
        <v>810</v>
      </c>
      <c r="B1473" s="17" t="s">
        <v>2288</v>
      </c>
      <c r="C1473" s="16" t="s">
        <v>814</v>
      </c>
      <c r="D1473" s="13">
        <v>7896074602720</v>
      </c>
    </row>
    <row r="1474" spans="1:4" ht="30">
      <c r="A1474" s="70" t="s">
        <v>810</v>
      </c>
      <c r="B1474" s="17" t="s">
        <v>2288</v>
      </c>
      <c r="C1474" s="16" t="s">
        <v>815</v>
      </c>
      <c r="D1474" s="13">
        <v>7896074603222</v>
      </c>
    </row>
    <row r="1475" spans="1:4" ht="30">
      <c r="A1475" s="70" t="s">
        <v>810</v>
      </c>
      <c r="B1475" s="17" t="s">
        <v>2288</v>
      </c>
      <c r="C1475" s="16" t="s">
        <v>833</v>
      </c>
      <c r="D1475" s="13">
        <v>7896074601068</v>
      </c>
    </row>
    <row r="1476" spans="1:4">
      <c r="A1476" s="70" t="s">
        <v>2071</v>
      </c>
      <c r="B1476" s="17" t="s">
        <v>2288</v>
      </c>
      <c r="C1476" s="16" t="s">
        <v>833</v>
      </c>
      <c r="D1476" s="13">
        <v>7896074601068</v>
      </c>
    </row>
    <row r="1477" spans="1:4">
      <c r="A1477" s="70" t="s">
        <v>2071</v>
      </c>
      <c r="B1477" s="17" t="s">
        <v>2288</v>
      </c>
      <c r="C1477" s="16" t="s">
        <v>811</v>
      </c>
      <c r="D1477" s="13">
        <v>7896074600993</v>
      </c>
    </row>
    <row r="1478" spans="1:4">
      <c r="A1478" s="70" t="s">
        <v>18</v>
      </c>
      <c r="B1478" s="17" t="s">
        <v>2285</v>
      </c>
      <c r="C1478" s="16" t="s">
        <v>370</v>
      </c>
      <c r="D1478" s="13">
        <v>7898327431262</v>
      </c>
    </row>
    <row r="1479" spans="1:4">
      <c r="A1479" s="70" t="s">
        <v>550</v>
      </c>
      <c r="B1479" s="17" t="s">
        <v>2285</v>
      </c>
      <c r="C1479" s="16" t="s">
        <v>564</v>
      </c>
      <c r="D1479" s="13">
        <v>7896075301448</v>
      </c>
    </row>
    <row r="1480" spans="1:4">
      <c r="A1480" s="70" t="s">
        <v>132</v>
      </c>
      <c r="B1480" s="17" t="s">
        <v>2285</v>
      </c>
      <c r="C1480" s="16" t="s">
        <v>278</v>
      </c>
      <c r="D1480" s="13">
        <v>7891172421174</v>
      </c>
    </row>
    <row r="1481" spans="1:4">
      <c r="A1481" s="70" t="s">
        <v>36</v>
      </c>
      <c r="B1481" s="17" t="s">
        <v>2285</v>
      </c>
      <c r="C1481" s="16" t="s">
        <v>166</v>
      </c>
      <c r="D1481" s="13">
        <v>7891172432026</v>
      </c>
    </row>
    <row r="1482" spans="1:4">
      <c r="A1482" s="70" t="s">
        <v>1884</v>
      </c>
      <c r="B1482" s="17" t="s">
        <v>2285</v>
      </c>
      <c r="C1482" s="16" t="s">
        <v>359</v>
      </c>
      <c r="D1482" s="13">
        <v>7891172422607</v>
      </c>
    </row>
    <row r="1483" spans="1:4">
      <c r="A1483" s="70" t="s">
        <v>458</v>
      </c>
      <c r="B1483" s="17" t="s">
        <v>2285</v>
      </c>
      <c r="C1483" s="16" t="s">
        <v>476</v>
      </c>
      <c r="D1483" s="13">
        <v>7896061915208</v>
      </c>
    </row>
    <row r="1484" spans="1:4">
      <c r="A1484" s="70" t="s">
        <v>73</v>
      </c>
      <c r="B1484" s="17" t="s">
        <v>2285</v>
      </c>
      <c r="C1484" s="16" t="s">
        <v>400</v>
      </c>
      <c r="D1484" s="13">
        <v>7896061915307</v>
      </c>
    </row>
    <row r="1485" spans="1:4">
      <c r="A1485" s="70" t="s">
        <v>1266</v>
      </c>
      <c r="B1485" s="17" t="s">
        <v>2284</v>
      </c>
      <c r="C1485" s="16" t="s">
        <v>1273</v>
      </c>
      <c r="D1485" s="13">
        <v>7896009301193</v>
      </c>
    </row>
    <row r="1486" spans="1:4">
      <c r="A1486" s="70" t="s">
        <v>1266</v>
      </c>
      <c r="B1486" s="17" t="s">
        <v>2284</v>
      </c>
      <c r="C1486" s="16" t="s">
        <v>1273</v>
      </c>
      <c r="D1486" s="13">
        <v>7894321841014</v>
      </c>
    </row>
    <row r="1487" spans="1:4">
      <c r="A1487" s="70" t="s">
        <v>1492</v>
      </c>
      <c r="B1487" s="17" t="s">
        <v>2284</v>
      </c>
      <c r="C1487" s="16" t="s">
        <v>1273</v>
      </c>
      <c r="D1487" s="13">
        <v>7896009301193</v>
      </c>
    </row>
    <row r="1488" spans="1:4">
      <c r="A1488" s="70" t="s">
        <v>1492</v>
      </c>
      <c r="B1488" s="17" t="s">
        <v>2284</v>
      </c>
      <c r="C1488" s="16" t="s">
        <v>1273</v>
      </c>
      <c r="D1488" s="13">
        <v>7894321841014</v>
      </c>
    </row>
    <row r="1489" spans="1:4">
      <c r="A1489" s="70" t="s">
        <v>1492</v>
      </c>
      <c r="B1489" s="17" t="s">
        <v>2284</v>
      </c>
      <c r="C1489" s="16" t="s">
        <v>1498</v>
      </c>
      <c r="D1489" s="13">
        <v>7896009301186</v>
      </c>
    </row>
    <row r="1490" spans="1:4">
      <c r="A1490" s="70" t="s">
        <v>1492</v>
      </c>
      <c r="B1490" s="17" t="s">
        <v>2284</v>
      </c>
      <c r="C1490" s="16" t="s">
        <v>1499</v>
      </c>
      <c r="D1490" s="13">
        <v>7896009500220</v>
      </c>
    </row>
    <row r="1491" spans="1:4">
      <c r="A1491" s="70" t="s">
        <v>1066</v>
      </c>
      <c r="B1491" s="17" t="s">
        <v>3406</v>
      </c>
      <c r="C1491" s="16" t="s">
        <v>1090</v>
      </c>
      <c r="D1491" s="13">
        <v>99592</v>
      </c>
    </row>
    <row r="1492" spans="1:4">
      <c r="A1492" s="70" t="s">
        <v>1815</v>
      </c>
      <c r="B1492" s="17" t="s">
        <v>3406</v>
      </c>
      <c r="C1492" s="16" t="s">
        <v>1196</v>
      </c>
      <c r="D1492" s="13">
        <v>98151</v>
      </c>
    </row>
    <row r="1493" spans="1:4">
      <c r="A1493" s="70" t="s">
        <v>1311</v>
      </c>
      <c r="B1493" s="17" t="s">
        <v>3406</v>
      </c>
      <c r="C1493" s="16" t="s">
        <v>1355</v>
      </c>
      <c r="D1493" s="13">
        <v>98106</v>
      </c>
    </row>
    <row r="1494" spans="1:4">
      <c r="A1494" s="70" t="s">
        <v>1400</v>
      </c>
      <c r="B1494" s="17" t="s">
        <v>3406</v>
      </c>
      <c r="C1494" s="16" t="s">
        <v>1400</v>
      </c>
      <c r="D1494" s="13">
        <v>98199</v>
      </c>
    </row>
    <row r="1495" spans="1:4">
      <c r="A1495" s="70" t="s">
        <v>1300</v>
      </c>
      <c r="B1495" s="17" t="s">
        <v>2288</v>
      </c>
      <c r="C1495" s="16" t="s">
        <v>2503</v>
      </c>
      <c r="D1495" s="13">
        <v>7891025122722</v>
      </c>
    </row>
    <row r="1496" spans="1:4">
      <c r="A1496" s="70" t="s">
        <v>1300</v>
      </c>
      <c r="B1496" s="17" t="s">
        <v>2288</v>
      </c>
      <c r="C1496" s="16" t="s">
        <v>1304</v>
      </c>
      <c r="D1496" s="13">
        <v>7891025109884</v>
      </c>
    </row>
    <row r="1497" spans="1:4">
      <c r="A1497" s="70" t="s">
        <v>1300</v>
      </c>
      <c r="B1497" s="17" t="s">
        <v>2288</v>
      </c>
      <c r="C1497" s="16" t="s">
        <v>1305</v>
      </c>
      <c r="D1497" s="13">
        <v>7891025112204</v>
      </c>
    </row>
    <row r="1498" spans="1:4">
      <c r="A1498" s="70" t="s">
        <v>1300</v>
      </c>
      <c r="B1498" s="17" t="s">
        <v>2288</v>
      </c>
      <c r="C1498" s="16" t="s">
        <v>2118</v>
      </c>
      <c r="D1498" s="13">
        <v>7891025120353</v>
      </c>
    </row>
    <row r="1499" spans="1:4">
      <c r="A1499" s="70" t="s">
        <v>1300</v>
      </c>
      <c r="B1499" s="17" t="s">
        <v>2288</v>
      </c>
      <c r="C1499" s="16" t="s">
        <v>1306</v>
      </c>
      <c r="D1499" s="13">
        <v>7891025109891</v>
      </c>
    </row>
    <row r="1500" spans="1:4">
      <c r="A1500" s="70" t="s">
        <v>1956</v>
      </c>
      <c r="B1500" s="17" t="s">
        <v>2288</v>
      </c>
      <c r="C1500" s="16" t="s">
        <v>1964</v>
      </c>
      <c r="D1500" s="13">
        <v>7891000103937</v>
      </c>
    </row>
    <row r="1501" spans="1:4">
      <c r="A1501" s="70" t="s">
        <v>2634</v>
      </c>
      <c r="B1501" s="17" t="s">
        <v>2284</v>
      </c>
      <c r="C1501" s="16" t="s">
        <v>574</v>
      </c>
      <c r="D1501" s="13">
        <v>7891095100729</v>
      </c>
    </row>
    <row r="1502" spans="1:4">
      <c r="A1502" s="70" t="s">
        <v>2634</v>
      </c>
      <c r="B1502" s="17" t="s">
        <v>2284</v>
      </c>
      <c r="C1502" s="16" t="s">
        <v>575</v>
      </c>
      <c r="D1502" s="13">
        <v>7891095002207</v>
      </c>
    </row>
    <row r="1503" spans="1:4">
      <c r="A1503" s="70" t="s">
        <v>2634</v>
      </c>
      <c r="B1503" s="17" t="s">
        <v>2284</v>
      </c>
      <c r="C1503" s="16" t="s">
        <v>2660</v>
      </c>
      <c r="D1503" s="13">
        <v>7891095911141</v>
      </c>
    </row>
    <row r="1504" spans="1:4">
      <c r="A1504" s="70" t="s">
        <v>2634</v>
      </c>
      <c r="B1504" s="17" t="s">
        <v>2284</v>
      </c>
      <c r="C1504" s="16" t="s">
        <v>576</v>
      </c>
      <c r="D1504" s="13">
        <v>7891095021420</v>
      </c>
    </row>
    <row r="1505" spans="1:4">
      <c r="A1505" s="70" t="s">
        <v>2634</v>
      </c>
      <c r="B1505" s="17" t="s">
        <v>2284</v>
      </c>
      <c r="C1505" s="16" t="s">
        <v>577</v>
      </c>
      <c r="D1505" s="13">
        <v>7891095100934</v>
      </c>
    </row>
    <row r="1506" spans="1:4">
      <c r="A1506" s="70" t="s">
        <v>2634</v>
      </c>
      <c r="B1506" s="17" t="s">
        <v>2284</v>
      </c>
      <c r="C1506" s="16" t="s">
        <v>578</v>
      </c>
      <c r="D1506" s="13">
        <v>7891095008452</v>
      </c>
    </row>
    <row r="1507" spans="1:4">
      <c r="A1507" s="70" t="s">
        <v>2634</v>
      </c>
      <c r="B1507" s="17" t="s">
        <v>2284</v>
      </c>
      <c r="C1507" s="16" t="s">
        <v>579</v>
      </c>
      <c r="D1507" s="13">
        <v>7891095021437</v>
      </c>
    </row>
    <row r="1508" spans="1:4">
      <c r="A1508" s="70" t="s">
        <v>2634</v>
      </c>
      <c r="B1508" s="17" t="s">
        <v>2284</v>
      </c>
      <c r="C1508" s="16" t="s">
        <v>580</v>
      </c>
      <c r="D1508" s="13">
        <v>7891095100125</v>
      </c>
    </row>
    <row r="1509" spans="1:4">
      <c r="A1509" s="70" t="s">
        <v>2634</v>
      </c>
      <c r="B1509" s="17" t="s">
        <v>2284</v>
      </c>
      <c r="C1509" s="16" t="s">
        <v>581</v>
      </c>
      <c r="D1509" s="13">
        <v>7891095006274</v>
      </c>
    </row>
    <row r="1510" spans="1:4">
      <c r="A1510" s="70" t="s">
        <v>102</v>
      </c>
      <c r="B1510" s="17" t="s">
        <v>2284</v>
      </c>
      <c r="C1510" s="16" t="s">
        <v>242</v>
      </c>
      <c r="D1510" s="13">
        <v>7896280401667</v>
      </c>
    </row>
    <row r="1511" spans="1:4">
      <c r="A1511" s="70" t="s">
        <v>102</v>
      </c>
      <c r="B1511" s="17" t="s">
        <v>2284</v>
      </c>
      <c r="C1511" s="16" t="s">
        <v>241</v>
      </c>
      <c r="D1511" s="13">
        <v>7896280400974</v>
      </c>
    </row>
    <row r="1512" spans="1:4">
      <c r="A1512" s="70" t="s">
        <v>102</v>
      </c>
      <c r="B1512" s="17" t="s">
        <v>2284</v>
      </c>
      <c r="C1512" s="16" t="s">
        <v>240</v>
      </c>
      <c r="D1512" s="13">
        <v>7896280402374</v>
      </c>
    </row>
    <row r="1513" spans="1:4">
      <c r="A1513" s="70" t="s">
        <v>102</v>
      </c>
      <c r="B1513" s="17" t="s">
        <v>2284</v>
      </c>
      <c r="C1513" s="16" t="s">
        <v>239</v>
      </c>
      <c r="D1513" s="13">
        <v>7896280400981</v>
      </c>
    </row>
    <row r="1514" spans="1:4">
      <c r="A1514" s="70" t="s">
        <v>102</v>
      </c>
      <c r="B1514" s="17" t="s">
        <v>2284</v>
      </c>
      <c r="C1514" s="16" t="s">
        <v>238</v>
      </c>
      <c r="D1514" s="13">
        <v>7896280401650</v>
      </c>
    </row>
    <row r="1515" spans="1:4">
      <c r="A1515" s="70" t="s">
        <v>102</v>
      </c>
      <c r="B1515" s="17" t="s">
        <v>2284</v>
      </c>
      <c r="C1515" s="16" t="s">
        <v>1132</v>
      </c>
      <c r="D1515" s="13">
        <v>7896280402022</v>
      </c>
    </row>
    <row r="1516" spans="1:4">
      <c r="A1516" s="70" t="s">
        <v>102</v>
      </c>
      <c r="B1516" s="17" t="s">
        <v>2284</v>
      </c>
      <c r="C1516" s="16" t="s">
        <v>1133</v>
      </c>
      <c r="D1516" s="13">
        <v>7896280402039</v>
      </c>
    </row>
    <row r="1517" spans="1:4">
      <c r="A1517" s="70" t="s">
        <v>1277</v>
      </c>
      <c r="B1517" s="17" t="s">
        <v>2284</v>
      </c>
      <c r="C1517" s="16" t="s">
        <v>1284</v>
      </c>
      <c r="D1517" s="13">
        <v>7891032015154</v>
      </c>
    </row>
    <row r="1518" spans="1:4">
      <c r="A1518" s="70" t="s">
        <v>1439</v>
      </c>
      <c r="B1518" s="17" t="s">
        <v>3406</v>
      </c>
      <c r="C1518" s="16" t="s">
        <v>1445</v>
      </c>
      <c r="D1518" s="13">
        <v>99080</v>
      </c>
    </row>
    <row r="1519" spans="1:4">
      <c r="A1519" s="70" t="s">
        <v>436</v>
      </c>
      <c r="B1519" s="17" t="s">
        <v>3406</v>
      </c>
      <c r="C1519" s="16" t="s">
        <v>447</v>
      </c>
      <c r="D1519" s="13">
        <v>99394</v>
      </c>
    </row>
    <row r="1520" spans="1:4">
      <c r="A1520" s="70" t="s">
        <v>127</v>
      </c>
      <c r="B1520" s="17" t="s">
        <v>3406</v>
      </c>
      <c r="C1520" s="16" t="s">
        <v>127</v>
      </c>
      <c r="D1520" s="13">
        <v>99837</v>
      </c>
    </row>
    <row r="1521" spans="1:4">
      <c r="A1521" s="70" t="s">
        <v>373</v>
      </c>
      <c r="B1521" s="17" t="s">
        <v>3406</v>
      </c>
      <c r="C1521" s="16" t="s">
        <v>374</v>
      </c>
      <c r="D1521" s="13">
        <v>99264</v>
      </c>
    </row>
    <row r="1522" spans="1:4">
      <c r="A1522" s="70" t="s">
        <v>1299</v>
      </c>
      <c r="B1522" s="17" t="s">
        <v>3407</v>
      </c>
      <c r="C1522" s="16" t="s">
        <v>1309</v>
      </c>
      <c r="D1522" s="13">
        <v>98052</v>
      </c>
    </row>
    <row r="1523" spans="1:4">
      <c r="A1523" s="70" t="s">
        <v>1765</v>
      </c>
      <c r="B1523" s="17" t="s">
        <v>3407</v>
      </c>
      <c r="C1523" s="16" t="s">
        <v>1687</v>
      </c>
      <c r="D1523" s="13">
        <v>98397</v>
      </c>
    </row>
    <row r="1524" spans="1:4">
      <c r="A1524" s="70" t="s">
        <v>1765</v>
      </c>
      <c r="B1524" s="17" t="s">
        <v>3407</v>
      </c>
      <c r="C1524" s="16" t="s">
        <v>1688</v>
      </c>
      <c r="D1524" s="13">
        <v>98441</v>
      </c>
    </row>
    <row r="1525" spans="1:4">
      <c r="A1525" s="70" t="s">
        <v>1508</v>
      </c>
      <c r="B1525" s="17" t="s">
        <v>3407</v>
      </c>
      <c r="C1525" s="16" t="s">
        <v>1516</v>
      </c>
      <c r="D1525" s="13">
        <v>98243</v>
      </c>
    </row>
    <row r="1526" spans="1:4">
      <c r="A1526" s="70" t="s">
        <v>1508</v>
      </c>
      <c r="B1526" s="17" t="s">
        <v>3407</v>
      </c>
      <c r="C1526" s="16" t="s">
        <v>1517</v>
      </c>
      <c r="D1526" s="13">
        <v>98274</v>
      </c>
    </row>
    <row r="1527" spans="1:4">
      <c r="A1527" s="70" t="s">
        <v>1234</v>
      </c>
      <c r="B1527" s="17" t="s">
        <v>2288</v>
      </c>
      <c r="C1527" s="16" t="s">
        <v>1241</v>
      </c>
      <c r="D1527" s="13">
        <v>7891999960054</v>
      </c>
    </row>
    <row r="1528" spans="1:4">
      <c r="A1528" s="70" t="s">
        <v>1452</v>
      </c>
      <c r="B1528" s="17" t="s">
        <v>2288</v>
      </c>
      <c r="C1528" s="16" t="s">
        <v>1429</v>
      </c>
      <c r="D1528" s="13">
        <v>7896238100017</v>
      </c>
    </row>
    <row r="1529" spans="1:4">
      <c r="A1529" s="70" t="s">
        <v>66</v>
      </c>
      <c r="B1529" s="17" t="s">
        <v>2288</v>
      </c>
      <c r="C1529" s="16" t="s">
        <v>1116</v>
      </c>
      <c r="D1529" s="13">
        <v>7891999970053</v>
      </c>
    </row>
    <row r="1530" spans="1:4">
      <c r="A1530" s="70" t="s">
        <v>1135</v>
      </c>
      <c r="B1530" s="17" t="s">
        <v>2284</v>
      </c>
      <c r="C1530" s="16" t="s">
        <v>1140</v>
      </c>
      <c r="D1530" s="13">
        <v>7898908207484</v>
      </c>
    </row>
    <row r="1531" spans="1:4">
      <c r="A1531" s="70" t="s">
        <v>1135</v>
      </c>
      <c r="B1531" s="17" t="s">
        <v>2284</v>
      </c>
      <c r="C1531" s="16" t="s">
        <v>1140</v>
      </c>
      <c r="D1531" s="13">
        <v>7898670300185</v>
      </c>
    </row>
    <row r="1532" spans="1:4">
      <c r="A1532" s="70" t="s">
        <v>435</v>
      </c>
      <c r="B1532" s="17" t="s">
        <v>2287</v>
      </c>
      <c r="C1532" s="16" t="s">
        <v>441</v>
      </c>
      <c r="D1532" s="13">
        <v>7891000020487</v>
      </c>
    </row>
    <row r="1533" spans="1:4">
      <c r="A1533" s="70" t="s">
        <v>435</v>
      </c>
      <c r="B1533" s="17" t="s">
        <v>2287</v>
      </c>
      <c r="C1533" s="16" t="s">
        <v>442</v>
      </c>
      <c r="D1533" s="13">
        <v>7896015606466</v>
      </c>
    </row>
    <row r="1534" spans="1:4">
      <c r="A1534" s="70" t="s">
        <v>435</v>
      </c>
      <c r="B1534" s="17" t="s">
        <v>2287</v>
      </c>
      <c r="C1534" s="16" t="s">
        <v>443</v>
      </c>
      <c r="D1534" s="13">
        <v>7891000246832</v>
      </c>
    </row>
    <row r="1535" spans="1:4">
      <c r="A1535" s="70" t="s">
        <v>435</v>
      </c>
      <c r="B1535" s="17" t="s">
        <v>2287</v>
      </c>
      <c r="C1535" s="16" t="s">
        <v>444</v>
      </c>
      <c r="D1535" s="13">
        <v>7891000246801</v>
      </c>
    </row>
    <row r="1536" spans="1:4">
      <c r="A1536" s="70" t="s">
        <v>435</v>
      </c>
      <c r="B1536" s="17" t="s">
        <v>2287</v>
      </c>
      <c r="C1536" s="16" t="s">
        <v>445</v>
      </c>
      <c r="D1536" s="13">
        <v>7896015606237</v>
      </c>
    </row>
    <row r="1537" spans="1:4">
      <c r="A1537" s="70" t="s">
        <v>435</v>
      </c>
      <c r="B1537" s="17" t="s">
        <v>2287</v>
      </c>
      <c r="C1537" s="16" t="s">
        <v>446</v>
      </c>
      <c r="D1537" s="13">
        <v>7891000032701</v>
      </c>
    </row>
    <row r="1538" spans="1:4">
      <c r="A1538" s="70" t="s">
        <v>435</v>
      </c>
      <c r="B1538" s="17" t="s">
        <v>2287</v>
      </c>
      <c r="C1538" s="16" t="s">
        <v>866</v>
      </c>
      <c r="D1538" s="13">
        <v>7891000094846</v>
      </c>
    </row>
    <row r="1539" spans="1:4">
      <c r="A1539" s="70" t="s">
        <v>435</v>
      </c>
      <c r="B1539" s="17" t="s">
        <v>2287</v>
      </c>
      <c r="C1539" s="16" t="s">
        <v>867</v>
      </c>
      <c r="D1539" s="13">
        <v>7891000094860</v>
      </c>
    </row>
    <row r="1540" spans="1:4">
      <c r="A1540" s="70" t="s">
        <v>435</v>
      </c>
      <c r="B1540" s="17" t="s">
        <v>2287</v>
      </c>
      <c r="C1540" s="16" t="s">
        <v>868</v>
      </c>
      <c r="D1540" s="13">
        <v>7896015606534</v>
      </c>
    </row>
    <row r="1541" spans="1:4">
      <c r="A1541" s="70" t="s">
        <v>435</v>
      </c>
      <c r="B1541" s="17" t="s">
        <v>2287</v>
      </c>
      <c r="C1541" s="16" t="s">
        <v>2075</v>
      </c>
      <c r="D1541" s="13">
        <v>7891000116616</v>
      </c>
    </row>
    <row r="1542" spans="1:4">
      <c r="A1542" s="70" t="s">
        <v>435</v>
      </c>
      <c r="B1542" s="17" t="s">
        <v>2287</v>
      </c>
      <c r="C1542" s="16" t="s">
        <v>2076</v>
      </c>
      <c r="D1542" s="13">
        <v>7891000116678</v>
      </c>
    </row>
    <row r="1543" spans="1:4">
      <c r="A1543" s="70" t="s">
        <v>435</v>
      </c>
      <c r="B1543" s="17" t="s">
        <v>2287</v>
      </c>
      <c r="C1543" s="16" t="s">
        <v>869</v>
      </c>
      <c r="D1543" s="13">
        <v>7891000105139</v>
      </c>
    </row>
    <row r="1544" spans="1:4">
      <c r="A1544" s="70" t="s">
        <v>435</v>
      </c>
      <c r="B1544" s="17" t="s">
        <v>2287</v>
      </c>
      <c r="C1544" s="16" t="s">
        <v>3059</v>
      </c>
      <c r="D1544" s="13">
        <v>7891000350881</v>
      </c>
    </row>
    <row r="1545" spans="1:4">
      <c r="A1545" s="70" t="s">
        <v>435</v>
      </c>
      <c r="B1545" s="17" t="s">
        <v>2287</v>
      </c>
      <c r="C1545" s="16" t="s">
        <v>1194</v>
      </c>
      <c r="D1545" s="13">
        <v>7896015606589</v>
      </c>
    </row>
    <row r="1546" spans="1:4">
      <c r="A1546" s="70" t="s">
        <v>133</v>
      </c>
      <c r="B1546" s="17" t="s">
        <v>2287</v>
      </c>
      <c r="C1546" s="16" t="s">
        <v>1645</v>
      </c>
      <c r="D1546" s="13">
        <v>7891000069905</v>
      </c>
    </row>
    <row r="1547" spans="1:4">
      <c r="A1547" s="70" t="s">
        <v>133</v>
      </c>
      <c r="B1547" s="17" t="s">
        <v>2287</v>
      </c>
      <c r="C1547" s="16" t="s">
        <v>1646</v>
      </c>
      <c r="D1547" s="13">
        <v>7891000069783</v>
      </c>
    </row>
    <row r="1548" spans="1:4">
      <c r="A1548" s="70" t="s">
        <v>133</v>
      </c>
      <c r="B1548" s="17" t="s">
        <v>2287</v>
      </c>
      <c r="C1548" s="16" t="s">
        <v>1647</v>
      </c>
      <c r="D1548" s="13">
        <v>7891000257944</v>
      </c>
    </row>
    <row r="1549" spans="1:4">
      <c r="A1549" s="70" t="s">
        <v>133</v>
      </c>
      <c r="B1549" s="17" t="s">
        <v>2287</v>
      </c>
      <c r="C1549" s="16" t="s">
        <v>1659</v>
      </c>
      <c r="D1549" s="13">
        <v>7891000077276</v>
      </c>
    </row>
    <row r="1550" spans="1:4">
      <c r="A1550" s="70" t="s">
        <v>133</v>
      </c>
      <c r="B1550" s="17" t="s">
        <v>2287</v>
      </c>
      <c r="C1550" s="16" t="s">
        <v>1648</v>
      </c>
      <c r="D1550" s="13">
        <v>7891000621608</v>
      </c>
    </row>
    <row r="1551" spans="1:4">
      <c r="A1551" s="70" t="s">
        <v>133</v>
      </c>
      <c r="B1551" s="17" t="s">
        <v>2287</v>
      </c>
      <c r="C1551" s="16" t="s">
        <v>1649</v>
      </c>
      <c r="D1551" s="13">
        <v>7891000069714</v>
      </c>
    </row>
    <row r="1552" spans="1:4">
      <c r="A1552" s="70" t="s">
        <v>2228</v>
      </c>
      <c r="B1552" s="17" t="s">
        <v>2287</v>
      </c>
      <c r="C1552" s="16" t="s">
        <v>2238</v>
      </c>
      <c r="D1552" s="13">
        <v>7896029006948</v>
      </c>
    </row>
    <row r="1553" spans="1:4">
      <c r="A1553" s="70" t="s">
        <v>2228</v>
      </c>
      <c r="B1553" s="17" t="s">
        <v>2287</v>
      </c>
      <c r="C1553" s="16" t="s">
        <v>2239</v>
      </c>
      <c r="D1553" s="13">
        <v>7896029075685</v>
      </c>
    </row>
    <row r="1554" spans="1:4">
      <c r="A1554" s="70" t="s">
        <v>2195</v>
      </c>
      <c r="B1554" s="17" t="s">
        <v>2287</v>
      </c>
      <c r="C1554" s="16" t="s">
        <v>2213</v>
      </c>
      <c r="D1554" s="13">
        <v>7896029095768</v>
      </c>
    </row>
    <row r="1555" spans="1:4">
      <c r="A1555" s="70" t="s">
        <v>2195</v>
      </c>
      <c r="B1555" s="17" t="s">
        <v>2287</v>
      </c>
      <c r="C1555" s="16" t="s">
        <v>2212</v>
      </c>
      <c r="D1555" s="13">
        <v>7896029057988</v>
      </c>
    </row>
    <row r="1556" spans="1:4">
      <c r="A1556" s="70" t="s">
        <v>2195</v>
      </c>
      <c r="B1556" s="17" t="s">
        <v>2287</v>
      </c>
      <c r="C1556" s="16" t="s">
        <v>2214</v>
      </c>
      <c r="D1556" s="13">
        <v>7896029095645</v>
      </c>
    </row>
    <row r="1557" spans="1:4">
      <c r="A1557" s="70" t="s">
        <v>2293</v>
      </c>
      <c r="B1557" s="17" t="s">
        <v>2287</v>
      </c>
      <c r="C1557" s="16" t="s">
        <v>2296</v>
      </c>
      <c r="D1557" s="13">
        <v>7896029069486</v>
      </c>
    </row>
    <row r="1558" spans="1:4">
      <c r="A1558" s="70" t="s">
        <v>62</v>
      </c>
      <c r="B1558" s="17" t="s">
        <v>2287</v>
      </c>
      <c r="C1558" s="16" t="s">
        <v>584</v>
      </c>
      <c r="D1558" s="13">
        <v>7898363311894</v>
      </c>
    </row>
    <row r="1559" spans="1:4">
      <c r="A1559" s="70" t="s">
        <v>62</v>
      </c>
      <c r="B1559" s="17" t="s">
        <v>2287</v>
      </c>
      <c r="C1559" s="16" t="s">
        <v>1777</v>
      </c>
      <c r="D1559" s="13">
        <v>7898363313959</v>
      </c>
    </row>
    <row r="1560" spans="1:4">
      <c r="A1560" s="70" t="s">
        <v>62</v>
      </c>
      <c r="B1560" s="17" t="s">
        <v>2287</v>
      </c>
      <c r="C1560" s="16" t="s">
        <v>598</v>
      </c>
      <c r="D1560" s="13">
        <v>7898363312556</v>
      </c>
    </row>
    <row r="1561" spans="1:4">
      <c r="A1561" s="70" t="s">
        <v>62</v>
      </c>
      <c r="B1561" s="17" t="s">
        <v>2287</v>
      </c>
      <c r="C1561" s="16" t="s">
        <v>2140</v>
      </c>
      <c r="D1561" s="13">
        <v>7898363316110</v>
      </c>
    </row>
    <row r="1562" spans="1:4">
      <c r="A1562" s="70" t="s">
        <v>62</v>
      </c>
      <c r="B1562" s="17" t="s">
        <v>2287</v>
      </c>
      <c r="C1562" s="16" t="s">
        <v>585</v>
      </c>
      <c r="D1562" s="13">
        <v>7898363313263</v>
      </c>
    </row>
    <row r="1563" spans="1:4">
      <c r="A1563" s="70" t="s">
        <v>2646</v>
      </c>
      <c r="B1563" s="17" t="s">
        <v>2287</v>
      </c>
      <c r="C1563" s="16" t="s">
        <v>651</v>
      </c>
      <c r="D1563" s="13">
        <v>7898363313959</v>
      </c>
    </row>
    <row r="1564" spans="1:4">
      <c r="A1564" s="70" t="s">
        <v>54</v>
      </c>
      <c r="B1564" s="17" t="s">
        <v>2287</v>
      </c>
      <c r="C1564" s="16" t="s">
        <v>713</v>
      </c>
      <c r="D1564" s="13">
        <v>7898363313881</v>
      </c>
    </row>
    <row r="1565" spans="1:4">
      <c r="A1565" s="70" t="s">
        <v>2196</v>
      </c>
      <c r="B1565" s="17" t="s">
        <v>2287</v>
      </c>
      <c r="C1565" s="16" t="s">
        <v>2215</v>
      </c>
      <c r="D1565" s="51">
        <v>7896029007112</v>
      </c>
    </row>
    <row r="1566" spans="1:4">
      <c r="A1566" s="70" t="s">
        <v>2196</v>
      </c>
      <c r="B1566" s="17" t="s">
        <v>2287</v>
      </c>
      <c r="C1566" s="16" t="s">
        <v>2216</v>
      </c>
      <c r="D1566" s="51">
        <v>7896029007334</v>
      </c>
    </row>
    <row r="1567" spans="1:4">
      <c r="A1567" s="70" t="s">
        <v>2196</v>
      </c>
      <c r="B1567" s="17" t="s">
        <v>2287</v>
      </c>
      <c r="C1567" s="16" t="s">
        <v>2217</v>
      </c>
      <c r="D1567" s="51">
        <v>7896029003824</v>
      </c>
    </row>
    <row r="1568" spans="1:4">
      <c r="A1568" s="70" t="s">
        <v>2196</v>
      </c>
      <c r="B1568" s="17" t="s">
        <v>2287</v>
      </c>
      <c r="C1568" s="16" t="s">
        <v>2218</v>
      </c>
      <c r="D1568" s="13">
        <v>7896029041338</v>
      </c>
    </row>
    <row r="1569" spans="1:4">
      <c r="A1569" s="70" t="s">
        <v>2196</v>
      </c>
      <c r="B1569" s="17" t="s">
        <v>2287</v>
      </c>
      <c r="C1569" s="16" t="s">
        <v>2219</v>
      </c>
      <c r="D1569" s="51">
        <v>7896029007129</v>
      </c>
    </row>
    <row r="1570" spans="1:4">
      <c r="A1570" s="70" t="s">
        <v>131</v>
      </c>
      <c r="B1570" s="17" t="s">
        <v>2287</v>
      </c>
      <c r="C1570" s="16" t="s">
        <v>980</v>
      </c>
      <c r="D1570" s="13">
        <v>7896015603236</v>
      </c>
    </row>
    <row r="1571" spans="1:4">
      <c r="A1571" s="70" t="s">
        <v>93</v>
      </c>
      <c r="B1571" s="17" t="s">
        <v>2283</v>
      </c>
      <c r="C1571" s="16" t="s">
        <v>999</v>
      </c>
      <c r="D1571" s="13">
        <v>7898027656620</v>
      </c>
    </row>
    <row r="1572" spans="1:4">
      <c r="A1572" s="70" t="s">
        <v>93</v>
      </c>
      <c r="B1572" s="17" t="s">
        <v>2283</v>
      </c>
      <c r="C1572" s="16" t="s">
        <v>1000</v>
      </c>
      <c r="D1572" s="13">
        <v>7898027656828</v>
      </c>
    </row>
    <row r="1573" spans="1:4">
      <c r="A1573" s="70" t="s">
        <v>93</v>
      </c>
      <c r="B1573" s="17" t="s">
        <v>2283</v>
      </c>
      <c r="C1573" s="16" t="s">
        <v>1001</v>
      </c>
      <c r="D1573" s="13">
        <v>7898027656866</v>
      </c>
    </row>
    <row r="1574" spans="1:4">
      <c r="A1574" s="70" t="s">
        <v>93</v>
      </c>
      <c r="B1574" s="17" t="s">
        <v>2283</v>
      </c>
      <c r="C1574" s="16" t="s">
        <v>1002</v>
      </c>
      <c r="D1574" s="13">
        <v>7898027656842</v>
      </c>
    </row>
    <row r="1575" spans="1:4">
      <c r="A1575" s="70" t="s">
        <v>93</v>
      </c>
      <c r="B1575" s="17" t="s">
        <v>2283</v>
      </c>
      <c r="C1575" s="16" t="s">
        <v>1003</v>
      </c>
      <c r="D1575" s="13">
        <v>7898027653506</v>
      </c>
    </row>
    <row r="1576" spans="1:4">
      <c r="A1576" s="70" t="s">
        <v>93</v>
      </c>
      <c r="B1576" s="17" t="s">
        <v>2283</v>
      </c>
      <c r="C1576" s="16" t="s">
        <v>1004</v>
      </c>
      <c r="D1576" s="13">
        <v>7898027653520</v>
      </c>
    </row>
    <row r="1577" spans="1:4">
      <c r="A1577" s="70" t="s">
        <v>93</v>
      </c>
      <c r="B1577" s="17" t="s">
        <v>2283</v>
      </c>
      <c r="C1577" s="16" t="s">
        <v>1005</v>
      </c>
      <c r="D1577" s="13">
        <v>7898027656743</v>
      </c>
    </row>
    <row r="1578" spans="1:4">
      <c r="A1578" s="70" t="s">
        <v>93</v>
      </c>
      <c r="B1578" s="17" t="s">
        <v>2283</v>
      </c>
      <c r="C1578" s="16" t="s">
        <v>1006</v>
      </c>
      <c r="D1578" s="13">
        <v>7898027656804</v>
      </c>
    </row>
    <row r="1579" spans="1:4">
      <c r="A1579" s="70" t="s">
        <v>93</v>
      </c>
      <c r="B1579" s="17" t="s">
        <v>2283</v>
      </c>
      <c r="C1579" s="16" t="s">
        <v>1007</v>
      </c>
      <c r="D1579" s="13">
        <v>7898027656767</v>
      </c>
    </row>
    <row r="1580" spans="1:4">
      <c r="A1580" s="70" t="s">
        <v>93</v>
      </c>
      <c r="B1580" s="17" t="s">
        <v>2283</v>
      </c>
      <c r="C1580" s="16" t="s">
        <v>1008</v>
      </c>
      <c r="D1580" s="13">
        <v>7898027656583</v>
      </c>
    </row>
    <row r="1581" spans="1:4">
      <c r="A1581" s="70" t="s">
        <v>93</v>
      </c>
      <c r="B1581" s="17" t="s">
        <v>2283</v>
      </c>
      <c r="C1581" s="16" t="s">
        <v>1009</v>
      </c>
      <c r="D1581" s="13">
        <v>7898027656682</v>
      </c>
    </row>
    <row r="1582" spans="1:4">
      <c r="A1582" s="70" t="s">
        <v>93</v>
      </c>
      <c r="B1582" s="17" t="s">
        <v>2283</v>
      </c>
      <c r="C1582" s="16" t="s">
        <v>1010</v>
      </c>
      <c r="D1582" s="13">
        <v>7898027656644</v>
      </c>
    </row>
    <row r="1583" spans="1:4">
      <c r="A1583" s="70" t="s">
        <v>93</v>
      </c>
      <c r="B1583" s="17" t="s">
        <v>2283</v>
      </c>
      <c r="C1583" s="16" t="s">
        <v>1011</v>
      </c>
      <c r="D1583" s="13">
        <v>7898027656606</v>
      </c>
    </row>
    <row r="1584" spans="1:4">
      <c r="A1584" s="70" t="s">
        <v>93</v>
      </c>
      <c r="B1584" s="17" t="s">
        <v>2283</v>
      </c>
      <c r="C1584" s="16" t="s">
        <v>1012</v>
      </c>
      <c r="D1584" s="13">
        <v>7898027656781</v>
      </c>
    </row>
    <row r="1585" spans="1:4">
      <c r="A1585" s="70" t="s">
        <v>93</v>
      </c>
      <c r="B1585" s="17" t="s">
        <v>2283</v>
      </c>
      <c r="C1585" s="16" t="s">
        <v>1013</v>
      </c>
      <c r="D1585" s="13">
        <v>7898027656729</v>
      </c>
    </row>
    <row r="1586" spans="1:4">
      <c r="A1586" s="70" t="s">
        <v>93</v>
      </c>
      <c r="B1586" s="17" t="s">
        <v>2283</v>
      </c>
      <c r="C1586" s="16" t="s">
        <v>1014</v>
      </c>
      <c r="D1586" s="13">
        <v>7898027656705</v>
      </c>
    </row>
    <row r="1587" spans="1:4">
      <c r="A1587" s="70" t="s">
        <v>93</v>
      </c>
      <c r="B1587" s="17" t="s">
        <v>2283</v>
      </c>
      <c r="C1587" s="16" t="s">
        <v>1015</v>
      </c>
      <c r="D1587" s="13">
        <v>7898027656668</v>
      </c>
    </row>
    <row r="1588" spans="1:4">
      <c r="A1588" s="70" t="s">
        <v>1057</v>
      </c>
      <c r="B1588" s="17" t="s">
        <v>2283</v>
      </c>
      <c r="C1588" s="16" t="s">
        <v>1080</v>
      </c>
      <c r="D1588" s="13">
        <v>7896292050020</v>
      </c>
    </row>
    <row r="1589" spans="1:4">
      <c r="A1589" s="70" t="s">
        <v>1057</v>
      </c>
      <c r="B1589" s="17" t="s">
        <v>2283</v>
      </c>
      <c r="C1589" s="16" t="s">
        <v>1081</v>
      </c>
      <c r="D1589" s="13">
        <v>7896292050594</v>
      </c>
    </row>
    <row r="1590" spans="1:4">
      <c r="A1590" s="70" t="s">
        <v>1057</v>
      </c>
      <c r="B1590" s="17" t="s">
        <v>2283</v>
      </c>
      <c r="C1590" s="16" t="s">
        <v>1082</v>
      </c>
      <c r="D1590" s="13">
        <v>7896292050563</v>
      </c>
    </row>
    <row r="1591" spans="1:4">
      <c r="A1591" s="70" t="s">
        <v>1057</v>
      </c>
      <c r="B1591" s="17" t="s">
        <v>2283</v>
      </c>
      <c r="C1591" s="16" t="s">
        <v>1083</v>
      </c>
      <c r="D1591" s="13">
        <v>7896292050150</v>
      </c>
    </row>
    <row r="1592" spans="1:4">
      <c r="A1592" s="70" t="s">
        <v>1057</v>
      </c>
      <c r="B1592" s="17" t="s">
        <v>2283</v>
      </c>
      <c r="C1592" s="16" t="s">
        <v>1084</v>
      </c>
      <c r="D1592" s="13">
        <v>7896292050600</v>
      </c>
    </row>
    <row r="1593" spans="1:4">
      <c r="A1593" s="70" t="s">
        <v>1057</v>
      </c>
      <c r="B1593" s="17" t="s">
        <v>2283</v>
      </c>
      <c r="C1593" s="16" t="s">
        <v>1085</v>
      </c>
      <c r="D1593" s="13">
        <v>7896292050037</v>
      </c>
    </row>
    <row r="1594" spans="1:4">
      <c r="A1594" s="70" t="s">
        <v>1057</v>
      </c>
      <c r="B1594" s="17" t="s">
        <v>2283</v>
      </c>
      <c r="C1594" s="16" t="s">
        <v>1086</v>
      </c>
      <c r="D1594" s="13">
        <v>7896292050556</v>
      </c>
    </row>
    <row r="1595" spans="1:4">
      <c r="A1595" s="70" t="s">
        <v>1057</v>
      </c>
      <c r="B1595" s="17" t="s">
        <v>2283</v>
      </c>
      <c r="C1595" s="16" t="s">
        <v>1087</v>
      </c>
      <c r="D1595" s="13">
        <v>7896292050013</v>
      </c>
    </row>
    <row r="1596" spans="1:4">
      <c r="A1596" s="70" t="s">
        <v>1057</v>
      </c>
      <c r="B1596" s="17" t="s">
        <v>2283</v>
      </c>
      <c r="C1596" s="16" t="s">
        <v>1088</v>
      </c>
      <c r="D1596" s="13">
        <v>7896292050044</v>
      </c>
    </row>
    <row r="1597" spans="1:4">
      <c r="A1597" s="70" t="s">
        <v>52</v>
      </c>
      <c r="B1597" s="17" t="s">
        <v>2283</v>
      </c>
      <c r="C1597" s="16" t="s">
        <v>589</v>
      </c>
      <c r="D1597" s="13">
        <v>7898963997047</v>
      </c>
    </row>
    <row r="1598" spans="1:4">
      <c r="A1598" s="70" t="s">
        <v>52</v>
      </c>
      <c r="B1598" s="17" t="s">
        <v>2283</v>
      </c>
      <c r="C1598" s="16" t="s">
        <v>590</v>
      </c>
      <c r="D1598" s="13">
        <v>7898963997085</v>
      </c>
    </row>
    <row r="1599" spans="1:4">
      <c r="A1599" s="70" t="s">
        <v>52</v>
      </c>
      <c r="B1599" s="17" t="s">
        <v>2283</v>
      </c>
      <c r="C1599" s="16" t="s">
        <v>591</v>
      </c>
      <c r="D1599" s="13">
        <v>7898963997016</v>
      </c>
    </row>
    <row r="1600" spans="1:4">
      <c r="A1600" s="70" t="s">
        <v>52</v>
      </c>
      <c r="B1600" s="17" t="s">
        <v>2283</v>
      </c>
      <c r="C1600" s="16" t="s">
        <v>592</v>
      </c>
      <c r="D1600" s="13">
        <v>7898963997061</v>
      </c>
    </row>
    <row r="1601" spans="1:4">
      <c r="A1601" s="70" t="s">
        <v>52</v>
      </c>
      <c r="B1601" s="17" t="s">
        <v>2283</v>
      </c>
      <c r="C1601" s="16" t="s">
        <v>593</v>
      </c>
      <c r="D1601" s="13">
        <v>7898963997030</v>
      </c>
    </row>
    <row r="1602" spans="1:4">
      <c r="A1602" s="70" t="s">
        <v>52</v>
      </c>
      <c r="B1602" s="17" t="s">
        <v>2283</v>
      </c>
      <c r="C1602" s="16" t="s">
        <v>594</v>
      </c>
      <c r="D1602" s="13">
        <v>7898963997092</v>
      </c>
    </row>
    <row r="1603" spans="1:4">
      <c r="A1603" s="70" t="s">
        <v>52</v>
      </c>
      <c r="B1603" s="17" t="s">
        <v>2283</v>
      </c>
      <c r="C1603" s="16" t="s">
        <v>595</v>
      </c>
      <c r="D1603" s="13">
        <v>7898963997023</v>
      </c>
    </row>
    <row r="1604" spans="1:4">
      <c r="A1604" s="70" t="s">
        <v>52</v>
      </c>
      <c r="B1604" s="17" t="s">
        <v>2283</v>
      </c>
      <c r="C1604" s="16" t="s">
        <v>1436</v>
      </c>
      <c r="D1604" s="13">
        <v>7898963997412</v>
      </c>
    </row>
    <row r="1605" spans="1:4">
      <c r="A1605" s="70" t="s">
        <v>52</v>
      </c>
      <c r="B1605" s="17" t="s">
        <v>2283</v>
      </c>
      <c r="C1605" s="16" t="s">
        <v>596</v>
      </c>
      <c r="D1605" s="13">
        <v>7898963997078</v>
      </c>
    </row>
    <row r="1606" spans="1:4">
      <c r="A1606" s="70" t="s">
        <v>52</v>
      </c>
      <c r="B1606" s="17" t="s">
        <v>2283</v>
      </c>
      <c r="C1606" s="16" t="s">
        <v>597</v>
      </c>
      <c r="D1606" s="13">
        <v>7898963997054</v>
      </c>
    </row>
    <row r="1607" spans="1:4">
      <c r="A1607" s="70" t="s">
        <v>22</v>
      </c>
      <c r="B1607" s="17" t="s">
        <v>2283</v>
      </c>
      <c r="C1607" s="16" t="s">
        <v>214</v>
      </c>
      <c r="D1607" s="13">
        <v>7894900700015</v>
      </c>
    </row>
    <row r="1608" spans="1:4">
      <c r="A1608" s="70" t="s">
        <v>22</v>
      </c>
      <c r="B1608" s="17" t="s">
        <v>2283</v>
      </c>
      <c r="C1608" s="16" t="s">
        <v>215</v>
      </c>
      <c r="D1608" s="13">
        <v>7894900010015</v>
      </c>
    </row>
    <row r="1609" spans="1:4">
      <c r="A1609" s="70" t="s">
        <v>22</v>
      </c>
      <c r="B1609" s="17" t="s">
        <v>2283</v>
      </c>
      <c r="C1609" s="16" t="s">
        <v>1303</v>
      </c>
      <c r="D1609" s="13">
        <v>7894900010220</v>
      </c>
    </row>
    <row r="1610" spans="1:4">
      <c r="A1610" s="70" t="s">
        <v>960</v>
      </c>
      <c r="B1610" s="17" t="s">
        <v>2283</v>
      </c>
      <c r="C1610" s="16" t="s">
        <v>1472</v>
      </c>
      <c r="D1610" s="13">
        <v>7894900027013</v>
      </c>
    </row>
    <row r="1611" spans="1:4">
      <c r="A1611" s="70" t="s">
        <v>960</v>
      </c>
      <c r="B1611" s="17" t="s">
        <v>2283</v>
      </c>
      <c r="C1611" s="16" t="s">
        <v>1472</v>
      </c>
      <c r="D1611" s="13">
        <v>7894900011517</v>
      </c>
    </row>
    <row r="1612" spans="1:4">
      <c r="A1612" s="70" t="s">
        <v>1888</v>
      </c>
      <c r="B1612" s="17" t="s">
        <v>2283</v>
      </c>
      <c r="C1612" s="16" t="s">
        <v>1890</v>
      </c>
      <c r="D1612" s="13">
        <v>7891991001342</v>
      </c>
    </row>
    <row r="1613" spans="1:4">
      <c r="A1613" s="70" t="s">
        <v>1634</v>
      </c>
      <c r="B1613" s="17" t="s">
        <v>2283</v>
      </c>
      <c r="C1613" s="16" t="s">
        <v>1636</v>
      </c>
      <c r="D1613" s="13">
        <v>7897395030513</v>
      </c>
    </row>
    <row r="1614" spans="1:4">
      <c r="A1614" s="70" t="s">
        <v>1634</v>
      </c>
      <c r="B1614" s="17" t="s">
        <v>2283</v>
      </c>
      <c r="C1614" s="16" t="s">
        <v>1637</v>
      </c>
      <c r="D1614" s="13">
        <v>7897395030315</v>
      </c>
    </row>
    <row r="1615" spans="1:4">
      <c r="A1615" s="70" t="s">
        <v>1634</v>
      </c>
      <c r="B1615" s="17" t="s">
        <v>2283</v>
      </c>
      <c r="C1615" s="16" t="s">
        <v>1638</v>
      </c>
      <c r="D1615" s="13">
        <v>7897395030216</v>
      </c>
    </row>
    <row r="1616" spans="1:4">
      <c r="A1616" s="70" t="s">
        <v>1634</v>
      </c>
      <c r="B1616" s="17" t="s">
        <v>2283</v>
      </c>
      <c r="C1616" s="16" t="s">
        <v>1639</v>
      </c>
      <c r="D1616" s="13">
        <v>7897395030414</v>
      </c>
    </row>
    <row r="1617" spans="1:4">
      <c r="A1617" s="70" t="s">
        <v>1634</v>
      </c>
      <c r="B1617" s="17" t="s">
        <v>2283</v>
      </c>
      <c r="C1617" s="16" t="s">
        <v>1640</v>
      </c>
      <c r="D1617" s="13">
        <v>7897395030117</v>
      </c>
    </row>
    <row r="1618" spans="1:4">
      <c r="A1618" s="70" t="s">
        <v>1862</v>
      </c>
      <c r="B1618" s="17" t="s">
        <v>2283</v>
      </c>
      <c r="C1618" s="16" t="s">
        <v>1863</v>
      </c>
      <c r="D1618" s="13">
        <v>7892840800000</v>
      </c>
    </row>
    <row r="1619" spans="1:4">
      <c r="A1619" s="70" t="s">
        <v>3243</v>
      </c>
      <c r="B1619" s="17" t="s">
        <v>2283</v>
      </c>
      <c r="C1619" s="16" t="s">
        <v>2773</v>
      </c>
      <c r="D1619" s="13">
        <v>7898295300584</v>
      </c>
    </row>
    <row r="1620" spans="1:4">
      <c r="A1620" s="70" t="s">
        <v>1301</v>
      </c>
      <c r="B1620" s="17" t="s">
        <v>2286</v>
      </c>
      <c r="C1620" s="16" t="s">
        <v>1308</v>
      </c>
      <c r="D1620" s="13">
        <v>7896084940423</v>
      </c>
    </row>
    <row r="1621" spans="1:4">
      <c r="A1621" s="70" t="s">
        <v>1781</v>
      </c>
      <c r="B1621" s="17" t="s">
        <v>2288</v>
      </c>
      <c r="C1621" s="16" t="s">
        <v>1786</v>
      </c>
      <c r="D1621" s="13">
        <v>7896353301184</v>
      </c>
    </row>
    <row r="1622" spans="1:4">
      <c r="A1622" s="70" t="s">
        <v>1781</v>
      </c>
      <c r="B1622" s="17" t="s">
        <v>2288</v>
      </c>
      <c r="C1622" s="16" t="s">
        <v>1785</v>
      </c>
      <c r="D1622" s="13">
        <v>7896353301191</v>
      </c>
    </row>
    <row r="1623" spans="1:4">
      <c r="A1623" s="70" t="s">
        <v>1654</v>
      </c>
      <c r="B1623" s="17" t="s">
        <v>2288</v>
      </c>
      <c r="C1623" s="16" t="s">
        <v>1663</v>
      </c>
      <c r="D1623" s="13">
        <v>7896275960193</v>
      </c>
    </row>
    <row r="1624" spans="1:4">
      <c r="A1624" s="70" t="s">
        <v>1654</v>
      </c>
      <c r="B1624" s="17" t="s">
        <v>2288</v>
      </c>
      <c r="C1624" s="16" t="s">
        <v>1664</v>
      </c>
      <c r="D1624" s="13">
        <v>7896275960209</v>
      </c>
    </row>
    <row r="1625" spans="1:4">
      <c r="A1625" s="70" t="s">
        <v>883</v>
      </c>
      <c r="B1625" s="17" t="s">
        <v>2288</v>
      </c>
      <c r="C1625" s="16" t="s">
        <v>899</v>
      </c>
      <c r="D1625" s="13">
        <v>7898908207149</v>
      </c>
    </row>
    <row r="1626" spans="1:4">
      <c r="A1626" s="70" t="s">
        <v>1232</v>
      </c>
      <c r="B1626" s="17" t="s">
        <v>2288</v>
      </c>
      <c r="C1626" s="16" t="s">
        <v>1240</v>
      </c>
      <c r="D1626" s="13">
        <v>7898908207354</v>
      </c>
    </row>
    <row r="1627" spans="1:4">
      <c r="A1627" s="70" t="s">
        <v>1232</v>
      </c>
      <c r="B1627" s="17" t="s">
        <v>2288</v>
      </c>
      <c r="C1627" s="16" t="s">
        <v>899</v>
      </c>
      <c r="D1627" s="13">
        <v>7898908207149</v>
      </c>
    </row>
    <row r="1628" spans="1:4">
      <c r="A1628" s="70" t="s">
        <v>114</v>
      </c>
      <c r="B1628" s="17" t="s">
        <v>2288</v>
      </c>
      <c r="C1628" s="16" t="s">
        <v>273</v>
      </c>
      <c r="D1628" s="13">
        <v>7891000084663</v>
      </c>
    </row>
    <row r="1629" spans="1:4">
      <c r="A1629" s="70" t="s">
        <v>114</v>
      </c>
      <c r="B1629" s="17" t="s">
        <v>2288</v>
      </c>
      <c r="C1629" s="16" t="s">
        <v>274</v>
      </c>
      <c r="D1629" s="13">
        <v>7891000084649</v>
      </c>
    </row>
    <row r="1630" spans="1:4">
      <c r="A1630" s="70" t="s">
        <v>946</v>
      </c>
      <c r="B1630" s="17" t="s">
        <v>2288</v>
      </c>
      <c r="C1630" s="16" t="s">
        <v>951</v>
      </c>
      <c r="D1630" s="13">
        <v>7891999144461</v>
      </c>
    </row>
    <row r="1631" spans="1:4">
      <c r="A1631" s="70" t="s">
        <v>946</v>
      </c>
      <c r="B1631" s="17" t="s">
        <v>2288</v>
      </c>
      <c r="C1631" s="16" t="s">
        <v>950</v>
      </c>
      <c r="D1631" s="13">
        <v>7891999144485</v>
      </c>
    </row>
    <row r="1632" spans="1:4">
      <c r="A1632" s="70" t="s">
        <v>343</v>
      </c>
      <c r="B1632" s="17" t="s">
        <v>2285</v>
      </c>
      <c r="C1632" s="16" t="s">
        <v>347</v>
      </c>
      <c r="D1632" s="13">
        <v>7896007547173</v>
      </c>
    </row>
    <row r="1633" spans="1:4">
      <c r="A1633" s="70" t="s">
        <v>343</v>
      </c>
      <c r="B1633" s="17" t="s">
        <v>2285</v>
      </c>
      <c r="C1633" s="16" t="s">
        <v>348</v>
      </c>
      <c r="D1633" s="13">
        <v>7896007547128</v>
      </c>
    </row>
    <row r="1634" spans="1:4">
      <c r="A1634" s="70" t="s">
        <v>2532</v>
      </c>
      <c r="B1634" s="17" t="s">
        <v>2285</v>
      </c>
      <c r="C1634" s="16" t="s">
        <v>900</v>
      </c>
      <c r="D1634" s="13">
        <v>7898422746759</v>
      </c>
    </row>
    <row r="1635" spans="1:4">
      <c r="A1635" s="70" t="s">
        <v>2226</v>
      </c>
      <c r="B1635" s="17" t="s">
        <v>2285</v>
      </c>
      <c r="C1635" s="16" t="s">
        <v>2236</v>
      </c>
      <c r="D1635" s="13">
        <v>7896061913105</v>
      </c>
    </row>
    <row r="1636" spans="1:4">
      <c r="A1636" s="70" t="s">
        <v>2226</v>
      </c>
      <c r="B1636" s="17" t="s">
        <v>2285</v>
      </c>
      <c r="C1636" s="16" t="s">
        <v>2237</v>
      </c>
      <c r="D1636" s="13">
        <v>7896061913112</v>
      </c>
    </row>
    <row r="1637" spans="1:4">
      <c r="A1637" s="70" t="s">
        <v>634</v>
      </c>
      <c r="B1637" s="17" t="s">
        <v>2285</v>
      </c>
      <c r="C1637" s="16" t="s">
        <v>640</v>
      </c>
      <c r="D1637" s="13">
        <v>7897751900214</v>
      </c>
    </row>
    <row r="1638" spans="1:4">
      <c r="A1638" s="70" t="s">
        <v>634</v>
      </c>
      <c r="B1638" s="17" t="s">
        <v>2285</v>
      </c>
      <c r="C1638" s="16" t="s">
        <v>2457</v>
      </c>
      <c r="D1638" s="13">
        <v>7897751900221</v>
      </c>
    </row>
    <row r="1639" spans="1:4">
      <c r="A1639" s="70" t="s">
        <v>634</v>
      </c>
      <c r="B1639" s="17" t="s">
        <v>2285</v>
      </c>
      <c r="C1639" s="16" t="s">
        <v>641</v>
      </c>
      <c r="D1639" s="13">
        <v>7897751900184</v>
      </c>
    </row>
    <row r="1640" spans="1:4">
      <c r="A1640" s="70" t="s">
        <v>634</v>
      </c>
      <c r="B1640" s="17" t="s">
        <v>2285</v>
      </c>
      <c r="C1640" s="16" t="s">
        <v>642</v>
      </c>
      <c r="D1640" s="13">
        <v>7897751900207</v>
      </c>
    </row>
    <row r="1641" spans="1:4">
      <c r="A1641" s="70" t="s">
        <v>634</v>
      </c>
      <c r="B1641" s="17" t="s">
        <v>2285</v>
      </c>
      <c r="C1641" s="16" t="s">
        <v>2018</v>
      </c>
      <c r="D1641" s="13">
        <v>7897751902102</v>
      </c>
    </row>
    <row r="1642" spans="1:4">
      <c r="A1642" s="70" t="s">
        <v>634</v>
      </c>
      <c r="B1642" s="17" t="s">
        <v>2285</v>
      </c>
      <c r="C1642" s="16" t="s">
        <v>643</v>
      </c>
      <c r="D1642" s="13">
        <v>7897751900191</v>
      </c>
    </row>
    <row r="1643" spans="1:4">
      <c r="A1643" s="70" t="s">
        <v>634</v>
      </c>
      <c r="B1643" s="17" t="s">
        <v>2285</v>
      </c>
      <c r="C1643" s="16" t="s">
        <v>644</v>
      </c>
      <c r="D1643" s="13">
        <v>7897751900238</v>
      </c>
    </row>
    <row r="1644" spans="1:4">
      <c r="A1644" s="70" t="s">
        <v>1279</v>
      </c>
      <c r="B1644" s="17" t="s">
        <v>2285</v>
      </c>
      <c r="C1644" s="16" t="s">
        <v>1290</v>
      </c>
      <c r="D1644" s="13">
        <v>7897751902263</v>
      </c>
    </row>
    <row r="1645" spans="1:4">
      <c r="A1645" s="70" t="s">
        <v>1279</v>
      </c>
      <c r="B1645" s="17" t="s">
        <v>2285</v>
      </c>
      <c r="C1645" s="16" t="s">
        <v>1291</v>
      </c>
      <c r="D1645" s="13">
        <v>7897751902256</v>
      </c>
    </row>
    <row r="1646" spans="1:4">
      <c r="A1646" s="70" t="s">
        <v>663</v>
      </c>
      <c r="B1646" s="17" t="s">
        <v>2285</v>
      </c>
      <c r="C1646" s="16" t="s">
        <v>697</v>
      </c>
      <c r="D1646" s="13">
        <v>7897751900542</v>
      </c>
    </row>
    <row r="1647" spans="1:4">
      <c r="A1647" s="70" t="s">
        <v>663</v>
      </c>
      <c r="B1647" s="17" t="s">
        <v>2285</v>
      </c>
      <c r="C1647" s="16" t="s">
        <v>698</v>
      </c>
      <c r="D1647" s="13">
        <v>7897751900078</v>
      </c>
    </row>
    <row r="1648" spans="1:4">
      <c r="A1648" s="70" t="s">
        <v>663</v>
      </c>
      <c r="B1648" s="17" t="s">
        <v>2285</v>
      </c>
      <c r="C1648" s="16" t="s">
        <v>699</v>
      </c>
      <c r="D1648" s="13">
        <v>7897751900092</v>
      </c>
    </row>
    <row r="1649" spans="1:4">
      <c r="A1649" s="70" t="s">
        <v>663</v>
      </c>
      <c r="B1649" s="17" t="s">
        <v>2285</v>
      </c>
      <c r="C1649" s="16" t="s">
        <v>700</v>
      </c>
      <c r="D1649" s="13">
        <v>7897751900535</v>
      </c>
    </row>
    <row r="1650" spans="1:4">
      <c r="A1650" s="70" t="s">
        <v>663</v>
      </c>
      <c r="B1650" s="17" t="s">
        <v>2285</v>
      </c>
      <c r="C1650" s="16" t="s">
        <v>701</v>
      </c>
      <c r="D1650" s="13">
        <v>7897751900528</v>
      </c>
    </row>
    <row r="1651" spans="1:4">
      <c r="A1651" s="70" t="s">
        <v>663</v>
      </c>
      <c r="B1651" s="17" t="s">
        <v>2285</v>
      </c>
      <c r="C1651" s="16" t="s">
        <v>702</v>
      </c>
      <c r="D1651" s="13">
        <v>7897751900252</v>
      </c>
    </row>
    <row r="1652" spans="1:4">
      <c r="A1652" s="70" t="s">
        <v>2043</v>
      </c>
      <c r="B1652" s="17" t="s">
        <v>2285</v>
      </c>
      <c r="C1652" s="16" t="s">
        <v>2048</v>
      </c>
      <c r="D1652" s="13">
        <v>7898489521146</v>
      </c>
    </row>
    <row r="1653" spans="1:4">
      <c r="A1653" s="70" t="s">
        <v>2043</v>
      </c>
      <c r="B1653" s="17" t="s">
        <v>2285</v>
      </c>
      <c r="C1653" s="16" t="s">
        <v>2049</v>
      </c>
      <c r="D1653" s="13">
        <v>7898489521153</v>
      </c>
    </row>
    <row r="1654" spans="1:4">
      <c r="A1654" s="70" t="s">
        <v>2043</v>
      </c>
      <c r="B1654" s="17" t="s">
        <v>2285</v>
      </c>
      <c r="C1654" s="16" t="s">
        <v>2050</v>
      </c>
      <c r="D1654" s="13">
        <v>7898489521177</v>
      </c>
    </row>
    <row r="1655" spans="1:4">
      <c r="A1655" s="70" t="s">
        <v>2043</v>
      </c>
      <c r="B1655" s="17" t="s">
        <v>2285</v>
      </c>
      <c r="C1655" s="16" t="s">
        <v>2051</v>
      </c>
      <c r="D1655" s="13">
        <v>7898489521160</v>
      </c>
    </row>
    <row r="1656" spans="1:4">
      <c r="A1656" s="70" t="s">
        <v>2043</v>
      </c>
      <c r="B1656" s="17" t="s">
        <v>2285</v>
      </c>
      <c r="C1656" s="16" t="s">
        <v>2052</v>
      </c>
      <c r="D1656" s="13">
        <v>7898489521122</v>
      </c>
    </row>
    <row r="1657" spans="1:4">
      <c r="A1657" s="70" t="s">
        <v>2043</v>
      </c>
      <c r="B1657" s="17" t="s">
        <v>2285</v>
      </c>
      <c r="C1657" s="16" t="s">
        <v>2053</v>
      </c>
      <c r="D1657" s="13">
        <v>7898489521139</v>
      </c>
    </row>
    <row r="1658" spans="1:4">
      <c r="A1658" s="70" t="s">
        <v>2043</v>
      </c>
      <c r="B1658" s="17" t="s">
        <v>2285</v>
      </c>
      <c r="C1658" s="16" t="s">
        <v>2054</v>
      </c>
      <c r="D1658" s="13">
        <v>7898489521184</v>
      </c>
    </row>
    <row r="1659" spans="1:4">
      <c r="A1659" s="70" t="s">
        <v>45</v>
      </c>
      <c r="B1659" s="17" t="s">
        <v>2285</v>
      </c>
      <c r="C1659" s="16" t="s">
        <v>531</v>
      </c>
      <c r="D1659" s="13">
        <v>7898489511888</v>
      </c>
    </row>
    <row r="1660" spans="1:4">
      <c r="A1660" s="70" t="s">
        <v>45</v>
      </c>
      <c r="B1660" s="17" t="s">
        <v>2285</v>
      </c>
      <c r="C1660" s="16" t="s">
        <v>532</v>
      </c>
      <c r="D1660" s="13">
        <v>7898085943809</v>
      </c>
    </row>
    <row r="1661" spans="1:4">
      <c r="A1661" s="70" t="s">
        <v>45</v>
      </c>
      <c r="B1661" s="17" t="s">
        <v>2285</v>
      </c>
      <c r="C1661" s="16" t="s">
        <v>533</v>
      </c>
      <c r="D1661" s="13">
        <v>7898085945001</v>
      </c>
    </row>
    <row r="1662" spans="1:4">
      <c r="A1662" s="70" t="s">
        <v>45</v>
      </c>
      <c r="B1662" s="17" t="s">
        <v>2285</v>
      </c>
      <c r="C1662" s="16" t="s">
        <v>534</v>
      </c>
      <c r="D1662" s="13">
        <v>7898489511871</v>
      </c>
    </row>
    <row r="1663" spans="1:4">
      <c r="A1663" s="70" t="s">
        <v>45</v>
      </c>
      <c r="B1663" s="17" t="s">
        <v>2285</v>
      </c>
      <c r="C1663" s="16" t="s">
        <v>535</v>
      </c>
      <c r="D1663" s="13">
        <v>7898489513127</v>
      </c>
    </row>
    <row r="1664" spans="1:4">
      <c r="A1664" s="70" t="s">
        <v>378</v>
      </c>
      <c r="B1664" s="17" t="s">
        <v>2280</v>
      </c>
      <c r="C1664" s="16" t="s">
        <v>364</v>
      </c>
      <c r="D1664" s="13">
        <v>7896110100029</v>
      </c>
    </row>
    <row r="1665" spans="1:4">
      <c r="A1665" s="70" t="s">
        <v>1924</v>
      </c>
      <c r="B1665" s="17" t="s">
        <v>3406</v>
      </c>
      <c r="C1665" s="16" t="s">
        <v>1933</v>
      </c>
      <c r="D1665" s="13">
        <v>98359</v>
      </c>
    </row>
    <row r="1666" spans="1:4">
      <c r="A1666" s="70" t="s">
        <v>1655</v>
      </c>
      <c r="B1666" s="17" t="s">
        <v>3406</v>
      </c>
      <c r="C1666" s="16" t="s">
        <v>1668</v>
      </c>
      <c r="D1666" s="13">
        <v>98304</v>
      </c>
    </row>
    <row r="1667" spans="1:4">
      <c r="A1667" s="70" t="s">
        <v>3274</v>
      </c>
      <c r="B1667" s="17" t="s">
        <v>3406</v>
      </c>
      <c r="C1667" s="16" t="s">
        <v>3272</v>
      </c>
      <c r="D1667" s="13">
        <v>99295</v>
      </c>
    </row>
    <row r="1668" spans="1:4">
      <c r="A1668" s="70" t="s">
        <v>3274</v>
      </c>
      <c r="B1668" s="17" t="s">
        <v>3406</v>
      </c>
      <c r="C1668" s="16" t="s">
        <v>3273</v>
      </c>
      <c r="D1668" s="13">
        <v>98540</v>
      </c>
    </row>
    <row r="1669" spans="1:4">
      <c r="A1669" s="70" t="s">
        <v>128</v>
      </c>
      <c r="B1669" s="17" t="s">
        <v>3406</v>
      </c>
      <c r="C1669" s="16" t="s">
        <v>128</v>
      </c>
      <c r="D1669" s="13">
        <v>99455</v>
      </c>
    </row>
    <row r="1670" spans="1:4">
      <c r="A1670" s="70" t="s">
        <v>1466</v>
      </c>
      <c r="B1670" s="17" t="s">
        <v>3406</v>
      </c>
      <c r="C1670" s="16" t="s">
        <v>375</v>
      </c>
      <c r="D1670" s="13">
        <v>99288</v>
      </c>
    </row>
    <row r="1671" spans="1:4">
      <c r="A1671" s="70" t="s">
        <v>3069</v>
      </c>
      <c r="B1671" s="17" t="s">
        <v>3406</v>
      </c>
      <c r="C1671" s="16" t="s">
        <v>1686</v>
      </c>
      <c r="D1671" s="13">
        <v>99851</v>
      </c>
    </row>
    <row r="1672" spans="1:4">
      <c r="A1672" s="70" t="s">
        <v>58</v>
      </c>
      <c r="B1672" s="17" t="s">
        <v>3406</v>
      </c>
      <c r="C1672" s="16" t="s">
        <v>58</v>
      </c>
      <c r="D1672" s="13">
        <v>99271</v>
      </c>
    </row>
    <row r="1673" spans="1:4">
      <c r="A1673" s="70" t="s">
        <v>1493</v>
      </c>
      <c r="B1673" s="17" t="s">
        <v>2284</v>
      </c>
      <c r="C1673" s="16" t="s">
        <v>477</v>
      </c>
      <c r="D1673" s="13">
        <v>7896009301049</v>
      </c>
    </row>
    <row r="1674" spans="1:4">
      <c r="A1674" s="70" t="s">
        <v>55</v>
      </c>
      <c r="B1674" s="17" t="s">
        <v>2284</v>
      </c>
      <c r="C1674" s="16" t="s">
        <v>478</v>
      </c>
      <c r="D1674" s="13">
        <v>7896009301063</v>
      </c>
    </row>
    <row r="1675" spans="1:4">
      <c r="A1675" s="70" t="s">
        <v>55</v>
      </c>
      <c r="B1675" s="17" t="s">
        <v>2284</v>
      </c>
      <c r="C1675" s="16" t="s">
        <v>2524</v>
      </c>
      <c r="D1675" s="13">
        <v>7896009301049</v>
      </c>
    </row>
    <row r="1676" spans="1:4">
      <c r="A1676" s="70" t="s">
        <v>55</v>
      </c>
      <c r="B1676" s="17" t="s">
        <v>2284</v>
      </c>
      <c r="C1676" s="16" t="s">
        <v>2524</v>
      </c>
      <c r="D1676" s="13">
        <v>7894321811758</v>
      </c>
    </row>
    <row r="1677" spans="1:4">
      <c r="A1677" s="70" t="s">
        <v>55</v>
      </c>
      <c r="B1677" s="17" t="s">
        <v>2284</v>
      </c>
      <c r="C1677" s="16" t="s">
        <v>478</v>
      </c>
      <c r="D1677" s="13">
        <v>7894321811789</v>
      </c>
    </row>
    <row r="1678" spans="1:4">
      <c r="A1678" s="70" t="s">
        <v>1804</v>
      </c>
      <c r="B1678" s="17" t="s">
        <v>2284</v>
      </c>
      <c r="C1678" s="16" t="s">
        <v>514</v>
      </c>
      <c r="D1678" s="13">
        <v>7896114900045</v>
      </c>
    </row>
    <row r="1679" spans="1:4">
      <c r="A1679" s="70" t="s">
        <v>1804</v>
      </c>
      <c r="B1679" s="17" t="s">
        <v>2284</v>
      </c>
      <c r="C1679" s="16" t="s">
        <v>513</v>
      </c>
      <c r="D1679" s="13">
        <v>7896114901738</v>
      </c>
    </row>
    <row r="1680" spans="1:4">
      <c r="A1680" s="70" t="s">
        <v>1804</v>
      </c>
      <c r="B1680" s="17" t="s">
        <v>2284</v>
      </c>
      <c r="C1680" s="16" t="s">
        <v>513</v>
      </c>
      <c r="D1680" s="13">
        <v>7896114900014</v>
      </c>
    </row>
    <row r="1681" spans="1:4">
      <c r="A1681" s="70" t="s">
        <v>2079</v>
      </c>
      <c r="B1681" s="17" t="s">
        <v>2285</v>
      </c>
      <c r="C1681" s="16" t="s">
        <v>2082</v>
      </c>
      <c r="D1681" s="13">
        <v>7899026459540</v>
      </c>
    </row>
    <row r="1682" spans="1:4">
      <c r="A1682" s="70" t="s">
        <v>2079</v>
      </c>
      <c r="B1682" s="17" t="s">
        <v>2285</v>
      </c>
      <c r="C1682" s="16" t="s">
        <v>2083</v>
      </c>
      <c r="D1682" s="13">
        <v>7899026464919</v>
      </c>
    </row>
    <row r="1683" spans="1:4">
      <c r="A1683" s="70" t="s">
        <v>2079</v>
      </c>
      <c r="B1683" s="17" t="s">
        <v>2285</v>
      </c>
      <c r="C1683" s="16" t="s">
        <v>2084</v>
      </c>
      <c r="D1683" s="13">
        <v>7899026483767</v>
      </c>
    </row>
    <row r="1684" spans="1:4">
      <c r="A1684" s="70" t="s">
        <v>2079</v>
      </c>
      <c r="B1684" s="17" t="s">
        <v>2285</v>
      </c>
      <c r="C1684" s="16" t="s">
        <v>2085</v>
      </c>
      <c r="D1684" s="13">
        <v>7899026460447</v>
      </c>
    </row>
    <row r="1685" spans="1:4">
      <c r="A1685" s="70" t="s">
        <v>2079</v>
      </c>
      <c r="B1685" s="17" t="s">
        <v>2285</v>
      </c>
      <c r="C1685" s="16" t="s">
        <v>2086</v>
      </c>
      <c r="D1685" s="13">
        <v>7899026459748</v>
      </c>
    </row>
    <row r="1686" spans="1:4">
      <c r="A1686" s="70" t="s">
        <v>2079</v>
      </c>
      <c r="B1686" s="17" t="s">
        <v>2285</v>
      </c>
      <c r="C1686" s="16" t="s">
        <v>2087</v>
      </c>
      <c r="D1686" s="13">
        <v>7899026460065</v>
      </c>
    </row>
    <row r="1687" spans="1:4">
      <c r="A1687" s="70" t="s">
        <v>2079</v>
      </c>
      <c r="B1687" s="17" t="s">
        <v>2285</v>
      </c>
      <c r="C1687" s="16" t="s">
        <v>2088</v>
      </c>
      <c r="D1687" s="13">
        <v>7899026459687</v>
      </c>
    </row>
    <row r="1688" spans="1:4">
      <c r="A1688" s="70" t="s">
        <v>2079</v>
      </c>
      <c r="B1688" s="17" t="s">
        <v>2285</v>
      </c>
      <c r="C1688" s="16" t="s">
        <v>2089</v>
      </c>
      <c r="D1688" s="13">
        <v>7899026487284</v>
      </c>
    </row>
    <row r="1689" spans="1:4">
      <c r="A1689" s="70" t="s">
        <v>2079</v>
      </c>
      <c r="B1689" s="17" t="s">
        <v>2285</v>
      </c>
      <c r="C1689" s="16" t="s">
        <v>2090</v>
      </c>
      <c r="D1689" s="13">
        <v>7899026487178</v>
      </c>
    </row>
    <row r="1690" spans="1:4">
      <c r="A1690" s="70" t="s">
        <v>2079</v>
      </c>
      <c r="B1690" s="17" t="s">
        <v>2285</v>
      </c>
      <c r="C1690" s="16" t="s">
        <v>2091</v>
      </c>
      <c r="D1690" s="13">
        <v>7899026459960</v>
      </c>
    </row>
    <row r="1691" spans="1:4">
      <c r="A1691" s="70" t="s">
        <v>2079</v>
      </c>
      <c r="B1691" s="17" t="s">
        <v>2285</v>
      </c>
      <c r="C1691" s="16" t="s">
        <v>2092</v>
      </c>
      <c r="D1691" s="13">
        <v>7898587764889</v>
      </c>
    </row>
    <row r="1692" spans="1:4">
      <c r="A1692" s="70" t="s">
        <v>2079</v>
      </c>
      <c r="B1692" s="17" t="s">
        <v>2285</v>
      </c>
      <c r="C1692" s="16" t="s">
        <v>2105</v>
      </c>
      <c r="D1692" s="13">
        <v>7899706187343</v>
      </c>
    </row>
    <row r="1693" spans="1:4">
      <c r="A1693" s="70" t="s">
        <v>2079</v>
      </c>
      <c r="B1693" s="17" t="s">
        <v>2285</v>
      </c>
      <c r="C1693" s="16" t="s">
        <v>2107</v>
      </c>
      <c r="D1693" s="13">
        <v>7899706180924</v>
      </c>
    </row>
    <row r="1694" spans="1:4">
      <c r="A1694" s="70" t="s">
        <v>2079</v>
      </c>
      <c r="B1694" s="17" t="s">
        <v>2285</v>
      </c>
      <c r="C1694" s="16" t="s">
        <v>2108</v>
      </c>
      <c r="D1694" s="13">
        <v>7898587774314</v>
      </c>
    </row>
    <row r="1695" spans="1:4">
      <c r="A1695" s="70" t="s">
        <v>2079</v>
      </c>
      <c r="B1695" s="17" t="s">
        <v>2285</v>
      </c>
      <c r="C1695" s="16" t="s">
        <v>2109</v>
      </c>
      <c r="D1695" s="13">
        <v>7899706133371</v>
      </c>
    </row>
    <row r="1696" spans="1:4">
      <c r="A1696" s="70" t="s">
        <v>2079</v>
      </c>
      <c r="B1696" s="17" t="s">
        <v>2285</v>
      </c>
      <c r="C1696" s="16" t="s">
        <v>2119</v>
      </c>
      <c r="D1696" s="13">
        <v>7899706113144</v>
      </c>
    </row>
    <row r="1697" spans="1:4">
      <c r="A1697" s="70" t="s">
        <v>2079</v>
      </c>
      <c r="B1697" s="17" t="s">
        <v>2285</v>
      </c>
      <c r="C1697" s="16" t="s">
        <v>2120</v>
      </c>
      <c r="D1697" s="13">
        <v>7899706152105</v>
      </c>
    </row>
    <row r="1698" spans="1:4">
      <c r="A1698" s="70" t="s">
        <v>2079</v>
      </c>
      <c r="B1698" s="17" t="s">
        <v>2285</v>
      </c>
      <c r="C1698" s="16" t="s">
        <v>2121</v>
      </c>
      <c r="D1698" s="13">
        <v>7898587774390</v>
      </c>
    </row>
    <row r="1699" spans="1:4">
      <c r="A1699" s="70" t="s">
        <v>2079</v>
      </c>
      <c r="B1699" s="17" t="s">
        <v>2285</v>
      </c>
      <c r="C1699" s="16" t="s">
        <v>2110</v>
      </c>
      <c r="D1699" s="13">
        <v>7899706117715</v>
      </c>
    </row>
    <row r="1700" spans="1:4">
      <c r="A1700" s="70" t="s">
        <v>2079</v>
      </c>
      <c r="B1700" s="17" t="s">
        <v>2285</v>
      </c>
      <c r="C1700" s="16" t="s">
        <v>2111</v>
      </c>
      <c r="D1700" s="13">
        <v>7899706170833</v>
      </c>
    </row>
    <row r="1701" spans="1:4">
      <c r="A1701" s="70" t="s">
        <v>2079</v>
      </c>
      <c r="B1701" s="17" t="s">
        <v>2285</v>
      </c>
      <c r="C1701" s="16" t="s">
        <v>2093</v>
      </c>
      <c r="D1701" s="13">
        <v>7899026458949</v>
      </c>
    </row>
    <row r="1702" spans="1:4">
      <c r="A1702" s="70" t="s">
        <v>2079</v>
      </c>
      <c r="B1702" s="17" t="s">
        <v>2285</v>
      </c>
      <c r="C1702" s="16" t="s">
        <v>2127</v>
      </c>
      <c r="D1702" s="13">
        <v>7899706134156</v>
      </c>
    </row>
    <row r="1703" spans="1:4">
      <c r="A1703" s="70" t="s">
        <v>735</v>
      </c>
      <c r="B1703" s="17" t="s">
        <v>2285</v>
      </c>
      <c r="C1703" s="16" t="s">
        <v>744</v>
      </c>
      <c r="D1703" s="13">
        <v>7891150060685</v>
      </c>
    </row>
    <row r="1704" spans="1:4">
      <c r="A1704" s="70" t="s">
        <v>735</v>
      </c>
      <c r="B1704" s="17" t="s">
        <v>2285</v>
      </c>
      <c r="C1704" s="16" t="s">
        <v>745</v>
      </c>
      <c r="D1704" s="13">
        <v>7891150056572</v>
      </c>
    </row>
    <row r="1705" spans="1:4">
      <c r="A1705" s="70" t="s">
        <v>735</v>
      </c>
      <c r="B1705" s="17" t="s">
        <v>2285</v>
      </c>
      <c r="C1705" s="16" t="s">
        <v>746</v>
      </c>
      <c r="D1705" s="13">
        <v>7891150049628</v>
      </c>
    </row>
    <row r="1706" spans="1:4">
      <c r="A1706" s="70" t="s">
        <v>735</v>
      </c>
      <c r="B1706" s="17" t="s">
        <v>2285</v>
      </c>
      <c r="C1706" s="16" t="s">
        <v>1728</v>
      </c>
      <c r="D1706" s="13">
        <v>7891150080089</v>
      </c>
    </row>
    <row r="1707" spans="1:4">
      <c r="A1707" s="70" t="s">
        <v>735</v>
      </c>
      <c r="B1707" s="17" t="s">
        <v>2285</v>
      </c>
      <c r="C1707" s="16" t="s">
        <v>1566</v>
      </c>
      <c r="D1707" s="13">
        <v>7891150072886</v>
      </c>
    </row>
    <row r="1708" spans="1:4">
      <c r="A1708" s="70" t="s">
        <v>735</v>
      </c>
      <c r="B1708" s="17" t="s">
        <v>2285</v>
      </c>
      <c r="C1708" s="16" t="s">
        <v>747</v>
      </c>
      <c r="D1708" s="13">
        <v>7891150042773</v>
      </c>
    </row>
    <row r="1709" spans="1:4">
      <c r="A1709" s="70" t="s">
        <v>735</v>
      </c>
      <c r="B1709" s="17" t="s">
        <v>2285</v>
      </c>
      <c r="C1709" s="16" t="s">
        <v>748</v>
      </c>
      <c r="D1709" s="13">
        <v>7891150037595</v>
      </c>
    </row>
    <row r="1710" spans="1:4">
      <c r="A1710" s="70" t="s">
        <v>735</v>
      </c>
      <c r="B1710" s="17" t="s">
        <v>2285</v>
      </c>
      <c r="C1710" s="16" t="s">
        <v>749</v>
      </c>
      <c r="D1710" s="13">
        <v>7891150037434</v>
      </c>
    </row>
    <row r="1711" spans="1:4">
      <c r="A1711" s="70" t="s">
        <v>735</v>
      </c>
      <c r="B1711" s="17" t="s">
        <v>2285</v>
      </c>
      <c r="C1711" s="16" t="s">
        <v>750</v>
      </c>
      <c r="D1711" s="13">
        <v>7891150037588</v>
      </c>
    </row>
    <row r="1712" spans="1:4">
      <c r="A1712" s="70" t="s">
        <v>735</v>
      </c>
      <c r="B1712" s="17" t="s">
        <v>2285</v>
      </c>
      <c r="C1712" s="16" t="s">
        <v>751</v>
      </c>
      <c r="D1712" s="13">
        <v>7891150037601</v>
      </c>
    </row>
    <row r="1713" spans="1:4">
      <c r="A1713" s="70" t="s">
        <v>735</v>
      </c>
      <c r="B1713" s="17" t="s">
        <v>2285</v>
      </c>
      <c r="C1713" s="16" t="s">
        <v>752</v>
      </c>
      <c r="D1713" s="13">
        <v>7891150037458</v>
      </c>
    </row>
    <row r="1714" spans="1:4">
      <c r="A1714" s="70" t="s">
        <v>735</v>
      </c>
      <c r="B1714" s="17" t="s">
        <v>2285</v>
      </c>
      <c r="C1714" s="16" t="s">
        <v>753</v>
      </c>
      <c r="D1714" s="13">
        <v>7891150043213</v>
      </c>
    </row>
    <row r="1715" spans="1:4">
      <c r="A1715" s="70" t="s">
        <v>735</v>
      </c>
      <c r="B1715" s="17" t="s">
        <v>2285</v>
      </c>
      <c r="C1715" s="16" t="s">
        <v>754</v>
      </c>
      <c r="D1715" s="13">
        <v>7891150037472</v>
      </c>
    </row>
    <row r="1716" spans="1:4">
      <c r="A1716" s="70" t="s">
        <v>735</v>
      </c>
      <c r="B1716" s="17" t="s">
        <v>2285</v>
      </c>
      <c r="C1716" s="16" t="s">
        <v>755</v>
      </c>
      <c r="D1716" s="13">
        <v>7891150037502</v>
      </c>
    </row>
    <row r="1717" spans="1:4">
      <c r="A1717" s="70" t="s">
        <v>735</v>
      </c>
      <c r="B1717" s="17" t="s">
        <v>2285</v>
      </c>
      <c r="C1717" s="16" t="s">
        <v>756</v>
      </c>
      <c r="D1717" s="13">
        <v>7891150037519</v>
      </c>
    </row>
    <row r="1718" spans="1:4">
      <c r="A1718" s="70" t="s">
        <v>735</v>
      </c>
      <c r="B1718" s="17" t="s">
        <v>2285</v>
      </c>
      <c r="C1718" s="16" t="s">
        <v>757</v>
      </c>
      <c r="D1718" s="13">
        <v>7891150037533</v>
      </c>
    </row>
    <row r="1719" spans="1:4">
      <c r="A1719" s="70" t="s">
        <v>735</v>
      </c>
      <c r="B1719" s="17" t="s">
        <v>2285</v>
      </c>
      <c r="C1719" s="16" t="s">
        <v>797</v>
      </c>
      <c r="D1719" s="13">
        <v>7891150067509</v>
      </c>
    </row>
    <row r="1720" spans="1:4">
      <c r="A1720" s="70" t="s">
        <v>735</v>
      </c>
      <c r="B1720" s="17" t="s">
        <v>2285</v>
      </c>
      <c r="C1720" s="16" t="s">
        <v>758</v>
      </c>
      <c r="D1720" s="13">
        <v>7891150037540</v>
      </c>
    </row>
    <row r="1721" spans="1:4">
      <c r="A1721" s="70" t="s">
        <v>735</v>
      </c>
      <c r="B1721" s="17" t="s">
        <v>2285</v>
      </c>
      <c r="C1721" s="16" t="s">
        <v>759</v>
      </c>
      <c r="D1721" s="13">
        <v>7891150037557</v>
      </c>
    </row>
    <row r="1722" spans="1:4">
      <c r="A1722" s="70" t="s">
        <v>735</v>
      </c>
      <c r="B1722" s="17" t="s">
        <v>2285</v>
      </c>
      <c r="C1722" s="16" t="s">
        <v>760</v>
      </c>
      <c r="D1722" s="13">
        <v>7891150037526</v>
      </c>
    </row>
    <row r="1723" spans="1:4">
      <c r="A1723" s="70" t="s">
        <v>735</v>
      </c>
      <c r="B1723" s="17" t="s">
        <v>2285</v>
      </c>
      <c r="C1723" s="16" t="s">
        <v>761</v>
      </c>
      <c r="D1723" s="13">
        <v>7891150037564</v>
      </c>
    </row>
    <row r="1724" spans="1:4">
      <c r="A1724" s="70" t="s">
        <v>735</v>
      </c>
      <c r="B1724" s="17" t="s">
        <v>2285</v>
      </c>
      <c r="C1724" s="16" t="s">
        <v>795</v>
      </c>
      <c r="D1724" s="13">
        <v>7891150070301</v>
      </c>
    </row>
    <row r="1725" spans="1:4">
      <c r="A1725" s="70" t="s">
        <v>735</v>
      </c>
      <c r="B1725" s="17" t="s">
        <v>2285</v>
      </c>
      <c r="C1725" s="16" t="s">
        <v>796</v>
      </c>
      <c r="D1725" s="13">
        <v>7891150063440</v>
      </c>
    </row>
    <row r="1726" spans="1:4">
      <c r="A1726" s="70" t="s">
        <v>735</v>
      </c>
      <c r="B1726" s="17" t="s">
        <v>2285</v>
      </c>
      <c r="C1726" s="16" t="s">
        <v>762</v>
      </c>
      <c r="D1726" s="13">
        <v>7891150037397</v>
      </c>
    </row>
    <row r="1727" spans="1:4">
      <c r="A1727" s="70" t="s">
        <v>735</v>
      </c>
      <c r="B1727" s="17" t="s">
        <v>2285</v>
      </c>
      <c r="C1727" s="16" t="s">
        <v>763</v>
      </c>
      <c r="D1727" s="13">
        <v>7891150037571</v>
      </c>
    </row>
    <row r="1728" spans="1:4">
      <c r="A1728" s="70" t="s">
        <v>735</v>
      </c>
      <c r="B1728" s="17" t="s">
        <v>2285</v>
      </c>
      <c r="C1728" s="16" t="s">
        <v>764</v>
      </c>
      <c r="D1728" s="13">
        <v>7891150055629</v>
      </c>
    </row>
    <row r="1729" spans="1:4">
      <c r="A1729" s="70" t="s">
        <v>735</v>
      </c>
      <c r="B1729" s="17" t="s">
        <v>2285</v>
      </c>
      <c r="C1729" s="16" t="s">
        <v>1231</v>
      </c>
      <c r="D1729" s="13">
        <v>7891150073999</v>
      </c>
    </row>
    <row r="1730" spans="1:4">
      <c r="A1730" s="70" t="s">
        <v>1283</v>
      </c>
      <c r="B1730" s="17" t="s">
        <v>2288</v>
      </c>
      <c r="C1730" s="16" t="s">
        <v>1293</v>
      </c>
      <c r="D1730" s="13">
        <v>7896002365963</v>
      </c>
    </row>
    <row r="1731" spans="1:4">
      <c r="A1731" s="70" t="s">
        <v>1283</v>
      </c>
      <c r="B1731" s="17" t="s">
        <v>2288</v>
      </c>
      <c r="C1731" s="16" t="s">
        <v>1294</v>
      </c>
      <c r="D1731" s="13">
        <v>7896002364768</v>
      </c>
    </row>
    <row r="1732" spans="1:4">
      <c r="A1732" s="70" t="s">
        <v>1283</v>
      </c>
      <c r="B1732" s="17" t="s">
        <v>2288</v>
      </c>
      <c r="C1732" s="16" t="s">
        <v>1302</v>
      </c>
      <c r="D1732" s="13">
        <v>7896002303828</v>
      </c>
    </row>
    <row r="1733" spans="1:4">
      <c r="A1733" s="70" t="s">
        <v>1283</v>
      </c>
      <c r="B1733" s="17" t="s">
        <v>2288</v>
      </c>
      <c r="C1733" s="16" t="s">
        <v>1295</v>
      </c>
      <c r="D1733" s="13">
        <v>7896002301398</v>
      </c>
    </row>
    <row r="1734" spans="1:4">
      <c r="A1734" s="70" t="s">
        <v>664</v>
      </c>
      <c r="B1734" s="17" t="s">
        <v>2288</v>
      </c>
      <c r="C1734" s="16" t="s">
        <v>694</v>
      </c>
      <c r="D1734" s="13">
        <v>7891025110897</v>
      </c>
    </row>
    <row r="1735" spans="1:4">
      <c r="A1735" s="70" t="s">
        <v>2010</v>
      </c>
      <c r="B1735" s="17" t="s">
        <v>2288</v>
      </c>
      <c r="C1735" s="16" t="s">
        <v>2011</v>
      </c>
      <c r="D1735" s="13">
        <v>7898036493094</v>
      </c>
    </row>
    <row r="1736" spans="1:4">
      <c r="A1736" s="70" t="s">
        <v>2010</v>
      </c>
      <c r="B1736" s="17" t="s">
        <v>2288</v>
      </c>
      <c r="C1736" s="16" t="s">
        <v>2012</v>
      </c>
      <c r="D1736" s="13">
        <v>7898036493070</v>
      </c>
    </row>
    <row r="1737" spans="1:4">
      <c r="A1737" s="70" t="s">
        <v>2010</v>
      </c>
      <c r="B1737" s="17" t="s">
        <v>2288</v>
      </c>
      <c r="C1737" s="16" t="s">
        <v>2013</v>
      </c>
      <c r="D1737" s="13">
        <v>7898036493117</v>
      </c>
    </row>
    <row r="1738" spans="1:4">
      <c r="A1738" s="70" t="s">
        <v>2010</v>
      </c>
      <c r="B1738" s="17" t="s">
        <v>2288</v>
      </c>
      <c r="C1738" s="16" t="s">
        <v>2014</v>
      </c>
      <c r="D1738" s="13">
        <v>7898036493087</v>
      </c>
    </row>
    <row r="1739" spans="1:4">
      <c r="A1739" s="70" t="s">
        <v>2010</v>
      </c>
      <c r="B1739" s="17" t="s">
        <v>2288</v>
      </c>
      <c r="C1739" s="16" t="s">
        <v>2015</v>
      </c>
      <c r="D1739" s="13">
        <v>7898036493100</v>
      </c>
    </row>
    <row r="1740" spans="1:4">
      <c r="A1740" s="70" t="s">
        <v>2010</v>
      </c>
      <c r="B1740" s="17" t="s">
        <v>2288</v>
      </c>
      <c r="C1740" s="16" t="s">
        <v>2016</v>
      </c>
      <c r="D1740" s="13">
        <v>7898036493056</v>
      </c>
    </row>
    <row r="1741" spans="1:4">
      <c r="A1741" s="70" t="s">
        <v>2010</v>
      </c>
      <c r="B1741" s="17" t="s">
        <v>2288</v>
      </c>
      <c r="C1741" s="16" t="s">
        <v>2017</v>
      </c>
      <c r="D1741" s="13">
        <v>7898036493063</v>
      </c>
    </row>
    <row r="1742" spans="1:4">
      <c r="A1742" s="70" t="s">
        <v>119</v>
      </c>
      <c r="B1742" s="17" t="s">
        <v>2288</v>
      </c>
      <c r="C1742" s="16" t="s">
        <v>819</v>
      </c>
      <c r="D1742" s="13">
        <v>7898036491076</v>
      </c>
    </row>
    <row r="1743" spans="1:4">
      <c r="A1743" s="70" t="s">
        <v>119</v>
      </c>
      <c r="B1743" s="17" t="s">
        <v>2288</v>
      </c>
      <c r="C1743" s="16" t="s">
        <v>830</v>
      </c>
      <c r="D1743" s="13">
        <v>7898036491588</v>
      </c>
    </row>
    <row r="1744" spans="1:4">
      <c r="A1744" s="70" t="s">
        <v>119</v>
      </c>
      <c r="B1744" s="17" t="s">
        <v>2288</v>
      </c>
      <c r="C1744" s="16" t="s">
        <v>820</v>
      </c>
      <c r="D1744" s="13">
        <v>7898036491670</v>
      </c>
    </row>
    <row r="1745" spans="1:4">
      <c r="A1745" s="70" t="s">
        <v>119</v>
      </c>
      <c r="B1745" s="17" t="s">
        <v>2288</v>
      </c>
      <c r="C1745" s="16" t="s">
        <v>821</v>
      </c>
      <c r="D1745" s="13">
        <v>7898036491571</v>
      </c>
    </row>
    <row r="1746" spans="1:4">
      <c r="A1746" s="70" t="s">
        <v>119</v>
      </c>
      <c r="B1746" s="17" t="s">
        <v>2288</v>
      </c>
      <c r="C1746" s="16" t="s">
        <v>822</v>
      </c>
      <c r="D1746" s="13">
        <v>7898036492479</v>
      </c>
    </row>
    <row r="1747" spans="1:4">
      <c r="A1747" s="70" t="s">
        <v>119</v>
      </c>
      <c r="B1747" s="17" t="s">
        <v>2288</v>
      </c>
      <c r="C1747" s="16" t="s">
        <v>823</v>
      </c>
      <c r="D1747" s="13">
        <v>7898036492738</v>
      </c>
    </row>
    <row r="1748" spans="1:4">
      <c r="A1748" s="70" t="s">
        <v>119</v>
      </c>
      <c r="B1748" s="17" t="s">
        <v>2288</v>
      </c>
      <c r="C1748" s="16" t="s">
        <v>824</v>
      </c>
      <c r="D1748" s="13">
        <v>7898036491274</v>
      </c>
    </row>
    <row r="1749" spans="1:4">
      <c r="A1749" s="70" t="s">
        <v>119</v>
      </c>
      <c r="B1749" s="17" t="s">
        <v>2288</v>
      </c>
      <c r="C1749" s="16" t="s">
        <v>825</v>
      </c>
      <c r="D1749" s="13">
        <v>7898036491175</v>
      </c>
    </row>
    <row r="1750" spans="1:4">
      <c r="A1750" s="70" t="s">
        <v>119</v>
      </c>
      <c r="B1750" s="17" t="s">
        <v>2288</v>
      </c>
      <c r="C1750" s="16" t="s">
        <v>826</v>
      </c>
      <c r="D1750" s="13">
        <v>7898036491472</v>
      </c>
    </row>
    <row r="1751" spans="1:4">
      <c r="A1751" s="70" t="s">
        <v>119</v>
      </c>
      <c r="B1751" s="17" t="s">
        <v>2288</v>
      </c>
      <c r="C1751" s="16" t="s">
        <v>827</v>
      </c>
      <c r="D1751" s="13">
        <v>7898036492271</v>
      </c>
    </row>
    <row r="1752" spans="1:4">
      <c r="A1752" s="70" t="s">
        <v>119</v>
      </c>
      <c r="B1752" s="17" t="s">
        <v>2288</v>
      </c>
      <c r="C1752" s="16" t="s">
        <v>828</v>
      </c>
      <c r="D1752" s="13">
        <v>7898036492370</v>
      </c>
    </row>
    <row r="1753" spans="1:4">
      <c r="A1753" s="70" t="s">
        <v>1813</v>
      </c>
      <c r="B1753" s="17" t="s">
        <v>2288</v>
      </c>
      <c r="C1753" s="16" t="s">
        <v>1818</v>
      </c>
      <c r="D1753" s="13">
        <v>7891150062115</v>
      </c>
    </row>
    <row r="1754" spans="1:4">
      <c r="A1754" s="70" t="s">
        <v>1813</v>
      </c>
      <c r="B1754" s="17" t="s">
        <v>2288</v>
      </c>
      <c r="C1754" s="16" t="s">
        <v>1819</v>
      </c>
      <c r="D1754" s="13">
        <v>7891150067912</v>
      </c>
    </row>
    <row r="1755" spans="1:4">
      <c r="A1755" s="70" t="s">
        <v>1813</v>
      </c>
      <c r="B1755" s="17" t="s">
        <v>2288</v>
      </c>
      <c r="C1755" s="16" t="s">
        <v>1820</v>
      </c>
      <c r="D1755" s="13">
        <v>7891150055957</v>
      </c>
    </row>
    <row r="1756" spans="1:4">
      <c r="A1756" s="70" t="s">
        <v>1813</v>
      </c>
      <c r="B1756" s="17" t="s">
        <v>2288</v>
      </c>
      <c r="C1756" s="16" t="s">
        <v>1821</v>
      </c>
      <c r="D1756" s="13">
        <v>7891150024571</v>
      </c>
    </row>
    <row r="1757" spans="1:4">
      <c r="A1757" s="70" t="s">
        <v>1113</v>
      </c>
      <c r="B1757" s="17" t="s">
        <v>2288</v>
      </c>
      <c r="C1757" s="16" t="s">
        <v>267</v>
      </c>
      <c r="D1757" s="13">
        <v>7891150062993</v>
      </c>
    </row>
    <row r="1758" spans="1:4">
      <c r="A1758" s="70" t="s">
        <v>1113</v>
      </c>
      <c r="B1758" s="17" t="s">
        <v>2288</v>
      </c>
      <c r="C1758" s="16" t="s">
        <v>1425</v>
      </c>
      <c r="D1758" s="13">
        <v>7891150077263</v>
      </c>
    </row>
    <row r="1759" spans="1:4">
      <c r="A1759" s="70" t="s">
        <v>1113</v>
      </c>
      <c r="B1759" s="17" t="s">
        <v>2288</v>
      </c>
      <c r="C1759" s="16" t="s">
        <v>267</v>
      </c>
      <c r="D1759" s="13">
        <v>7891150026773</v>
      </c>
    </row>
    <row r="1760" spans="1:4">
      <c r="A1760" s="70" t="s">
        <v>1113</v>
      </c>
      <c r="B1760" s="17" t="s">
        <v>2288</v>
      </c>
      <c r="C1760" s="16" t="s">
        <v>268</v>
      </c>
      <c r="D1760" s="13">
        <v>7891150050235</v>
      </c>
    </row>
    <row r="1761" spans="1:4">
      <c r="A1761" s="70" t="s">
        <v>1113</v>
      </c>
      <c r="B1761" s="17" t="s">
        <v>2288</v>
      </c>
      <c r="C1761" s="16" t="s">
        <v>269</v>
      </c>
      <c r="D1761" s="13">
        <v>7891150050242</v>
      </c>
    </row>
    <row r="1762" spans="1:4">
      <c r="A1762" s="70" t="s">
        <v>1113</v>
      </c>
      <c r="B1762" s="17" t="s">
        <v>2288</v>
      </c>
      <c r="C1762" s="16" t="s">
        <v>270</v>
      </c>
      <c r="D1762" s="13">
        <v>7891150055858</v>
      </c>
    </row>
    <row r="1763" spans="1:4">
      <c r="A1763" s="70" t="s">
        <v>1113</v>
      </c>
      <c r="B1763" s="17" t="s">
        <v>2288</v>
      </c>
      <c r="C1763" s="16" t="s">
        <v>271</v>
      </c>
      <c r="D1763" s="13">
        <v>7891150026742</v>
      </c>
    </row>
    <row r="1764" spans="1:4">
      <c r="A1764" s="70" t="s">
        <v>1113</v>
      </c>
      <c r="B1764" s="17" t="s">
        <v>2288</v>
      </c>
      <c r="C1764" s="16" t="s">
        <v>272</v>
      </c>
      <c r="D1764" s="13">
        <v>7891150063006</v>
      </c>
    </row>
    <row r="1765" spans="1:4">
      <c r="A1765" s="70" t="s">
        <v>1113</v>
      </c>
      <c r="B1765" s="17" t="s">
        <v>2288</v>
      </c>
      <c r="C1765" s="16" t="s">
        <v>272</v>
      </c>
      <c r="D1765" s="13">
        <v>7891150039384</v>
      </c>
    </row>
    <row r="1766" spans="1:4">
      <c r="A1766" s="70" t="s">
        <v>88</v>
      </c>
      <c r="B1766" s="17" t="s">
        <v>2288</v>
      </c>
      <c r="C1766" s="16" t="s">
        <v>1047</v>
      </c>
      <c r="D1766" s="13">
        <v>7891000120507</v>
      </c>
    </row>
    <row r="1767" spans="1:4">
      <c r="A1767" s="70" t="s">
        <v>88</v>
      </c>
      <c r="B1767" s="17" t="s">
        <v>2288</v>
      </c>
      <c r="C1767" s="16" t="s">
        <v>1048</v>
      </c>
      <c r="D1767" s="13">
        <v>7891000120521</v>
      </c>
    </row>
    <row r="1768" spans="1:4">
      <c r="A1768" s="70" t="s">
        <v>88</v>
      </c>
      <c r="B1768" s="17" t="s">
        <v>2288</v>
      </c>
      <c r="C1768" s="16" t="s">
        <v>1049</v>
      </c>
      <c r="D1768" s="13">
        <v>7891000120071</v>
      </c>
    </row>
    <row r="1769" spans="1:4">
      <c r="A1769" s="70" t="s">
        <v>88</v>
      </c>
      <c r="B1769" s="17" t="s">
        <v>2288</v>
      </c>
      <c r="C1769" s="16" t="s">
        <v>1050</v>
      </c>
      <c r="D1769" s="13">
        <v>7899975800240</v>
      </c>
    </row>
    <row r="1770" spans="1:4">
      <c r="A1770" s="70" t="s">
        <v>88</v>
      </c>
      <c r="B1770" s="17" t="s">
        <v>2288</v>
      </c>
      <c r="C1770" s="16" t="s">
        <v>2137</v>
      </c>
      <c r="D1770" s="13">
        <v>7899975802466</v>
      </c>
    </row>
    <row r="1771" spans="1:4">
      <c r="A1771" s="70" t="s">
        <v>88</v>
      </c>
      <c r="B1771" s="17" t="s">
        <v>2288</v>
      </c>
      <c r="C1771" s="16" t="s">
        <v>1051</v>
      </c>
      <c r="D1771" s="13">
        <v>7899975800585</v>
      </c>
    </row>
    <row r="1772" spans="1:4">
      <c r="A1772" s="70" t="s">
        <v>30</v>
      </c>
      <c r="B1772" s="17" t="s">
        <v>2283</v>
      </c>
      <c r="C1772" s="16" t="s">
        <v>512</v>
      </c>
      <c r="D1772" s="13">
        <v>7898406780021</v>
      </c>
    </row>
    <row r="1773" spans="1:4">
      <c r="A1773" s="70" t="s">
        <v>1893</v>
      </c>
      <c r="B1773" s="17" t="s">
        <v>2283</v>
      </c>
      <c r="C1773" s="16" t="s">
        <v>1894</v>
      </c>
      <c r="D1773" s="13">
        <v>7899916904778</v>
      </c>
    </row>
    <row r="1774" spans="1:4">
      <c r="A1774" s="70" t="s">
        <v>2328</v>
      </c>
      <c r="B1774" s="17" t="s">
        <v>2288</v>
      </c>
      <c r="C1774" s="16" t="s">
        <v>1889</v>
      </c>
      <c r="D1774" s="13">
        <v>7897195981374</v>
      </c>
    </row>
    <row r="1775" spans="1:4">
      <c r="A1775" s="70" t="s">
        <v>1653</v>
      </c>
      <c r="B1775" s="17" t="s">
        <v>2283</v>
      </c>
      <c r="C1775" s="16" t="s">
        <v>1666</v>
      </c>
      <c r="D1775" s="13">
        <v>7894900611076</v>
      </c>
    </row>
    <row r="1776" spans="1:4">
      <c r="A1776" s="70" t="s">
        <v>26</v>
      </c>
      <c r="B1776" s="17" t="s">
        <v>2283</v>
      </c>
      <c r="C1776" s="16" t="s">
        <v>382</v>
      </c>
      <c r="D1776" s="13">
        <v>7896266101000</v>
      </c>
    </row>
    <row r="1777" spans="1:4">
      <c r="A1777" s="70" t="s">
        <v>633</v>
      </c>
      <c r="B1777" s="17" t="s">
        <v>2283</v>
      </c>
      <c r="C1777" s="16" t="s">
        <v>638</v>
      </c>
      <c r="D1777" s="13">
        <v>7896855907501</v>
      </c>
    </row>
    <row r="1778" spans="1:4">
      <c r="A1778" s="70" t="s">
        <v>633</v>
      </c>
      <c r="B1778" s="17" t="s">
        <v>2283</v>
      </c>
      <c r="C1778" s="16" t="s">
        <v>639</v>
      </c>
      <c r="D1778" s="13">
        <v>7896855901745</v>
      </c>
    </row>
    <row r="1779" spans="1:4">
      <c r="A1779" s="70" t="s">
        <v>20</v>
      </c>
      <c r="B1779" s="17" t="s">
        <v>2283</v>
      </c>
      <c r="C1779" s="16" t="s">
        <v>510</v>
      </c>
      <c r="D1779" s="13">
        <v>7896023014819</v>
      </c>
    </row>
    <row r="1780" spans="1:4">
      <c r="A1780" s="70" t="s">
        <v>1198</v>
      </c>
      <c r="B1780" s="17" t="s">
        <v>2288</v>
      </c>
      <c r="C1780" s="16" t="s">
        <v>1207</v>
      </c>
      <c r="D1780" s="13">
        <v>7898553442933</v>
      </c>
    </row>
    <row r="1781" spans="1:4">
      <c r="A1781" s="70" t="s">
        <v>1769</v>
      </c>
      <c r="B1781" s="17" t="s">
        <v>2287</v>
      </c>
      <c r="C1781" s="16" t="s">
        <v>1775</v>
      </c>
      <c r="D1781" s="13">
        <v>7896183301484</v>
      </c>
    </row>
    <row r="1782" spans="1:4">
      <c r="A1782" s="70" t="s">
        <v>877</v>
      </c>
      <c r="B1782" s="17" t="s">
        <v>2284</v>
      </c>
      <c r="C1782" s="16" t="s">
        <v>915</v>
      </c>
      <c r="D1782" s="13">
        <v>7891095159529</v>
      </c>
    </row>
    <row r="1783" spans="1:4">
      <c r="A1783" s="70" t="s">
        <v>877</v>
      </c>
      <c r="B1783" s="17" t="s">
        <v>2284</v>
      </c>
      <c r="C1783" s="16" t="s">
        <v>916</v>
      </c>
      <c r="D1783" s="13">
        <v>7891095605569</v>
      </c>
    </row>
    <row r="1784" spans="1:4">
      <c r="A1784" s="70" t="s">
        <v>877</v>
      </c>
      <c r="B1784" s="17" t="s">
        <v>2284</v>
      </c>
      <c r="C1784" s="16" t="s">
        <v>917</v>
      </c>
      <c r="D1784" s="13">
        <v>7891095022953</v>
      </c>
    </row>
    <row r="1785" spans="1:4">
      <c r="A1785" s="70" t="s">
        <v>877</v>
      </c>
      <c r="B1785" s="17" t="s">
        <v>2284</v>
      </c>
      <c r="C1785" s="16" t="s">
        <v>918</v>
      </c>
      <c r="D1785" s="13">
        <v>7891095605576</v>
      </c>
    </row>
    <row r="1786" spans="1:4">
      <c r="A1786" s="70" t="s">
        <v>877</v>
      </c>
      <c r="B1786" s="17" t="s">
        <v>2284</v>
      </c>
      <c r="C1786" s="16" t="s">
        <v>919</v>
      </c>
      <c r="D1786" s="13">
        <v>7891095150304</v>
      </c>
    </row>
    <row r="1787" spans="1:4">
      <c r="A1787" s="70" t="s">
        <v>877</v>
      </c>
      <c r="B1787" s="17" t="s">
        <v>2284</v>
      </c>
      <c r="C1787" s="16" t="s">
        <v>920</v>
      </c>
      <c r="D1787" s="13">
        <v>7891095013456</v>
      </c>
    </row>
    <row r="1788" spans="1:4">
      <c r="A1788" s="70" t="s">
        <v>877</v>
      </c>
      <c r="B1788" s="17" t="s">
        <v>2284</v>
      </c>
      <c r="C1788" s="16" t="s">
        <v>921</v>
      </c>
      <c r="D1788" s="13">
        <v>7891095605583</v>
      </c>
    </row>
    <row r="1789" spans="1:4">
      <c r="A1789" s="70" t="s">
        <v>877</v>
      </c>
      <c r="B1789" s="17" t="s">
        <v>2284</v>
      </c>
      <c r="C1789" s="16" t="s">
        <v>922</v>
      </c>
      <c r="D1789" s="13">
        <v>7891095150472</v>
      </c>
    </row>
    <row r="1790" spans="1:4">
      <c r="A1790" s="70" t="s">
        <v>877</v>
      </c>
      <c r="B1790" s="17" t="s">
        <v>2284</v>
      </c>
      <c r="C1790" s="16" t="s">
        <v>923</v>
      </c>
      <c r="D1790" s="13">
        <v>7891095011889</v>
      </c>
    </row>
    <row r="1791" spans="1:4">
      <c r="A1791" s="70" t="s">
        <v>877</v>
      </c>
      <c r="B1791" s="17" t="s">
        <v>2284</v>
      </c>
      <c r="C1791" s="16" t="s">
        <v>924</v>
      </c>
      <c r="D1791" s="13">
        <v>7891095021383</v>
      </c>
    </row>
    <row r="1792" spans="1:4">
      <c r="A1792" s="70" t="s">
        <v>877</v>
      </c>
      <c r="B1792" s="17" t="s">
        <v>2284</v>
      </c>
      <c r="C1792" s="16" t="s">
        <v>935</v>
      </c>
      <c r="D1792" s="13">
        <v>7891095013449</v>
      </c>
    </row>
    <row r="1793" spans="1:4">
      <c r="A1793" s="70" t="s">
        <v>459</v>
      </c>
      <c r="B1793" s="17" t="s">
        <v>2287</v>
      </c>
      <c r="C1793" s="16" t="s">
        <v>401</v>
      </c>
      <c r="D1793" s="13">
        <v>7896061920202</v>
      </c>
    </row>
    <row r="1794" spans="1:4">
      <c r="A1794" s="70" t="s">
        <v>2141</v>
      </c>
      <c r="B1794" s="17" t="s">
        <v>2287</v>
      </c>
      <c r="C1794" s="16" t="s">
        <v>2148</v>
      </c>
      <c r="D1794" s="13">
        <v>7896061920233</v>
      </c>
    </row>
    <row r="1795" spans="1:4">
      <c r="A1795" s="70" t="s">
        <v>2243</v>
      </c>
      <c r="B1795" s="17" t="s">
        <v>2287</v>
      </c>
      <c r="C1795" s="16" t="s">
        <v>2245</v>
      </c>
      <c r="D1795" s="13">
        <v>7896075300717</v>
      </c>
    </row>
    <row r="1796" spans="1:4">
      <c r="A1796" s="70" t="s">
        <v>599</v>
      </c>
      <c r="B1796" s="17" t="s">
        <v>2285</v>
      </c>
      <c r="C1796" s="16" t="s">
        <v>624</v>
      </c>
      <c r="D1796" s="13">
        <v>7896018703063</v>
      </c>
    </row>
    <row r="1797" spans="1:4">
      <c r="A1797" s="70" t="s">
        <v>1136</v>
      </c>
      <c r="B1797" s="17" t="s">
        <v>2285</v>
      </c>
      <c r="C1797" s="16" t="s">
        <v>1197</v>
      </c>
      <c r="D1797" s="13">
        <v>7896018704299</v>
      </c>
    </row>
    <row r="1798" spans="1:4">
      <c r="A1798" s="70" t="s">
        <v>2167</v>
      </c>
      <c r="B1798" s="17" t="s">
        <v>2284</v>
      </c>
      <c r="C1798" s="16" t="s">
        <v>1801</v>
      </c>
      <c r="D1798" s="13">
        <v>7891032015222</v>
      </c>
    </row>
    <row r="1799" spans="1:4">
      <c r="A1799" s="70" t="s">
        <v>2167</v>
      </c>
      <c r="B1799" s="17" t="s">
        <v>2284</v>
      </c>
      <c r="C1799" s="16" t="s">
        <v>1802</v>
      </c>
      <c r="D1799" s="13">
        <v>7891032015215</v>
      </c>
    </row>
    <row r="1800" spans="1:4">
      <c r="A1800" s="70" t="s">
        <v>1843</v>
      </c>
      <c r="B1800" s="17" t="s">
        <v>2282</v>
      </c>
      <c r="C1800" s="16" t="s">
        <v>1848</v>
      </c>
      <c r="D1800" s="13">
        <v>7893000012509</v>
      </c>
    </row>
    <row r="1801" spans="1:4">
      <c r="A1801" s="70" t="s">
        <v>3151</v>
      </c>
      <c r="B1801" s="17" t="s">
        <v>2287</v>
      </c>
      <c r="C1801" s="16" t="s">
        <v>263</v>
      </c>
      <c r="D1801" s="13">
        <v>7896001016712</v>
      </c>
    </row>
    <row r="1802" spans="1:4">
      <c r="A1802" s="10" t="s">
        <v>3103</v>
      </c>
      <c r="B1802" s="17" t="s">
        <v>2287</v>
      </c>
      <c r="C1802" s="16" t="s">
        <v>363</v>
      </c>
      <c r="D1802" s="13">
        <v>7896314709561</v>
      </c>
    </row>
    <row r="1803" spans="1:4">
      <c r="A1803" s="70" t="s">
        <v>2241</v>
      </c>
      <c r="B1803" s="17" t="s">
        <v>2283</v>
      </c>
      <c r="C1803" s="16" t="s">
        <v>2203</v>
      </c>
      <c r="D1803" s="13">
        <v>7896756804664</v>
      </c>
    </row>
    <row r="1804" spans="1:4">
      <c r="A1804" s="70" t="s">
        <v>2241</v>
      </c>
      <c r="B1804" s="17" t="s">
        <v>2283</v>
      </c>
      <c r="C1804" s="16" t="s">
        <v>2204</v>
      </c>
      <c r="D1804" s="13">
        <v>7896756805395</v>
      </c>
    </row>
    <row r="1805" spans="1:4">
      <c r="A1805" s="70" t="s">
        <v>2241</v>
      </c>
      <c r="B1805" s="17" t="s">
        <v>2283</v>
      </c>
      <c r="C1805" s="16" t="s">
        <v>2205</v>
      </c>
      <c r="D1805" s="13">
        <v>7896756804657</v>
      </c>
    </row>
    <row r="1806" spans="1:4">
      <c r="A1806" s="70" t="s">
        <v>2199</v>
      </c>
      <c r="B1806" s="17" t="s">
        <v>2283</v>
      </c>
      <c r="C1806" s="16" t="s">
        <v>2203</v>
      </c>
      <c r="D1806" s="13">
        <v>7896756804664</v>
      </c>
    </row>
    <row r="1807" spans="1:4">
      <c r="A1807" s="70" t="s">
        <v>2199</v>
      </c>
      <c r="B1807" s="17" t="s">
        <v>2283</v>
      </c>
      <c r="C1807" s="16" t="s">
        <v>2204</v>
      </c>
      <c r="D1807" s="13">
        <v>7896756805395</v>
      </c>
    </row>
    <row r="1808" spans="1:4">
      <c r="A1808" s="70" t="s">
        <v>2199</v>
      </c>
      <c r="B1808" s="17" t="s">
        <v>2283</v>
      </c>
      <c r="C1808" s="16" t="s">
        <v>2205</v>
      </c>
      <c r="D1808" s="13">
        <v>7896756804657</v>
      </c>
    </row>
    <row r="1809" spans="1:4">
      <c r="A1809" s="70" t="s">
        <v>1778</v>
      </c>
      <c r="B1809" s="17" t="s">
        <v>2283</v>
      </c>
      <c r="C1809" s="16" t="s">
        <v>1779</v>
      </c>
      <c r="D1809" s="13">
        <v>7793440702940</v>
      </c>
    </row>
    <row r="1810" spans="1:4">
      <c r="A1810" s="70" t="s">
        <v>1778</v>
      </c>
      <c r="B1810" s="17" t="s">
        <v>2283</v>
      </c>
      <c r="C1810" s="16" t="s">
        <v>1780</v>
      </c>
      <c r="D1810" s="13">
        <v>7793440702964</v>
      </c>
    </row>
    <row r="1811" spans="1:4">
      <c r="A1811" s="70" t="s">
        <v>1732</v>
      </c>
      <c r="B1811" s="17" t="s">
        <v>2283</v>
      </c>
      <c r="C1811" s="16" t="s">
        <v>1735</v>
      </c>
      <c r="D1811" s="13">
        <v>7793440000046</v>
      </c>
    </row>
    <row r="1812" spans="1:4">
      <c r="A1812" s="70" t="s">
        <v>1732</v>
      </c>
      <c r="B1812" s="17" t="s">
        <v>2283</v>
      </c>
      <c r="C1812" s="16" t="s">
        <v>1736</v>
      </c>
      <c r="D1812" s="13">
        <v>7793440704326</v>
      </c>
    </row>
    <row r="1813" spans="1:4">
      <c r="A1813" s="70" t="s">
        <v>1732</v>
      </c>
      <c r="B1813" s="17" t="s">
        <v>2283</v>
      </c>
      <c r="C1813" s="16" t="s">
        <v>1737</v>
      </c>
      <c r="D1813" s="13">
        <v>7793440000039</v>
      </c>
    </row>
    <row r="1814" spans="1:4">
      <c r="A1814" s="70" t="s">
        <v>2168</v>
      </c>
      <c r="B1814" s="17" t="s">
        <v>2283</v>
      </c>
      <c r="C1814" s="16" t="s">
        <v>2172</v>
      </c>
      <c r="D1814" s="13">
        <v>7790240097856</v>
      </c>
    </row>
    <row r="1815" spans="1:4">
      <c r="A1815" s="70" t="s">
        <v>2168</v>
      </c>
      <c r="B1815" s="17" t="s">
        <v>2283</v>
      </c>
      <c r="C1815" s="16" t="s">
        <v>2173</v>
      </c>
      <c r="D1815" s="13">
        <v>7790240097887</v>
      </c>
    </row>
    <row r="1816" spans="1:4">
      <c r="A1816" s="70" t="s">
        <v>2168</v>
      </c>
      <c r="B1816" s="17" t="s">
        <v>2283</v>
      </c>
      <c r="C1816" s="16" t="s">
        <v>2174</v>
      </c>
      <c r="D1816" s="13">
        <v>7791540052446</v>
      </c>
    </row>
    <row r="1817" spans="1:4">
      <c r="A1817" s="70" t="s">
        <v>2168</v>
      </c>
      <c r="B1817" s="17" t="s">
        <v>2283</v>
      </c>
      <c r="C1817" s="16" t="s">
        <v>2175</v>
      </c>
      <c r="D1817" s="13">
        <v>7790240097900</v>
      </c>
    </row>
    <row r="1818" spans="1:4">
      <c r="A1818" s="70" t="s">
        <v>2168</v>
      </c>
      <c r="B1818" s="17" t="s">
        <v>2283</v>
      </c>
      <c r="C1818" s="16" t="s">
        <v>2176</v>
      </c>
      <c r="D1818" s="13">
        <v>7791540052934</v>
      </c>
    </row>
    <row r="1819" spans="1:4">
      <c r="A1819" s="70" t="s">
        <v>886</v>
      </c>
      <c r="B1819" s="17" t="s">
        <v>2283</v>
      </c>
      <c r="C1819" s="16" t="s">
        <v>905</v>
      </c>
      <c r="D1819" s="13">
        <v>7896023085734</v>
      </c>
    </row>
    <row r="1820" spans="1:4">
      <c r="A1820" s="70" t="s">
        <v>886</v>
      </c>
      <c r="B1820" s="17" t="s">
        <v>2283</v>
      </c>
      <c r="C1820" s="16" t="s">
        <v>906</v>
      </c>
      <c r="D1820" s="13">
        <v>7896023081545</v>
      </c>
    </row>
    <row r="1821" spans="1:4">
      <c r="A1821" s="70" t="s">
        <v>886</v>
      </c>
      <c r="B1821" s="17" t="s">
        <v>2283</v>
      </c>
      <c r="C1821" s="16" t="s">
        <v>907</v>
      </c>
      <c r="D1821" s="13">
        <v>7896023085710</v>
      </c>
    </row>
    <row r="1822" spans="1:4">
      <c r="A1822" s="70" t="s">
        <v>886</v>
      </c>
      <c r="B1822" s="17" t="s">
        <v>2283</v>
      </c>
      <c r="C1822" s="16" t="s">
        <v>908</v>
      </c>
      <c r="D1822" s="13">
        <v>7896023081538</v>
      </c>
    </row>
    <row r="1823" spans="1:4">
      <c r="A1823" s="70" t="s">
        <v>886</v>
      </c>
      <c r="B1823" s="17" t="s">
        <v>2283</v>
      </c>
      <c r="C1823" s="16" t="s">
        <v>909</v>
      </c>
      <c r="D1823" s="13">
        <v>7896023081392</v>
      </c>
    </row>
    <row r="1824" spans="1:4">
      <c r="A1824" s="70" t="s">
        <v>2956</v>
      </c>
      <c r="B1824" s="17" t="s">
        <v>2283</v>
      </c>
      <c r="C1824" s="16" t="s">
        <v>626</v>
      </c>
      <c r="D1824" s="13">
        <v>7896023080043</v>
      </c>
    </row>
    <row r="1825" spans="1:4">
      <c r="A1825" s="70" t="s">
        <v>2956</v>
      </c>
      <c r="B1825" s="17" t="s">
        <v>2283</v>
      </c>
      <c r="C1825" s="16" t="s">
        <v>627</v>
      </c>
      <c r="D1825" s="13">
        <v>7896023081477</v>
      </c>
    </row>
    <row r="1826" spans="1:4">
      <c r="A1826" s="70" t="s">
        <v>2956</v>
      </c>
      <c r="B1826" s="17" t="s">
        <v>2283</v>
      </c>
      <c r="C1826" s="16" t="s">
        <v>628</v>
      </c>
      <c r="D1826" s="13">
        <v>7896023081415</v>
      </c>
    </row>
    <row r="1827" spans="1:4">
      <c r="A1827" s="70" t="s">
        <v>2956</v>
      </c>
      <c r="B1827" s="17" t="s">
        <v>2283</v>
      </c>
      <c r="C1827" s="16" t="s">
        <v>1840</v>
      </c>
      <c r="D1827" s="13">
        <v>7896023010750</v>
      </c>
    </row>
    <row r="1828" spans="1:4">
      <c r="A1828" s="70" t="s">
        <v>2956</v>
      </c>
      <c r="B1828" s="17" t="s">
        <v>2283</v>
      </c>
      <c r="C1828" s="16" t="s">
        <v>629</v>
      </c>
      <c r="D1828" s="13">
        <v>7896023084096</v>
      </c>
    </row>
    <row r="1829" spans="1:4">
      <c r="A1829" s="70" t="s">
        <v>2956</v>
      </c>
      <c r="B1829" s="17" t="s">
        <v>2283</v>
      </c>
      <c r="C1829" s="16" t="s">
        <v>630</v>
      </c>
      <c r="D1829" s="13">
        <v>7896023010712</v>
      </c>
    </row>
    <row r="1830" spans="1:4">
      <c r="A1830" s="70" t="s">
        <v>2956</v>
      </c>
      <c r="B1830" s="17" t="s">
        <v>2283</v>
      </c>
      <c r="C1830" s="16" t="s">
        <v>632</v>
      </c>
      <c r="D1830" s="13">
        <v>7791540049569</v>
      </c>
    </row>
    <row r="1831" spans="1:4">
      <c r="A1831" s="70" t="s">
        <v>2956</v>
      </c>
      <c r="B1831" s="17" t="s">
        <v>2283</v>
      </c>
      <c r="C1831" s="16" t="s">
        <v>631</v>
      </c>
      <c r="D1831" s="13">
        <v>7791540049552</v>
      </c>
    </row>
    <row r="1832" spans="1:4">
      <c r="A1832" s="70" t="s">
        <v>2956</v>
      </c>
      <c r="B1832" s="17" t="s">
        <v>2283</v>
      </c>
      <c r="C1832" s="16" t="s">
        <v>938</v>
      </c>
      <c r="D1832" s="13">
        <v>7791540049545</v>
      </c>
    </row>
    <row r="1833" spans="1:4">
      <c r="A1833" s="70" t="s">
        <v>84</v>
      </c>
      <c r="B1833" s="17" t="s">
        <v>2283</v>
      </c>
      <c r="C1833" s="16" t="s">
        <v>502</v>
      </c>
      <c r="D1833" s="13">
        <v>7804320303178</v>
      </c>
    </row>
    <row r="1834" spans="1:4">
      <c r="A1834" s="70" t="s">
        <v>84</v>
      </c>
      <c r="B1834" s="17" t="s">
        <v>2283</v>
      </c>
      <c r="C1834" s="16" t="s">
        <v>1922</v>
      </c>
      <c r="D1834" s="13">
        <v>7804320750354</v>
      </c>
    </row>
    <row r="1835" spans="1:4">
      <c r="A1835" s="70" t="s">
        <v>84</v>
      </c>
      <c r="B1835" s="17" t="s">
        <v>2283</v>
      </c>
      <c r="C1835" s="16" t="s">
        <v>494</v>
      </c>
      <c r="D1835" s="13">
        <v>7804320131344</v>
      </c>
    </row>
    <row r="1836" spans="1:4">
      <c r="A1836" s="70" t="s">
        <v>84</v>
      </c>
      <c r="B1836" s="17" t="s">
        <v>2283</v>
      </c>
      <c r="C1836" s="16" t="s">
        <v>495</v>
      </c>
      <c r="D1836" s="13">
        <v>7804320510170</v>
      </c>
    </row>
    <row r="1837" spans="1:4">
      <c r="A1837" s="70" t="s">
        <v>84</v>
      </c>
      <c r="B1837" s="17" t="s">
        <v>2283</v>
      </c>
      <c r="C1837" s="16" t="s">
        <v>496</v>
      </c>
      <c r="D1837" s="13">
        <v>7804320301174</v>
      </c>
    </row>
    <row r="1838" spans="1:4">
      <c r="A1838" s="70" t="s">
        <v>84</v>
      </c>
      <c r="B1838" s="17" t="s">
        <v>2283</v>
      </c>
      <c r="C1838" s="16" t="s">
        <v>497</v>
      </c>
      <c r="D1838" s="13">
        <v>7804320701202</v>
      </c>
    </row>
    <row r="1839" spans="1:4">
      <c r="A1839" s="70" t="s">
        <v>84</v>
      </c>
      <c r="B1839" s="17" t="s">
        <v>2283</v>
      </c>
      <c r="C1839" s="16" t="s">
        <v>498</v>
      </c>
      <c r="D1839" s="13">
        <v>7804320985633</v>
      </c>
    </row>
    <row r="1840" spans="1:4">
      <c r="A1840" s="70" t="s">
        <v>84</v>
      </c>
      <c r="B1840" s="17" t="s">
        <v>2283</v>
      </c>
      <c r="C1840" s="16" t="s">
        <v>499</v>
      </c>
      <c r="D1840" s="13">
        <v>7804320510187</v>
      </c>
    </row>
    <row r="1841" spans="1:4">
      <c r="A1841" s="70" t="s">
        <v>84</v>
      </c>
      <c r="B1841" s="17" t="s">
        <v>2283</v>
      </c>
      <c r="C1841" s="16" t="s">
        <v>500</v>
      </c>
      <c r="D1841" s="13">
        <v>7804320256900</v>
      </c>
    </row>
    <row r="1842" spans="1:4">
      <c r="A1842" s="70" t="s">
        <v>84</v>
      </c>
      <c r="B1842" s="17" t="s">
        <v>2283</v>
      </c>
      <c r="C1842" s="16" t="s">
        <v>501</v>
      </c>
      <c r="D1842" s="13">
        <v>7804320087016</v>
      </c>
    </row>
    <row r="1843" spans="1:4">
      <c r="A1843" s="70" t="s">
        <v>2164</v>
      </c>
      <c r="B1843" s="17" t="s">
        <v>2283</v>
      </c>
      <c r="C1843" s="16" t="s">
        <v>2181</v>
      </c>
      <c r="D1843" s="13">
        <v>7804641500034</v>
      </c>
    </row>
    <row r="1844" spans="1:4">
      <c r="A1844" s="70" t="s">
        <v>2164</v>
      </c>
      <c r="B1844" s="17" t="s">
        <v>2283</v>
      </c>
      <c r="C1844" s="16" t="s">
        <v>2182</v>
      </c>
      <c r="D1844" s="13">
        <v>7808725404706</v>
      </c>
    </row>
    <row r="1845" spans="1:4">
      <c r="A1845" s="70" t="s">
        <v>2164</v>
      </c>
      <c r="B1845" s="17" t="s">
        <v>2283</v>
      </c>
      <c r="C1845" s="16" t="s">
        <v>2183</v>
      </c>
      <c r="D1845" s="13">
        <v>7808725404515</v>
      </c>
    </row>
    <row r="1846" spans="1:4">
      <c r="A1846" s="70" t="s">
        <v>2164</v>
      </c>
      <c r="B1846" s="17" t="s">
        <v>2283</v>
      </c>
      <c r="C1846" s="16" t="s">
        <v>2184</v>
      </c>
      <c r="D1846" s="13">
        <v>7808725405567</v>
      </c>
    </row>
    <row r="1847" spans="1:4">
      <c r="A1847" s="70" t="s">
        <v>2164</v>
      </c>
      <c r="B1847" s="17" t="s">
        <v>2283</v>
      </c>
      <c r="C1847" s="16" t="s">
        <v>2185</v>
      </c>
      <c r="D1847" s="13">
        <v>7804641500027</v>
      </c>
    </row>
    <row r="1848" spans="1:4">
      <c r="A1848" s="70" t="s">
        <v>2164</v>
      </c>
      <c r="B1848" s="17" t="s">
        <v>2283</v>
      </c>
      <c r="C1848" s="16" t="s">
        <v>2186</v>
      </c>
      <c r="D1848" s="13">
        <v>7808725406724</v>
      </c>
    </row>
    <row r="1849" spans="1:4">
      <c r="A1849" s="70" t="s">
        <v>2164</v>
      </c>
      <c r="B1849" s="17" t="s">
        <v>2283</v>
      </c>
      <c r="C1849" s="16" t="s">
        <v>2187</v>
      </c>
      <c r="D1849" s="13">
        <v>7808725406021</v>
      </c>
    </row>
    <row r="1850" spans="1:4">
      <c r="A1850" s="70" t="s">
        <v>2164</v>
      </c>
      <c r="B1850" s="17" t="s">
        <v>2283</v>
      </c>
      <c r="C1850" s="16" t="s">
        <v>2188</v>
      </c>
      <c r="D1850" s="13">
        <v>7804641500010</v>
      </c>
    </row>
    <row r="1851" spans="1:4">
      <c r="A1851" s="70" t="s">
        <v>2164</v>
      </c>
      <c r="B1851" s="17" t="s">
        <v>2283</v>
      </c>
      <c r="C1851" s="16" t="s">
        <v>2189</v>
      </c>
      <c r="D1851" s="13">
        <v>7808725400340</v>
      </c>
    </row>
    <row r="1852" spans="1:4">
      <c r="A1852" s="70" t="s">
        <v>2164</v>
      </c>
      <c r="B1852" s="17" t="s">
        <v>2283</v>
      </c>
      <c r="C1852" s="16" t="s">
        <v>2190</v>
      </c>
      <c r="D1852" s="13">
        <v>7808725408186</v>
      </c>
    </row>
    <row r="1853" spans="1:4">
      <c r="A1853" s="70" t="s">
        <v>2194</v>
      </c>
      <c r="B1853" s="17" t="s">
        <v>2283</v>
      </c>
      <c r="C1853" s="16" t="s">
        <v>2223</v>
      </c>
      <c r="D1853" s="13">
        <v>7804305002010</v>
      </c>
    </row>
    <row r="1854" spans="1:4">
      <c r="A1854" s="70" t="s">
        <v>2192</v>
      </c>
      <c r="B1854" s="17" t="s">
        <v>2283</v>
      </c>
      <c r="C1854" s="16" t="s">
        <v>2220</v>
      </c>
      <c r="D1854" s="13">
        <v>7804305002041</v>
      </c>
    </row>
    <row r="1855" spans="1:4">
      <c r="A1855" s="70" t="s">
        <v>2192</v>
      </c>
      <c r="B1855" s="17" t="s">
        <v>2283</v>
      </c>
      <c r="C1855" s="16" t="s">
        <v>2221</v>
      </c>
      <c r="D1855" s="13">
        <v>7804305000177</v>
      </c>
    </row>
    <row r="1856" spans="1:4">
      <c r="A1856" s="70" t="s">
        <v>59</v>
      </c>
      <c r="B1856" s="17" t="s">
        <v>2283</v>
      </c>
      <c r="C1856" s="16" t="s">
        <v>557</v>
      </c>
      <c r="D1856" s="13">
        <v>7804320116846</v>
      </c>
    </row>
    <row r="1857" spans="1:4">
      <c r="A1857" s="70" t="s">
        <v>59</v>
      </c>
      <c r="B1857" s="17" t="s">
        <v>2283</v>
      </c>
      <c r="C1857" s="16" t="s">
        <v>558</v>
      </c>
      <c r="D1857" s="13">
        <v>7804320116921</v>
      </c>
    </row>
    <row r="1858" spans="1:4">
      <c r="A1858" s="70" t="s">
        <v>59</v>
      </c>
      <c r="B1858" s="17" t="s">
        <v>2283</v>
      </c>
      <c r="C1858" s="16" t="s">
        <v>559</v>
      </c>
      <c r="D1858" s="13">
        <v>7798039590496</v>
      </c>
    </row>
    <row r="1859" spans="1:4">
      <c r="A1859" s="70" t="s">
        <v>59</v>
      </c>
      <c r="B1859" s="17" t="s">
        <v>2283</v>
      </c>
      <c r="C1859" s="16" t="s">
        <v>560</v>
      </c>
      <c r="D1859" s="13">
        <v>7804320148397</v>
      </c>
    </row>
    <row r="1860" spans="1:4">
      <c r="A1860" s="70" t="s">
        <v>59</v>
      </c>
      <c r="B1860" s="17" t="s">
        <v>2283</v>
      </c>
      <c r="C1860" s="16" t="s">
        <v>561</v>
      </c>
      <c r="D1860" s="13">
        <v>7804320116815</v>
      </c>
    </row>
    <row r="1861" spans="1:4">
      <c r="A1861" s="70" t="s">
        <v>59</v>
      </c>
      <c r="B1861" s="17" t="s">
        <v>2283</v>
      </c>
      <c r="C1861" s="16" t="s">
        <v>562</v>
      </c>
      <c r="D1861" s="13">
        <v>7804320747835</v>
      </c>
    </row>
    <row r="1862" spans="1:4">
      <c r="A1862" s="70" t="s">
        <v>59</v>
      </c>
      <c r="B1862" s="17" t="s">
        <v>2283</v>
      </c>
      <c r="C1862" s="16" t="s">
        <v>832</v>
      </c>
      <c r="D1862" s="13">
        <v>7804320116952</v>
      </c>
    </row>
    <row r="1863" spans="1:4">
      <c r="A1863" s="70" t="s">
        <v>344</v>
      </c>
      <c r="B1863" s="17" t="s">
        <v>2283</v>
      </c>
      <c r="C1863" s="16" t="s">
        <v>351</v>
      </c>
      <c r="D1863" s="13">
        <v>7804350596236</v>
      </c>
    </row>
    <row r="1864" spans="1:4">
      <c r="A1864" s="70" t="s">
        <v>344</v>
      </c>
      <c r="B1864" s="17" t="s">
        <v>2283</v>
      </c>
      <c r="C1864" s="16" t="s">
        <v>1420</v>
      </c>
      <c r="D1864" s="13">
        <v>7804350003321</v>
      </c>
    </row>
    <row r="1865" spans="1:4">
      <c r="A1865" s="70" t="s">
        <v>344</v>
      </c>
      <c r="B1865" s="17" t="s">
        <v>2283</v>
      </c>
      <c r="C1865" s="16" t="s">
        <v>1421</v>
      </c>
      <c r="D1865" s="13">
        <v>7804350003925</v>
      </c>
    </row>
    <row r="1866" spans="1:4">
      <c r="A1866" s="70" t="s">
        <v>344</v>
      </c>
      <c r="B1866" s="17" t="s">
        <v>2283</v>
      </c>
      <c r="C1866" s="16" t="s">
        <v>1552</v>
      </c>
      <c r="D1866" s="13">
        <v>7804350596243</v>
      </c>
    </row>
    <row r="1867" spans="1:4">
      <c r="A1867" s="70" t="s">
        <v>344</v>
      </c>
      <c r="B1867" s="17" t="s">
        <v>2283</v>
      </c>
      <c r="C1867" s="16" t="s">
        <v>1422</v>
      </c>
      <c r="D1867" s="13">
        <v>7804350007329</v>
      </c>
    </row>
    <row r="1868" spans="1:4">
      <c r="A1868" s="70" t="s">
        <v>344</v>
      </c>
      <c r="B1868" s="17" t="s">
        <v>2283</v>
      </c>
      <c r="C1868" s="16" t="s">
        <v>2689</v>
      </c>
      <c r="D1868" s="13">
        <v>7804350008012</v>
      </c>
    </row>
    <row r="1869" spans="1:4">
      <c r="A1869" s="70" t="s">
        <v>344</v>
      </c>
      <c r="B1869" s="17" t="s">
        <v>2283</v>
      </c>
      <c r="C1869" s="16" t="s">
        <v>1423</v>
      </c>
      <c r="D1869" s="13">
        <v>7804350008036</v>
      </c>
    </row>
    <row r="1870" spans="1:4">
      <c r="A1870" s="70" t="s">
        <v>344</v>
      </c>
      <c r="B1870" s="17" t="s">
        <v>2283</v>
      </c>
      <c r="C1870" s="16" t="s">
        <v>1424</v>
      </c>
      <c r="D1870" s="13">
        <v>7804350003918</v>
      </c>
    </row>
    <row r="1871" spans="1:4">
      <c r="A1871" s="70" t="s">
        <v>344</v>
      </c>
      <c r="B1871" s="17" t="s">
        <v>2283</v>
      </c>
      <c r="C1871" s="16" t="s">
        <v>352</v>
      </c>
      <c r="D1871" s="13">
        <v>7804350002157</v>
      </c>
    </row>
    <row r="1872" spans="1:4">
      <c r="A1872" s="70" t="s">
        <v>344</v>
      </c>
      <c r="B1872" s="17" t="s">
        <v>2283</v>
      </c>
      <c r="C1872" s="16" t="s">
        <v>353</v>
      </c>
      <c r="D1872" s="13">
        <v>7804350002140</v>
      </c>
    </row>
    <row r="1873" spans="1:4">
      <c r="A1873" s="70" t="s">
        <v>344</v>
      </c>
      <c r="B1873" s="17" t="s">
        <v>2283</v>
      </c>
      <c r="C1873" s="16" t="s">
        <v>354</v>
      </c>
      <c r="D1873" s="13">
        <v>7804350596229</v>
      </c>
    </row>
    <row r="1874" spans="1:4">
      <c r="A1874" s="70" t="s">
        <v>44</v>
      </c>
      <c r="B1874" s="17" t="s">
        <v>2283</v>
      </c>
      <c r="C1874" s="16" t="s">
        <v>249</v>
      </c>
      <c r="D1874" s="13">
        <v>7804320065632</v>
      </c>
    </row>
    <row r="1875" spans="1:4">
      <c r="A1875" s="70" t="s">
        <v>44</v>
      </c>
      <c r="B1875" s="17" t="s">
        <v>2283</v>
      </c>
      <c r="C1875" s="16" t="s">
        <v>248</v>
      </c>
      <c r="D1875" s="13">
        <v>7804320322834</v>
      </c>
    </row>
    <row r="1876" spans="1:4">
      <c r="A1876" s="70" t="s">
        <v>2165</v>
      </c>
      <c r="B1876" s="17" t="s">
        <v>2283</v>
      </c>
      <c r="C1876" s="16" t="s">
        <v>2177</v>
      </c>
      <c r="D1876" s="13">
        <v>7808725405666</v>
      </c>
    </row>
    <row r="1877" spans="1:4">
      <c r="A1877" s="70" t="s">
        <v>2165</v>
      </c>
      <c r="B1877" s="17" t="s">
        <v>2283</v>
      </c>
      <c r="C1877" s="16" t="s">
        <v>2178</v>
      </c>
      <c r="D1877" s="13">
        <v>7808725400166</v>
      </c>
    </row>
    <row r="1878" spans="1:4">
      <c r="A1878" s="70" t="s">
        <v>2165</v>
      </c>
      <c r="B1878" s="17" t="s">
        <v>2283</v>
      </c>
      <c r="C1878" s="16" t="s">
        <v>2179</v>
      </c>
      <c r="D1878" s="13">
        <v>7808725400135</v>
      </c>
    </row>
    <row r="1879" spans="1:4">
      <c r="A1879" s="70" t="s">
        <v>2165</v>
      </c>
      <c r="B1879" s="17" t="s">
        <v>2283</v>
      </c>
      <c r="C1879" s="16" t="s">
        <v>2180</v>
      </c>
      <c r="D1879" s="13">
        <v>7808725401606</v>
      </c>
    </row>
    <row r="1880" spans="1:4">
      <c r="A1880" s="70" t="s">
        <v>1021</v>
      </c>
      <c r="B1880" s="17" t="s">
        <v>2283</v>
      </c>
      <c r="C1880" s="16" t="s">
        <v>1041</v>
      </c>
      <c r="D1880" s="13">
        <v>7896072902921</v>
      </c>
    </row>
    <row r="1881" spans="1:4">
      <c r="A1881" s="70" t="s">
        <v>1021</v>
      </c>
      <c r="B1881" s="17" t="s">
        <v>2283</v>
      </c>
      <c r="C1881" s="16" t="s">
        <v>1042</v>
      </c>
      <c r="D1881" s="13">
        <v>7896072902938</v>
      </c>
    </row>
    <row r="1882" spans="1:4">
      <c r="A1882" s="70" t="s">
        <v>1021</v>
      </c>
      <c r="B1882" s="17" t="s">
        <v>2283</v>
      </c>
      <c r="C1882" s="16" t="s">
        <v>1042</v>
      </c>
      <c r="D1882" s="13">
        <v>7896072910971</v>
      </c>
    </row>
    <row r="1883" spans="1:4">
      <c r="A1883" s="70" t="s">
        <v>1021</v>
      </c>
      <c r="B1883" s="17" t="s">
        <v>2283</v>
      </c>
      <c r="C1883" s="16" t="s">
        <v>2685</v>
      </c>
      <c r="D1883" s="13">
        <v>7896072903768</v>
      </c>
    </row>
    <row r="1884" spans="1:4">
      <c r="A1884" s="70" t="s">
        <v>1021</v>
      </c>
      <c r="B1884" s="17" t="s">
        <v>2283</v>
      </c>
      <c r="C1884" s="16" t="s">
        <v>1063</v>
      </c>
      <c r="D1884" s="13">
        <v>7896072902945</v>
      </c>
    </row>
    <row r="1885" spans="1:4">
      <c r="A1885" s="70" t="s">
        <v>33</v>
      </c>
      <c r="B1885" s="17" t="s">
        <v>2283</v>
      </c>
      <c r="C1885" s="16" t="s">
        <v>583</v>
      </c>
      <c r="D1885" s="13">
        <v>8410415580776</v>
      </c>
    </row>
    <row r="1886" spans="1:4">
      <c r="A1886" s="70" t="s">
        <v>1981</v>
      </c>
      <c r="B1886" s="17" t="s">
        <v>2283</v>
      </c>
      <c r="C1886" s="16" t="s">
        <v>1986</v>
      </c>
      <c r="D1886" s="13">
        <v>3500610024009</v>
      </c>
    </row>
    <row r="1887" spans="1:4">
      <c r="A1887" s="70" t="s">
        <v>1981</v>
      </c>
      <c r="B1887" s="17" t="s">
        <v>2283</v>
      </c>
      <c r="C1887" s="16" t="s">
        <v>1985</v>
      </c>
      <c r="D1887" s="13">
        <v>3263286314989</v>
      </c>
    </row>
    <row r="1888" spans="1:4">
      <c r="A1888" s="70" t="s">
        <v>57</v>
      </c>
      <c r="B1888" s="17" t="s">
        <v>2283</v>
      </c>
      <c r="C1888" s="16" t="s">
        <v>546</v>
      </c>
      <c r="D1888" s="13">
        <v>7896266111115</v>
      </c>
    </row>
    <row r="1889" spans="1:4">
      <c r="A1889" s="70" t="s">
        <v>57</v>
      </c>
      <c r="B1889" s="17" t="s">
        <v>2283</v>
      </c>
      <c r="C1889" s="16" t="s">
        <v>547</v>
      </c>
      <c r="D1889" s="13">
        <v>7896266111030</v>
      </c>
    </row>
    <row r="1890" spans="1:4">
      <c r="A1890" s="70" t="s">
        <v>57</v>
      </c>
      <c r="B1890" s="17" t="s">
        <v>2283</v>
      </c>
      <c r="C1890" s="16" t="s">
        <v>548</v>
      </c>
      <c r="D1890" s="13">
        <v>7896266111122</v>
      </c>
    </row>
    <row r="1891" spans="1:4">
      <c r="A1891" s="70" t="s">
        <v>2030</v>
      </c>
      <c r="B1891" s="17" t="s">
        <v>2283</v>
      </c>
      <c r="C1891" s="16" t="s">
        <v>786</v>
      </c>
      <c r="D1891" s="13">
        <v>7896266100430</v>
      </c>
    </row>
    <row r="1892" spans="1:4">
      <c r="A1892" s="70" t="s">
        <v>2030</v>
      </c>
      <c r="B1892" s="17" t="s">
        <v>2283</v>
      </c>
      <c r="C1892" s="16" t="s">
        <v>2031</v>
      </c>
      <c r="D1892" s="13">
        <v>7896266100423</v>
      </c>
    </row>
    <row r="1893" spans="1:4">
      <c r="A1893" s="70" t="s">
        <v>2030</v>
      </c>
      <c r="B1893" s="17" t="s">
        <v>2283</v>
      </c>
      <c r="C1893" s="16" t="s">
        <v>2032</v>
      </c>
      <c r="D1893" s="13">
        <v>7896266100522</v>
      </c>
    </row>
    <row r="1894" spans="1:4">
      <c r="A1894" s="70" t="s">
        <v>2030</v>
      </c>
      <c r="B1894" s="17" t="s">
        <v>2283</v>
      </c>
      <c r="C1894" s="16" t="s">
        <v>2033</v>
      </c>
      <c r="D1894" s="13">
        <v>7896266100454</v>
      </c>
    </row>
    <row r="1895" spans="1:4">
      <c r="A1895" s="70" t="s">
        <v>2030</v>
      </c>
      <c r="B1895" s="17" t="s">
        <v>2283</v>
      </c>
      <c r="C1895" s="16" t="s">
        <v>2034</v>
      </c>
      <c r="D1895" s="13">
        <v>7896266100416</v>
      </c>
    </row>
    <row r="1896" spans="1:4">
      <c r="A1896" s="70" t="s">
        <v>28</v>
      </c>
      <c r="B1896" s="17" t="s">
        <v>2283</v>
      </c>
      <c r="C1896" s="16" t="s">
        <v>1869</v>
      </c>
      <c r="D1896" s="13">
        <v>8001929136377</v>
      </c>
    </row>
    <row r="1897" spans="1:4">
      <c r="A1897" s="70" t="s">
        <v>28</v>
      </c>
      <c r="B1897" s="17" t="s">
        <v>2283</v>
      </c>
      <c r="C1897" s="16" t="s">
        <v>1870</v>
      </c>
      <c r="D1897" s="13">
        <v>8001929241545</v>
      </c>
    </row>
    <row r="1898" spans="1:4">
      <c r="A1898" s="70" t="s">
        <v>28</v>
      </c>
      <c r="B1898" s="17" t="s">
        <v>2283</v>
      </c>
      <c r="C1898" s="16" t="s">
        <v>1871</v>
      </c>
      <c r="D1898" s="13">
        <v>8001929136353</v>
      </c>
    </row>
    <row r="1899" spans="1:4">
      <c r="A1899" s="70" t="s">
        <v>1218</v>
      </c>
      <c r="B1899" s="17" t="s">
        <v>2283</v>
      </c>
      <c r="C1899" s="16" t="s">
        <v>1222</v>
      </c>
      <c r="D1899" s="13">
        <v>7898926684069</v>
      </c>
    </row>
    <row r="1900" spans="1:4">
      <c r="A1900" s="70" t="s">
        <v>1218</v>
      </c>
      <c r="B1900" s="17" t="s">
        <v>2283</v>
      </c>
      <c r="C1900" s="16" t="s">
        <v>1223</v>
      </c>
      <c r="D1900" s="13">
        <v>7898926684076</v>
      </c>
    </row>
    <row r="1901" spans="1:4">
      <c r="A1901" s="70" t="s">
        <v>85</v>
      </c>
      <c r="B1901" s="17" t="s">
        <v>2283</v>
      </c>
      <c r="C1901" s="16" t="s">
        <v>355</v>
      </c>
      <c r="D1901" s="13">
        <v>8004810142488</v>
      </c>
    </row>
    <row r="1902" spans="1:4">
      <c r="A1902" s="70" t="s">
        <v>85</v>
      </c>
      <c r="B1902" s="17" t="s">
        <v>2283</v>
      </c>
      <c r="C1902" s="16" t="s">
        <v>356</v>
      </c>
      <c r="D1902" s="13">
        <v>8004810143485</v>
      </c>
    </row>
    <row r="1903" spans="1:4">
      <c r="A1903" s="70" t="s">
        <v>1979</v>
      </c>
      <c r="B1903" s="17" t="s">
        <v>2283</v>
      </c>
      <c r="C1903" s="16" t="s">
        <v>1983</v>
      </c>
      <c r="D1903" s="13">
        <v>7896029279106</v>
      </c>
    </row>
    <row r="1904" spans="1:4">
      <c r="A1904" s="70" t="s">
        <v>1979</v>
      </c>
      <c r="B1904" s="17" t="s">
        <v>2283</v>
      </c>
      <c r="C1904" s="16" t="s">
        <v>2041</v>
      </c>
      <c r="D1904" s="13">
        <v>7896029279403</v>
      </c>
    </row>
    <row r="1905" spans="1:4">
      <c r="A1905" s="70" t="s">
        <v>1979</v>
      </c>
      <c r="B1905" s="17" t="s">
        <v>2283</v>
      </c>
      <c r="C1905" s="16" t="s">
        <v>1984</v>
      </c>
      <c r="D1905" s="13">
        <v>7896029279403</v>
      </c>
    </row>
    <row r="1906" spans="1:4" ht="14.25" customHeight="1">
      <c r="A1906" s="70" t="s">
        <v>1056</v>
      </c>
      <c r="B1906" s="17" t="s">
        <v>2283</v>
      </c>
      <c r="C1906" s="16" t="s">
        <v>1076</v>
      </c>
      <c r="D1906" s="13">
        <v>7896855901400</v>
      </c>
    </row>
    <row r="1907" spans="1:4">
      <c r="A1907" s="70" t="s">
        <v>1056</v>
      </c>
      <c r="B1907" s="17" t="s">
        <v>2283</v>
      </c>
      <c r="C1907" s="16" t="s">
        <v>1077</v>
      </c>
      <c r="D1907" s="13">
        <v>7896855901417</v>
      </c>
    </row>
    <row r="1908" spans="1:4">
      <c r="A1908" s="70" t="s">
        <v>2262</v>
      </c>
      <c r="B1908" s="17" t="s">
        <v>2283</v>
      </c>
      <c r="C1908" s="16" t="s">
        <v>2266</v>
      </c>
      <c r="D1908" s="13">
        <v>7896855901080</v>
      </c>
    </row>
    <row r="1909" spans="1:4">
      <c r="A1909" s="70" t="s">
        <v>2262</v>
      </c>
      <c r="B1909" s="17" t="s">
        <v>2283</v>
      </c>
      <c r="C1909" s="16" t="s">
        <v>2268</v>
      </c>
      <c r="D1909" s="13">
        <v>7896855901073</v>
      </c>
    </row>
    <row r="1910" spans="1:4">
      <c r="A1910" s="70" t="s">
        <v>635</v>
      </c>
      <c r="B1910" s="17" t="s">
        <v>2283</v>
      </c>
      <c r="C1910" s="16" t="s">
        <v>647</v>
      </c>
      <c r="D1910" s="13">
        <v>7896855903039</v>
      </c>
    </row>
    <row r="1911" spans="1:4">
      <c r="A1911" s="70" t="s">
        <v>635</v>
      </c>
      <c r="B1911" s="17" t="s">
        <v>2283</v>
      </c>
      <c r="C1911" s="16" t="s">
        <v>648</v>
      </c>
      <c r="D1911" s="13">
        <v>7896855903046</v>
      </c>
    </row>
    <row r="1912" spans="1:4">
      <c r="A1912" s="70" t="s">
        <v>635</v>
      </c>
      <c r="B1912" s="17" t="s">
        <v>2283</v>
      </c>
      <c r="C1912" s="16" t="s">
        <v>649</v>
      </c>
      <c r="D1912" s="13">
        <v>7896855903015</v>
      </c>
    </row>
    <row r="1913" spans="1:4">
      <c r="A1913" s="70" t="s">
        <v>635</v>
      </c>
      <c r="B1913" s="17" t="s">
        <v>2283</v>
      </c>
      <c r="C1913" s="16" t="s">
        <v>650</v>
      </c>
      <c r="D1913" s="13">
        <v>7896855903022</v>
      </c>
    </row>
    <row r="1914" spans="1:4">
      <c r="A1914" s="70" t="s">
        <v>1855</v>
      </c>
      <c r="B1914" s="17" t="s">
        <v>2283</v>
      </c>
      <c r="C1914" s="16" t="s">
        <v>1857</v>
      </c>
      <c r="D1914" s="13">
        <v>3263285153381</v>
      </c>
    </row>
    <row r="1915" spans="1:4">
      <c r="A1915" s="70" t="s">
        <v>1855</v>
      </c>
      <c r="B1915" s="17" t="s">
        <v>2283</v>
      </c>
      <c r="C1915" s="16" t="s">
        <v>1858</v>
      </c>
      <c r="D1915" s="13">
        <v>3263286518288</v>
      </c>
    </row>
    <row r="1916" spans="1:4">
      <c r="A1916" s="70" t="s">
        <v>2815</v>
      </c>
      <c r="B1916" s="17" t="s">
        <v>2283</v>
      </c>
      <c r="C1916" s="16" t="s">
        <v>429</v>
      </c>
      <c r="D1916" s="13">
        <v>5604424108011</v>
      </c>
    </row>
    <row r="1917" spans="1:4">
      <c r="A1917" s="70" t="s">
        <v>2815</v>
      </c>
      <c r="B1917" s="17" t="s">
        <v>2283</v>
      </c>
      <c r="C1917" s="16" t="s">
        <v>2740</v>
      </c>
      <c r="D1917" s="13">
        <v>5604424162006</v>
      </c>
    </row>
    <row r="1918" spans="1:4">
      <c r="A1918" s="70" t="s">
        <v>2815</v>
      </c>
      <c r="B1918" s="17" t="s">
        <v>2283</v>
      </c>
      <c r="C1918" s="16" t="s">
        <v>2741</v>
      </c>
      <c r="D1918" s="13">
        <v>5604885099415</v>
      </c>
    </row>
    <row r="1919" spans="1:4">
      <c r="A1919" s="70" t="s">
        <v>2815</v>
      </c>
      <c r="B1919" s="17" t="s">
        <v>2283</v>
      </c>
      <c r="C1919" s="16" t="s">
        <v>2742</v>
      </c>
      <c r="D1919" s="13">
        <v>5604424107052</v>
      </c>
    </row>
    <row r="1920" spans="1:4">
      <c r="A1920" s="70" t="s">
        <v>876</v>
      </c>
      <c r="B1920" s="17" t="s">
        <v>2283</v>
      </c>
      <c r="C1920" s="16" t="s">
        <v>913</v>
      </c>
      <c r="D1920" s="13">
        <v>7896266100546</v>
      </c>
    </row>
    <row r="1921" spans="1:4">
      <c r="A1921" s="70" t="s">
        <v>876</v>
      </c>
      <c r="B1921" s="17" t="s">
        <v>2283</v>
      </c>
      <c r="C1921" s="16" t="s">
        <v>933</v>
      </c>
      <c r="D1921" s="13">
        <v>7896266100539</v>
      </c>
    </row>
    <row r="1922" spans="1:4">
      <c r="A1922" s="70" t="s">
        <v>876</v>
      </c>
      <c r="B1922" s="17" t="s">
        <v>2283</v>
      </c>
      <c r="C1922" s="16" t="s">
        <v>934</v>
      </c>
      <c r="D1922" s="13">
        <v>7896266100553</v>
      </c>
    </row>
    <row r="1923" spans="1:4">
      <c r="A1923" s="70" t="s">
        <v>1200</v>
      </c>
      <c r="B1923" s="17" t="s">
        <v>2283</v>
      </c>
      <c r="C1923" s="16" t="s">
        <v>1208</v>
      </c>
      <c r="D1923" s="13">
        <v>7896029205013</v>
      </c>
    </row>
    <row r="1924" spans="1:4">
      <c r="A1924" s="70" t="s">
        <v>1200</v>
      </c>
      <c r="B1924" s="17" t="s">
        <v>2283</v>
      </c>
      <c r="C1924" s="16" t="s">
        <v>1209</v>
      </c>
      <c r="D1924" s="13">
        <v>7896029205211</v>
      </c>
    </row>
    <row r="1925" spans="1:4">
      <c r="A1925" s="70" t="s">
        <v>1200</v>
      </c>
      <c r="B1925" s="17" t="s">
        <v>2283</v>
      </c>
      <c r="C1925" s="16" t="s">
        <v>1210</v>
      </c>
      <c r="D1925" s="13">
        <v>7896029205709</v>
      </c>
    </row>
    <row r="1926" spans="1:4">
      <c r="A1926" s="70" t="s">
        <v>1200</v>
      </c>
      <c r="B1926" s="17" t="s">
        <v>2283</v>
      </c>
      <c r="C1926" s="16" t="s">
        <v>1211</v>
      </c>
      <c r="D1926" s="13">
        <v>7896029216101</v>
      </c>
    </row>
    <row r="1927" spans="1:4">
      <c r="A1927" s="70" t="s">
        <v>1200</v>
      </c>
      <c r="B1927" s="17" t="s">
        <v>2283</v>
      </c>
      <c r="C1927" s="16" t="s">
        <v>1212</v>
      </c>
      <c r="D1927" s="13">
        <v>7896029215401</v>
      </c>
    </row>
    <row r="1928" spans="1:4">
      <c r="A1928" s="70" t="s">
        <v>118</v>
      </c>
      <c r="B1928" s="17" t="s">
        <v>2283</v>
      </c>
      <c r="C1928" s="16" t="s">
        <v>566</v>
      </c>
      <c r="D1928" s="13">
        <v>7312040017034</v>
      </c>
    </row>
    <row r="1929" spans="1:4">
      <c r="A1929" s="70" t="s">
        <v>1988</v>
      </c>
      <c r="B1929" s="17" t="s">
        <v>2283</v>
      </c>
      <c r="C1929" s="16" t="s">
        <v>1992</v>
      </c>
      <c r="D1929" s="13">
        <v>88076161863</v>
      </c>
    </row>
    <row r="1930" spans="1:4">
      <c r="A1930" s="70" t="s">
        <v>1626</v>
      </c>
      <c r="B1930" s="17" t="s">
        <v>2283</v>
      </c>
      <c r="C1930" s="16" t="s">
        <v>1629</v>
      </c>
      <c r="D1930" s="13">
        <v>6412700021027</v>
      </c>
    </row>
    <row r="1931" spans="1:4">
      <c r="A1931" s="70" t="s">
        <v>89</v>
      </c>
      <c r="B1931" s="17" t="s">
        <v>2283</v>
      </c>
      <c r="C1931" s="16" t="s">
        <v>250</v>
      </c>
      <c r="D1931" s="13">
        <v>7891050000903</v>
      </c>
    </row>
    <row r="1932" spans="1:4">
      <c r="A1932" s="70" t="s">
        <v>1700</v>
      </c>
      <c r="B1932" s="17" t="s">
        <v>2283</v>
      </c>
      <c r="C1932" s="16" t="s">
        <v>1882</v>
      </c>
      <c r="D1932" s="13">
        <v>7893218000473</v>
      </c>
    </row>
    <row r="1933" spans="1:4">
      <c r="A1933" s="70" t="s">
        <v>2902</v>
      </c>
      <c r="B1933" s="17" t="s">
        <v>2283</v>
      </c>
      <c r="C1933" s="16" t="s">
        <v>1678</v>
      </c>
      <c r="D1933" s="13">
        <v>7896023012471</v>
      </c>
    </row>
    <row r="1934" spans="1:4">
      <c r="A1934" s="70" t="s">
        <v>568</v>
      </c>
      <c r="B1934" s="17" t="s">
        <v>2281</v>
      </c>
      <c r="C1934" s="16" t="s">
        <v>573</v>
      </c>
      <c r="D1934" s="13">
        <v>7896019607636</v>
      </c>
    </row>
    <row r="1935" spans="1:4">
      <c r="A1935" s="70" t="s">
        <v>2022</v>
      </c>
      <c r="B1935" s="17" t="s">
        <v>2283</v>
      </c>
      <c r="C1935" s="16" t="s">
        <v>1632</v>
      </c>
      <c r="D1935" s="13">
        <v>5099873006368</v>
      </c>
    </row>
    <row r="1936" spans="1:4">
      <c r="A1936" s="70" t="s">
        <v>2022</v>
      </c>
      <c r="B1936" s="17" t="s">
        <v>2283</v>
      </c>
      <c r="C1936" s="16" t="s">
        <v>1633</v>
      </c>
      <c r="D1936" s="13">
        <v>82184200698</v>
      </c>
    </row>
    <row r="1937" spans="1:4">
      <c r="A1937" s="70" t="s">
        <v>2022</v>
      </c>
      <c r="B1937" s="17" t="s">
        <v>2283</v>
      </c>
      <c r="C1937" s="16" t="s">
        <v>1631</v>
      </c>
      <c r="D1937" s="13">
        <v>82184004364</v>
      </c>
    </row>
    <row r="1938" spans="1:4">
      <c r="A1938" s="70" t="s">
        <v>2022</v>
      </c>
      <c r="B1938" s="17" t="s">
        <v>2283</v>
      </c>
      <c r="C1938" s="16" t="s">
        <v>1633</v>
      </c>
      <c r="D1938" s="13">
        <v>82184090442</v>
      </c>
    </row>
    <row r="1939" spans="1:4">
      <c r="A1939" s="70" t="s">
        <v>1635</v>
      </c>
      <c r="B1939" s="17" t="s">
        <v>2283</v>
      </c>
      <c r="C1939" s="16" t="s">
        <v>1631</v>
      </c>
      <c r="D1939" s="13">
        <v>82184004364</v>
      </c>
    </row>
    <row r="1940" spans="1:4">
      <c r="A1940" s="70" t="s">
        <v>1635</v>
      </c>
      <c r="B1940" s="17" t="s">
        <v>2283</v>
      </c>
      <c r="C1940" s="16" t="s">
        <v>1633</v>
      </c>
      <c r="D1940" s="13">
        <v>82184200698</v>
      </c>
    </row>
    <row r="1941" spans="1:4">
      <c r="A1941" s="70" t="s">
        <v>1635</v>
      </c>
      <c r="B1941" s="17" t="s">
        <v>2283</v>
      </c>
      <c r="C1941" s="16" t="s">
        <v>1632</v>
      </c>
      <c r="D1941" s="13">
        <v>5099873006368</v>
      </c>
    </row>
    <row r="1942" spans="1:4">
      <c r="A1942" s="70" t="s">
        <v>1635</v>
      </c>
      <c r="B1942" s="17" t="s">
        <v>2283</v>
      </c>
      <c r="C1942" s="16" t="s">
        <v>1633</v>
      </c>
      <c r="D1942" s="13">
        <v>82184090442</v>
      </c>
    </row>
    <row r="1943" spans="1:4">
      <c r="A1943" s="70" t="s">
        <v>1652</v>
      </c>
      <c r="B1943" s="17" t="s">
        <v>2283</v>
      </c>
      <c r="C1943" s="16" t="s">
        <v>1631</v>
      </c>
      <c r="D1943" s="13">
        <v>82184004364</v>
      </c>
    </row>
    <row r="1944" spans="1:4">
      <c r="A1944" s="70" t="s">
        <v>1652</v>
      </c>
      <c r="B1944" s="17" t="s">
        <v>2283</v>
      </c>
      <c r="C1944" s="16" t="s">
        <v>1632</v>
      </c>
      <c r="D1944" s="13">
        <v>5099873006368</v>
      </c>
    </row>
    <row r="1945" spans="1:4">
      <c r="A1945" s="70" t="s">
        <v>1652</v>
      </c>
      <c r="B1945" s="17" t="s">
        <v>2283</v>
      </c>
      <c r="C1945" s="16" t="s">
        <v>1633</v>
      </c>
      <c r="D1945" s="13">
        <v>82184090442</v>
      </c>
    </row>
    <row r="1946" spans="1:4">
      <c r="A1946" s="70" t="s">
        <v>1652</v>
      </c>
      <c r="B1946" s="17" t="s">
        <v>2283</v>
      </c>
      <c r="C1946" s="16" t="s">
        <v>1650</v>
      </c>
      <c r="D1946" s="13">
        <v>82184000328</v>
      </c>
    </row>
    <row r="1947" spans="1:4">
      <c r="A1947" s="70" t="s">
        <v>1652</v>
      </c>
      <c r="B1947" s="17" t="s">
        <v>2283</v>
      </c>
      <c r="C1947" s="16" t="s">
        <v>1633</v>
      </c>
      <c r="D1947" s="13">
        <v>82184200698</v>
      </c>
    </row>
    <row r="1948" spans="1:4">
      <c r="A1948" s="70" t="s">
        <v>2077</v>
      </c>
      <c r="B1948" s="17" t="s">
        <v>2283</v>
      </c>
      <c r="C1948" s="16" t="s">
        <v>1633</v>
      </c>
      <c r="D1948" s="13">
        <v>82184200698</v>
      </c>
    </row>
    <row r="1949" spans="1:4">
      <c r="A1949" s="70" t="s">
        <v>2077</v>
      </c>
      <c r="B1949" s="17" t="s">
        <v>2283</v>
      </c>
      <c r="C1949" s="16" t="s">
        <v>1632</v>
      </c>
      <c r="D1949" s="13">
        <v>5099873006368</v>
      </c>
    </row>
    <row r="1950" spans="1:4">
      <c r="A1950" s="70" t="s">
        <v>2077</v>
      </c>
      <c r="B1950" s="17" t="s">
        <v>2283</v>
      </c>
      <c r="C1950" s="16" t="s">
        <v>1633</v>
      </c>
      <c r="D1950" s="13">
        <v>82184090442</v>
      </c>
    </row>
    <row r="1951" spans="1:4">
      <c r="A1951" s="70" t="s">
        <v>1731</v>
      </c>
      <c r="B1951" s="17" t="s">
        <v>2283</v>
      </c>
      <c r="C1951" s="16" t="s">
        <v>1650</v>
      </c>
      <c r="D1951" s="13">
        <v>82184000328</v>
      </c>
    </row>
    <row r="1952" spans="1:4">
      <c r="A1952" s="70" t="s">
        <v>1731</v>
      </c>
      <c r="B1952" s="17" t="s">
        <v>2283</v>
      </c>
      <c r="C1952" s="16" t="s">
        <v>1633</v>
      </c>
      <c r="D1952" s="13">
        <v>82184200698</v>
      </c>
    </row>
    <row r="1953" spans="1:4">
      <c r="A1953" s="70" t="s">
        <v>1731</v>
      </c>
      <c r="B1953" s="17" t="s">
        <v>2283</v>
      </c>
      <c r="C1953" s="16" t="s">
        <v>1739</v>
      </c>
      <c r="D1953" s="13">
        <v>82184090442</v>
      </c>
    </row>
    <row r="1954" spans="1:4">
      <c r="A1954" s="70" t="s">
        <v>6</v>
      </c>
      <c r="B1954" s="17" t="s">
        <v>2283</v>
      </c>
      <c r="C1954" s="16" t="s">
        <v>1793</v>
      </c>
      <c r="D1954" s="13">
        <v>5010106113936</v>
      </c>
    </row>
    <row r="1955" spans="1:4">
      <c r="A1955" s="70" t="s">
        <v>6</v>
      </c>
      <c r="B1955" s="17" t="s">
        <v>2283</v>
      </c>
      <c r="C1955" s="16" t="s">
        <v>1793</v>
      </c>
      <c r="D1955" s="13">
        <v>5010106110249</v>
      </c>
    </row>
    <row r="1956" spans="1:4">
      <c r="A1956" s="70" t="s">
        <v>6</v>
      </c>
      <c r="B1956" s="17" t="s">
        <v>2283</v>
      </c>
      <c r="C1956" s="16" t="s">
        <v>1793</v>
      </c>
      <c r="D1956" s="13">
        <v>5010106110256</v>
      </c>
    </row>
    <row r="1957" spans="1:4">
      <c r="A1957" s="70" t="s">
        <v>6</v>
      </c>
      <c r="B1957" s="17" t="s">
        <v>2283</v>
      </c>
      <c r="C1957" s="16" t="s">
        <v>1803</v>
      </c>
      <c r="D1957" s="13">
        <v>5010106113554</v>
      </c>
    </row>
    <row r="1958" spans="1:4">
      <c r="A1958" s="70" t="s">
        <v>25</v>
      </c>
      <c r="B1958" s="17" t="s">
        <v>2283</v>
      </c>
      <c r="C1958" s="16" t="s">
        <v>998</v>
      </c>
      <c r="D1958" s="13">
        <v>5010106111956</v>
      </c>
    </row>
    <row r="1959" spans="1:4">
      <c r="A1959" s="70" t="s">
        <v>25</v>
      </c>
      <c r="B1959" s="17" t="s">
        <v>2283</v>
      </c>
      <c r="C1959" s="16" t="s">
        <v>998</v>
      </c>
      <c r="D1959" s="13">
        <v>5010106111925</v>
      </c>
    </row>
    <row r="1960" spans="1:4">
      <c r="A1960" s="70" t="s">
        <v>1782</v>
      </c>
      <c r="B1960" s="17" t="s">
        <v>2283</v>
      </c>
      <c r="C1960" s="16" t="s">
        <v>979</v>
      </c>
      <c r="D1960" s="13">
        <v>80432400432</v>
      </c>
    </row>
    <row r="1961" spans="1:4">
      <c r="A1961" s="70" t="s">
        <v>1953</v>
      </c>
      <c r="B1961" s="17" t="s">
        <v>2283</v>
      </c>
      <c r="C1961" s="16" t="s">
        <v>1957</v>
      </c>
      <c r="D1961" s="13">
        <v>5010103800457</v>
      </c>
    </row>
    <row r="1962" spans="1:4">
      <c r="A1962" s="70" t="s">
        <v>1880</v>
      </c>
      <c r="B1962" s="17" t="s">
        <v>2283</v>
      </c>
      <c r="C1962" s="16" t="s">
        <v>1883</v>
      </c>
      <c r="D1962" s="13">
        <v>5000267023601</v>
      </c>
    </row>
    <row r="1963" spans="1:4">
      <c r="A1963" s="70" t="s">
        <v>1880</v>
      </c>
      <c r="B1963" s="17" t="s">
        <v>2283</v>
      </c>
      <c r="C1963" s="16" t="s">
        <v>1883</v>
      </c>
      <c r="D1963" s="13">
        <v>5000267023625</v>
      </c>
    </row>
    <row r="1964" spans="1:4">
      <c r="A1964" s="70" t="s">
        <v>1865</v>
      </c>
      <c r="B1964" s="17" t="s">
        <v>2283</v>
      </c>
      <c r="C1964" s="16" t="s">
        <v>1872</v>
      </c>
      <c r="D1964" s="13">
        <v>5000267013602</v>
      </c>
    </row>
    <row r="1965" spans="1:4">
      <c r="A1965" s="70" t="s">
        <v>1865</v>
      </c>
      <c r="B1965" s="17" t="s">
        <v>2283</v>
      </c>
      <c r="C1965" s="16" t="s">
        <v>1872</v>
      </c>
      <c r="D1965" s="13">
        <v>5000267013626</v>
      </c>
    </row>
    <row r="1966" spans="1:4">
      <c r="A1966" s="70" t="s">
        <v>1879</v>
      </c>
      <c r="B1966" s="17" t="s">
        <v>2283</v>
      </c>
      <c r="C1966" s="16" t="s">
        <v>1881</v>
      </c>
      <c r="D1966" s="13">
        <v>5000265001335</v>
      </c>
    </row>
    <row r="1967" spans="1:4">
      <c r="A1967" s="70" t="s">
        <v>1879</v>
      </c>
      <c r="B1967" s="17" t="s">
        <v>2283</v>
      </c>
      <c r="C1967" s="16" t="s">
        <v>1978</v>
      </c>
      <c r="D1967" s="13">
        <v>5000265090056</v>
      </c>
    </row>
    <row r="1968" spans="1:4">
      <c r="A1968" s="70" t="s">
        <v>1022</v>
      </c>
      <c r="B1968" s="17" t="s">
        <v>2283</v>
      </c>
      <c r="C1968" s="16" t="s">
        <v>1052</v>
      </c>
      <c r="D1968" s="13">
        <v>7896072911800</v>
      </c>
    </row>
    <row r="1969" spans="1:4">
      <c r="A1969" s="70" t="s">
        <v>2330</v>
      </c>
      <c r="B1969" s="13" t="s">
        <v>2287</v>
      </c>
      <c r="C1969" s="16" t="s">
        <v>2331</v>
      </c>
      <c r="D1969" s="13">
        <v>7898955019757</v>
      </c>
    </row>
    <row r="1970" spans="1:4">
      <c r="A1970" s="70" t="s">
        <v>2330</v>
      </c>
      <c r="B1970" s="13" t="s">
        <v>2287</v>
      </c>
      <c r="C1970" s="16" t="s">
        <v>2332</v>
      </c>
      <c r="D1970" s="13">
        <v>7898961930749</v>
      </c>
    </row>
    <row r="1971" spans="1:4">
      <c r="A1971" s="70" t="s">
        <v>2330</v>
      </c>
      <c r="B1971" s="13" t="s">
        <v>2287</v>
      </c>
      <c r="C1971" s="16" t="s">
        <v>2333</v>
      </c>
      <c r="D1971" s="13">
        <v>7898955019733</v>
      </c>
    </row>
    <row r="1972" spans="1:4">
      <c r="A1972" s="70" t="s">
        <v>2330</v>
      </c>
      <c r="B1972" s="13" t="s">
        <v>2287</v>
      </c>
      <c r="C1972" s="16" t="s">
        <v>2334</v>
      </c>
      <c r="D1972" s="13">
        <v>7898955019054</v>
      </c>
    </row>
    <row r="1973" spans="1:4">
      <c r="A1973" s="70" t="s">
        <v>2330</v>
      </c>
      <c r="B1973" s="13" t="s">
        <v>2287</v>
      </c>
      <c r="C1973" s="16" t="s">
        <v>2335</v>
      </c>
      <c r="D1973" s="13">
        <v>7898955019382</v>
      </c>
    </row>
    <row r="1974" spans="1:4">
      <c r="A1974" s="70" t="s">
        <v>2329</v>
      </c>
      <c r="B1974" s="13" t="s">
        <v>2283</v>
      </c>
      <c r="C1974" s="16" t="s">
        <v>2336</v>
      </c>
      <c r="D1974" s="13">
        <v>7893218003603</v>
      </c>
    </row>
    <row r="1975" spans="1:4">
      <c r="A1975" s="70" t="s">
        <v>2329</v>
      </c>
      <c r="B1975" s="13" t="s">
        <v>2283</v>
      </c>
      <c r="C1975" s="72" t="s">
        <v>291</v>
      </c>
      <c r="D1975" s="75">
        <v>7893218003573</v>
      </c>
    </row>
    <row r="1976" spans="1:4">
      <c r="A1976" s="10" t="s">
        <v>2574</v>
      </c>
      <c r="B1976" s="17" t="s">
        <v>2285</v>
      </c>
      <c r="C1976" s="16" t="s">
        <v>2337</v>
      </c>
      <c r="D1976" s="13">
        <v>7896007552429</v>
      </c>
    </row>
    <row r="1977" spans="1:4">
      <c r="A1977" s="10" t="s">
        <v>2574</v>
      </c>
      <c r="B1977" s="17" t="s">
        <v>2285</v>
      </c>
      <c r="C1977" s="16" t="s">
        <v>2338</v>
      </c>
      <c r="D1977" s="13">
        <v>7896007552412</v>
      </c>
    </row>
    <row r="1978" spans="1:4">
      <c r="A1978" s="10" t="s">
        <v>2574</v>
      </c>
      <c r="B1978" s="17" t="s">
        <v>2285</v>
      </c>
      <c r="C1978" s="16" t="s">
        <v>2339</v>
      </c>
      <c r="D1978" s="13">
        <v>7896007552405</v>
      </c>
    </row>
    <row r="1979" spans="1:4">
      <c r="A1979" s="10" t="s">
        <v>2574</v>
      </c>
      <c r="B1979" s="17" t="s">
        <v>2285</v>
      </c>
      <c r="C1979" s="16" t="s">
        <v>1556</v>
      </c>
      <c r="D1979" s="13">
        <v>7896007550227</v>
      </c>
    </row>
    <row r="1980" spans="1:4">
      <c r="A1980" s="10" t="s">
        <v>2574</v>
      </c>
      <c r="B1980" s="17" t="s">
        <v>2285</v>
      </c>
      <c r="C1980" s="16" t="s">
        <v>1557</v>
      </c>
      <c r="D1980" s="13">
        <v>7896007550234</v>
      </c>
    </row>
    <row r="1981" spans="1:4">
      <c r="A1981" s="70" t="s">
        <v>2340</v>
      </c>
      <c r="B1981" s="13" t="s">
        <v>2283</v>
      </c>
      <c r="C1981" s="16" t="s">
        <v>2341</v>
      </c>
      <c r="D1981" s="13">
        <v>7893218003733</v>
      </c>
    </row>
    <row r="1982" spans="1:4">
      <c r="A1982" s="70" t="s">
        <v>2340</v>
      </c>
      <c r="B1982" s="13" t="s">
        <v>2283</v>
      </c>
      <c r="C1982" s="16" t="s">
        <v>2342</v>
      </c>
      <c r="D1982" s="13">
        <v>7893218003726</v>
      </c>
    </row>
    <row r="1983" spans="1:4">
      <c r="A1983" s="37" t="s">
        <v>3350</v>
      </c>
      <c r="B1983" s="13" t="s">
        <v>2281</v>
      </c>
      <c r="C1983" s="16" t="s">
        <v>3354</v>
      </c>
      <c r="D1983" s="13">
        <v>7898215157915</v>
      </c>
    </row>
    <row r="1984" spans="1:4">
      <c r="A1984" s="70" t="s">
        <v>2518</v>
      </c>
      <c r="B1984" s="17" t="s">
        <v>2284</v>
      </c>
      <c r="C1984" s="16" t="s">
        <v>2343</v>
      </c>
      <c r="D1984" s="13">
        <v>7896114990220</v>
      </c>
    </row>
    <row r="1985" spans="1:4">
      <c r="A1985" s="70" t="s">
        <v>2518</v>
      </c>
      <c r="B1985" s="17" t="s">
        <v>2284</v>
      </c>
      <c r="C1985" s="16" t="s">
        <v>2344</v>
      </c>
      <c r="D1985" s="13">
        <v>7896114990213</v>
      </c>
    </row>
    <row r="1986" spans="1:4">
      <c r="A1986" s="70" t="s">
        <v>2346</v>
      </c>
      <c r="B1986" s="13" t="s">
        <v>2287</v>
      </c>
      <c r="C1986" s="16" t="s">
        <v>2347</v>
      </c>
      <c r="D1986" s="13">
        <v>7909510366107</v>
      </c>
    </row>
    <row r="1987" spans="1:4">
      <c r="A1987" s="10" t="s">
        <v>2516</v>
      </c>
      <c r="B1987" s="13" t="s">
        <v>2284</v>
      </c>
      <c r="C1987" s="16" t="s">
        <v>2314</v>
      </c>
      <c r="D1987" s="13">
        <v>7896114990190</v>
      </c>
    </row>
    <row r="1988" spans="1:4">
      <c r="A1988" s="10" t="s">
        <v>2516</v>
      </c>
      <c r="B1988" s="13" t="s">
        <v>2284</v>
      </c>
      <c r="C1988" s="16" t="s">
        <v>2313</v>
      </c>
      <c r="D1988" s="13">
        <v>7896114990206</v>
      </c>
    </row>
    <row r="1989" spans="1:4">
      <c r="A1989" s="70" t="s">
        <v>2345</v>
      </c>
      <c r="B1989" s="13" t="s">
        <v>2284</v>
      </c>
      <c r="C1989" s="16" t="s">
        <v>2348</v>
      </c>
      <c r="D1989" s="13">
        <v>7896036090909</v>
      </c>
    </row>
    <row r="1990" spans="1:4">
      <c r="A1990" s="70" t="s">
        <v>2345</v>
      </c>
      <c r="B1990" s="13" t="s">
        <v>2284</v>
      </c>
      <c r="C1990" s="16" t="s">
        <v>2349</v>
      </c>
      <c r="D1990" s="13">
        <v>7896036090893</v>
      </c>
    </row>
    <row r="1991" spans="1:4">
      <c r="A1991" s="70" t="s">
        <v>2345</v>
      </c>
      <c r="B1991" s="13" t="s">
        <v>2284</v>
      </c>
      <c r="C1991" s="16" t="s">
        <v>2350</v>
      </c>
      <c r="D1991" s="13">
        <v>7896036094471</v>
      </c>
    </row>
    <row r="1992" spans="1:4">
      <c r="A1992" s="70" t="s">
        <v>2345</v>
      </c>
      <c r="B1992" s="13" t="s">
        <v>2284</v>
      </c>
      <c r="C1992" s="16" t="s">
        <v>2351</v>
      </c>
      <c r="D1992" s="13">
        <v>7896036093467</v>
      </c>
    </row>
    <row r="1993" spans="1:4">
      <c r="A1993" s="70" t="s">
        <v>2345</v>
      </c>
      <c r="B1993" s="13" t="s">
        <v>2284</v>
      </c>
      <c r="C1993" s="16" t="s">
        <v>2352</v>
      </c>
      <c r="D1993" s="13">
        <v>7896036094495</v>
      </c>
    </row>
    <row r="1994" spans="1:4">
      <c r="A1994" s="70" t="s">
        <v>2345</v>
      </c>
      <c r="B1994" s="13" t="s">
        <v>2284</v>
      </c>
      <c r="C1994" s="16" t="s">
        <v>2353</v>
      </c>
      <c r="D1994" s="13">
        <v>7896036095874</v>
      </c>
    </row>
    <row r="1995" spans="1:4">
      <c r="A1995" s="70" t="s">
        <v>2345</v>
      </c>
      <c r="B1995" s="13" t="s">
        <v>2284</v>
      </c>
      <c r="C1995" s="16" t="s">
        <v>2354</v>
      </c>
      <c r="D1995" s="13">
        <v>7896036093450</v>
      </c>
    </row>
    <row r="1996" spans="1:4">
      <c r="A1996" s="70" t="s">
        <v>2345</v>
      </c>
      <c r="B1996" s="13" t="s">
        <v>2284</v>
      </c>
      <c r="C1996" s="16" t="s">
        <v>2355</v>
      </c>
      <c r="D1996" s="13">
        <v>7896036090879</v>
      </c>
    </row>
    <row r="1997" spans="1:4">
      <c r="A1997" s="70" t="s">
        <v>2345</v>
      </c>
      <c r="B1997" s="13" t="s">
        <v>2284</v>
      </c>
      <c r="C1997" s="16" t="s">
        <v>2356</v>
      </c>
      <c r="D1997" s="13">
        <v>7896036097458</v>
      </c>
    </row>
    <row r="1998" spans="1:4">
      <c r="A1998" s="10" t="s">
        <v>2358</v>
      </c>
      <c r="B1998" s="13" t="s">
        <v>2285</v>
      </c>
      <c r="C1998" s="16" t="s">
        <v>2360</v>
      </c>
      <c r="D1998" s="13">
        <v>7891172432804</v>
      </c>
    </row>
    <row r="1999" spans="1:4">
      <c r="A1999" s="70" t="s">
        <v>71</v>
      </c>
      <c r="B1999" s="13" t="s">
        <v>2281</v>
      </c>
      <c r="C1999" s="16" t="s">
        <v>2361</v>
      </c>
      <c r="D1999" s="13">
        <v>7891032016106</v>
      </c>
    </row>
    <row r="2000" spans="1:4">
      <c r="A2000" s="70" t="s">
        <v>2357</v>
      </c>
      <c r="B2000" s="13" t="s">
        <v>2284</v>
      </c>
      <c r="C2000" s="16" t="s">
        <v>509</v>
      </c>
      <c r="D2000" s="13">
        <v>7896114902001</v>
      </c>
    </row>
    <row r="2001" spans="1:4">
      <c r="A2001" s="70" t="s">
        <v>2357</v>
      </c>
      <c r="B2001" s="13" t="s">
        <v>2284</v>
      </c>
      <c r="C2001" s="16" t="s">
        <v>509</v>
      </c>
      <c r="D2001" s="13">
        <v>7896114900038</v>
      </c>
    </row>
    <row r="2002" spans="1:4">
      <c r="A2002" s="70" t="s">
        <v>2357</v>
      </c>
      <c r="B2002" s="13" t="s">
        <v>2284</v>
      </c>
      <c r="C2002" s="16" t="s">
        <v>2314</v>
      </c>
      <c r="D2002" s="13">
        <v>7896114990190</v>
      </c>
    </row>
    <row r="2003" spans="1:4">
      <c r="A2003" s="70" t="s">
        <v>2362</v>
      </c>
      <c r="B2003" s="13" t="s">
        <v>2287</v>
      </c>
      <c r="C2003" s="16" t="s">
        <v>2363</v>
      </c>
      <c r="D2003" s="13">
        <v>7896029092460</v>
      </c>
    </row>
    <row r="2004" spans="1:4">
      <c r="A2004" s="70" t="s">
        <v>2362</v>
      </c>
      <c r="B2004" s="13" t="s">
        <v>2287</v>
      </c>
      <c r="C2004" s="16" t="s">
        <v>2364</v>
      </c>
      <c r="D2004" s="13">
        <v>7896029092224</v>
      </c>
    </row>
    <row r="2005" spans="1:4">
      <c r="A2005" s="70" t="s">
        <v>2362</v>
      </c>
      <c r="B2005" s="13" t="s">
        <v>2287</v>
      </c>
      <c r="C2005" s="16" t="s">
        <v>2365</v>
      </c>
      <c r="D2005" s="13">
        <v>7896029092347</v>
      </c>
    </row>
    <row r="2006" spans="1:4">
      <c r="A2006" s="70" t="s">
        <v>2362</v>
      </c>
      <c r="B2006" s="13" t="s">
        <v>2287</v>
      </c>
      <c r="C2006" s="16" t="s">
        <v>2366</v>
      </c>
      <c r="D2006" s="13">
        <v>7896029008713</v>
      </c>
    </row>
    <row r="2007" spans="1:4">
      <c r="A2007" s="70" t="s">
        <v>2362</v>
      </c>
      <c r="B2007" s="13" t="s">
        <v>2287</v>
      </c>
      <c r="C2007" s="16" t="s">
        <v>2367</v>
      </c>
      <c r="D2007" s="13">
        <v>7896029091906</v>
      </c>
    </row>
    <row r="2008" spans="1:4">
      <c r="A2008" s="70" t="s">
        <v>2362</v>
      </c>
      <c r="B2008" s="13" t="s">
        <v>2287</v>
      </c>
      <c r="C2008" s="16" t="s">
        <v>2370</v>
      </c>
      <c r="D2008" s="13">
        <v>7896029008683</v>
      </c>
    </row>
    <row r="2009" spans="1:4">
      <c r="A2009" s="70" t="s">
        <v>2362</v>
      </c>
      <c r="B2009" s="13" t="s">
        <v>2287</v>
      </c>
      <c r="C2009" s="16" t="s">
        <v>2368</v>
      </c>
      <c r="D2009" s="13">
        <v>7896029092415</v>
      </c>
    </row>
    <row r="2010" spans="1:4">
      <c r="A2010" s="70" t="s">
        <v>2362</v>
      </c>
      <c r="B2010" s="13" t="s">
        <v>2287</v>
      </c>
      <c r="C2010" s="16" t="s">
        <v>2369</v>
      </c>
      <c r="D2010" s="13">
        <v>7896029092439</v>
      </c>
    </row>
    <row r="2011" spans="1:4">
      <c r="A2011" s="70" t="s">
        <v>53</v>
      </c>
      <c r="B2011" s="17" t="s">
        <v>2286</v>
      </c>
      <c r="C2011" s="16" t="s">
        <v>2359</v>
      </c>
      <c r="D2011" s="13">
        <v>7896056405868</v>
      </c>
    </row>
    <row r="2012" spans="1:4">
      <c r="A2012" s="70" t="s">
        <v>2371</v>
      </c>
      <c r="B2012" s="13" t="s">
        <v>2287</v>
      </c>
      <c r="C2012" s="16" t="s">
        <v>2377</v>
      </c>
      <c r="D2012" s="13">
        <v>7896045102716</v>
      </c>
    </row>
    <row r="2013" spans="1:4">
      <c r="A2013" s="70" t="s">
        <v>2371</v>
      </c>
      <c r="B2013" s="13" t="s">
        <v>2287</v>
      </c>
      <c r="C2013" s="16" t="s">
        <v>2390</v>
      </c>
      <c r="D2013" s="13">
        <v>7896005808610</v>
      </c>
    </row>
    <row r="2014" spans="1:4">
      <c r="A2014" s="10" t="s">
        <v>2374</v>
      </c>
      <c r="B2014" s="13" t="s">
        <v>2286</v>
      </c>
      <c r="C2014" s="16" t="s">
        <v>2379</v>
      </c>
      <c r="D2014" s="13">
        <v>7908324402728</v>
      </c>
    </row>
    <row r="2015" spans="1:4">
      <c r="A2015" s="10" t="s">
        <v>2374</v>
      </c>
      <c r="B2015" s="13" t="s">
        <v>2286</v>
      </c>
      <c r="C2015" s="16" t="s">
        <v>2378</v>
      </c>
      <c r="D2015" s="13">
        <v>7908324402742</v>
      </c>
    </row>
    <row r="2016" spans="1:4">
      <c r="A2016" s="10" t="s">
        <v>2375</v>
      </c>
      <c r="B2016" s="13" t="s">
        <v>2287</v>
      </c>
      <c r="C2016" s="16" t="s">
        <v>2380</v>
      </c>
      <c r="D2016" s="13">
        <v>7898363315922</v>
      </c>
    </row>
    <row r="2017" spans="1:4">
      <c r="A2017" s="70" t="s">
        <v>2372</v>
      </c>
      <c r="B2017" s="17" t="s">
        <v>2281</v>
      </c>
      <c r="C2017" s="16" t="s">
        <v>1969</v>
      </c>
      <c r="D2017" s="13">
        <v>7896003738636</v>
      </c>
    </row>
    <row r="2018" spans="1:4">
      <c r="A2018" s="70" t="s">
        <v>2372</v>
      </c>
      <c r="B2018" s="17" t="s">
        <v>2281</v>
      </c>
      <c r="C2018" s="16" t="s">
        <v>1970</v>
      </c>
      <c r="D2018" s="13">
        <v>7896003738605</v>
      </c>
    </row>
    <row r="2019" spans="1:4">
      <c r="A2019" s="70" t="s">
        <v>2372</v>
      </c>
      <c r="B2019" s="17" t="s">
        <v>2281</v>
      </c>
      <c r="C2019" s="16" t="s">
        <v>2026</v>
      </c>
      <c r="D2019" s="13">
        <v>7896003738568</v>
      </c>
    </row>
    <row r="2020" spans="1:4">
      <c r="A2020" s="70" t="s">
        <v>2372</v>
      </c>
      <c r="B2020" s="17" t="s">
        <v>2281</v>
      </c>
      <c r="C2020" s="16" t="s">
        <v>1971</v>
      </c>
      <c r="D2020" s="13">
        <v>7896003738582</v>
      </c>
    </row>
    <row r="2021" spans="1:4">
      <c r="A2021" s="70" t="s">
        <v>2372</v>
      </c>
      <c r="B2021" s="17" t="s">
        <v>2281</v>
      </c>
      <c r="C2021" s="16" t="s">
        <v>1976</v>
      </c>
      <c r="D2021" s="13">
        <v>7896003738520</v>
      </c>
    </row>
    <row r="2022" spans="1:4">
      <c r="A2022" s="70" t="s">
        <v>2372</v>
      </c>
      <c r="B2022" s="17" t="s">
        <v>2281</v>
      </c>
      <c r="C2022" s="16" t="s">
        <v>1972</v>
      </c>
      <c r="D2022" s="13">
        <v>7896003738575</v>
      </c>
    </row>
    <row r="2023" spans="1:4">
      <c r="A2023" s="70" t="s">
        <v>2373</v>
      </c>
      <c r="B2023" s="13" t="s">
        <v>2283</v>
      </c>
      <c r="C2023" s="16" t="s">
        <v>2381</v>
      </c>
      <c r="D2023" s="13">
        <v>7896000554369</v>
      </c>
    </row>
    <row r="2024" spans="1:4">
      <c r="A2024" s="70" t="s">
        <v>2376</v>
      </c>
      <c r="B2024" s="13" t="s">
        <v>2287</v>
      </c>
      <c r="C2024" s="16" t="s">
        <v>2382</v>
      </c>
      <c r="D2024" s="13">
        <v>7909006944161</v>
      </c>
    </row>
    <row r="2025" spans="1:4">
      <c r="A2025" s="70" t="s">
        <v>2376</v>
      </c>
      <c r="B2025" s="13" t="s">
        <v>2287</v>
      </c>
      <c r="C2025" s="16" t="s">
        <v>2383</v>
      </c>
      <c r="D2025" s="13">
        <v>7909224078686</v>
      </c>
    </row>
    <row r="2026" spans="1:4">
      <c r="A2026" s="70" t="s">
        <v>2394</v>
      </c>
      <c r="B2026" s="13" t="s">
        <v>2284</v>
      </c>
      <c r="C2026" s="16" t="s">
        <v>2395</v>
      </c>
      <c r="D2026" s="13">
        <v>7898052001778</v>
      </c>
    </row>
    <row r="2027" spans="1:4">
      <c r="A2027" s="70" t="s">
        <v>2392</v>
      </c>
      <c r="B2027" s="13" t="s">
        <v>2283</v>
      </c>
      <c r="C2027" s="16" t="s">
        <v>2396</v>
      </c>
      <c r="D2027" s="13">
        <v>7896011127057</v>
      </c>
    </row>
    <row r="2028" spans="1:4">
      <c r="A2028" s="70" t="s">
        <v>2392</v>
      </c>
      <c r="B2028" s="13" t="s">
        <v>2283</v>
      </c>
      <c r="C2028" s="16" t="s">
        <v>2397</v>
      </c>
      <c r="D2028" s="13">
        <v>7896011129334</v>
      </c>
    </row>
    <row r="2029" spans="1:4">
      <c r="A2029" s="70" t="s">
        <v>2392</v>
      </c>
      <c r="B2029" s="13" t="s">
        <v>2283</v>
      </c>
      <c r="C2029" s="16" t="s">
        <v>2398</v>
      </c>
      <c r="D2029" s="13">
        <v>7896011126739</v>
      </c>
    </row>
    <row r="2030" spans="1:4">
      <c r="A2030" s="70" t="s">
        <v>2392</v>
      </c>
      <c r="B2030" s="13" t="s">
        <v>2283</v>
      </c>
      <c r="C2030" s="16" t="s">
        <v>2399</v>
      </c>
      <c r="D2030" s="13">
        <v>7896011127064</v>
      </c>
    </row>
    <row r="2031" spans="1:4">
      <c r="A2031" s="70" t="s">
        <v>2392</v>
      </c>
      <c r="B2031" s="13" t="s">
        <v>2283</v>
      </c>
      <c r="C2031" s="16" t="s">
        <v>2400</v>
      </c>
      <c r="D2031" s="13">
        <v>7896011108575</v>
      </c>
    </row>
    <row r="2032" spans="1:4">
      <c r="A2032" s="70" t="s">
        <v>2392</v>
      </c>
      <c r="B2032" s="13" t="s">
        <v>2283</v>
      </c>
      <c r="C2032" s="16" t="s">
        <v>2401</v>
      </c>
      <c r="D2032" s="13">
        <v>7896011129341</v>
      </c>
    </row>
    <row r="2033" spans="1:4">
      <c r="A2033" s="70" t="s">
        <v>2392</v>
      </c>
      <c r="B2033" s="13" t="s">
        <v>2283</v>
      </c>
      <c r="C2033" s="16" t="s">
        <v>2402</v>
      </c>
      <c r="D2033" s="13">
        <v>7896011127019</v>
      </c>
    </row>
    <row r="2034" spans="1:4">
      <c r="A2034" s="70" t="s">
        <v>2392</v>
      </c>
      <c r="B2034" s="13" t="s">
        <v>2283</v>
      </c>
      <c r="C2034" s="16" t="s">
        <v>2403</v>
      </c>
      <c r="D2034" s="13">
        <v>7896011129396</v>
      </c>
    </row>
    <row r="2035" spans="1:4">
      <c r="A2035" s="70" t="s">
        <v>2392</v>
      </c>
      <c r="B2035" s="13" t="s">
        <v>2283</v>
      </c>
      <c r="C2035" s="16" t="s">
        <v>2404</v>
      </c>
      <c r="D2035" s="13">
        <v>7896011106557</v>
      </c>
    </row>
    <row r="2036" spans="1:4">
      <c r="A2036" s="70" t="s">
        <v>2392</v>
      </c>
      <c r="B2036" s="13" t="s">
        <v>2283</v>
      </c>
      <c r="C2036" s="16" t="s">
        <v>2405</v>
      </c>
      <c r="D2036" s="13">
        <v>7896011127088</v>
      </c>
    </row>
    <row r="2037" spans="1:4">
      <c r="A2037" s="70" t="s">
        <v>2392</v>
      </c>
      <c r="B2037" s="13" t="s">
        <v>2283</v>
      </c>
      <c r="C2037" s="16" t="s">
        <v>2406</v>
      </c>
      <c r="D2037" s="13">
        <v>7896011106526</v>
      </c>
    </row>
    <row r="2038" spans="1:4">
      <c r="A2038" s="70" t="s">
        <v>2392</v>
      </c>
      <c r="B2038" s="13" t="s">
        <v>2283</v>
      </c>
      <c r="C2038" s="16" t="s">
        <v>2407</v>
      </c>
      <c r="D2038" s="13">
        <v>7896011129358</v>
      </c>
    </row>
    <row r="2039" spans="1:4">
      <c r="A2039" s="70" t="s">
        <v>2392</v>
      </c>
      <c r="B2039" s="13" t="s">
        <v>2283</v>
      </c>
      <c r="C2039" s="16" t="s">
        <v>2408</v>
      </c>
      <c r="D2039" s="13">
        <v>242554</v>
      </c>
    </row>
    <row r="2040" spans="1:4">
      <c r="A2040" s="70" t="s">
        <v>2392</v>
      </c>
      <c r="B2040" s="13" t="s">
        <v>2283</v>
      </c>
      <c r="C2040" s="16" t="s">
        <v>2409</v>
      </c>
      <c r="D2040" s="13">
        <v>7896011127293</v>
      </c>
    </row>
    <row r="2041" spans="1:4">
      <c r="A2041" s="70" t="s">
        <v>2392</v>
      </c>
      <c r="B2041" s="13" t="s">
        <v>2283</v>
      </c>
      <c r="C2041" s="16" t="s">
        <v>2410</v>
      </c>
      <c r="D2041" s="13">
        <v>7896011127033</v>
      </c>
    </row>
    <row r="2042" spans="1:4">
      <c r="A2042" s="70" t="s">
        <v>2392</v>
      </c>
      <c r="B2042" s="13" t="s">
        <v>2283</v>
      </c>
      <c r="C2042" s="16" t="s">
        <v>2411</v>
      </c>
      <c r="D2042" s="13">
        <v>7896011108445</v>
      </c>
    </row>
    <row r="2043" spans="1:4">
      <c r="A2043" s="70" t="s">
        <v>2392</v>
      </c>
      <c r="B2043" s="13" t="s">
        <v>2283</v>
      </c>
      <c r="C2043" s="16" t="s">
        <v>2412</v>
      </c>
      <c r="D2043" s="13">
        <v>7896011127422</v>
      </c>
    </row>
    <row r="2044" spans="1:4">
      <c r="A2044" s="70" t="s">
        <v>2392</v>
      </c>
      <c r="B2044" s="13" t="s">
        <v>2283</v>
      </c>
      <c r="C2044" s="16" t="s">
        <v>2413</v>
      </c>
      <c r="D2044" s="13">
        <v>7896011127026</v>
      </c>
    </row>
    <row r="2045" spans="1:4">
      <c r="A2045" s="70" t="s">
        <v>2392</v>
      </c>
      <c r="B2045" s="13" t="s">
        <v>2283</v>
      </c>
      <c r="C2045" s="16" t="s">
        <v>2414</v>
      </c>
      <c r="D2045" s="13">
        <v>7896011108605</v>
      </c>
    </row>
    <row r="2046" spans="1:4">
      <c r="A2046" s="70" t="s">
        <v>2392</v>
      </c>
      <c r="B2046" s="13" t="s">
        <v>2283</v>
      </c>
      <c r="C2046" s="16" t="s">
        <v>2470</v>
      </c>
      <c r="D2046" s="13">
        <v>763974</v>
      </c>
    </row>
    <row r="2047" spans="1:4">
      <c r="A2047" s="70" t="s">
        <v>2392</v>
      </c>
      <c r="B2047" s="13" t="s">
        <v>2283</v>
      </c>
      <c r="C2047" s="16" t="s">
        <v>2415</v>
      </c>
      <c r="D2047" s="13">
        <v>7896011127040</v>
      </c>
    </row>
    <row r="2048" spans="1:4">
      <c r="A2048" s="70" t="s">
        <v>2392</v>
      </c>
      <c r="B2048" s="13" t="s">
        <v>2283</v>
      </c>
      <c r="C2048" s="16" t="s">
        <v>2416</v>
      </c>
      <c r="D2048" s="13">
        <v>7896011127071</v>
      </c>
    </row>
    <row r="2049" spans="1:4">
      <c r="A2049" s="70" t="s">
        <v>3035</v>
      </c>
      <c r="B2049" s="17" t="s">
        <v>2283</v>
      </c>
      <c r="C2049" s="16" t="s">
        <v>2417</v>
      </c>
      <c r="D2049" s="13">
        <v>7891991000826</v>
      </c>
    </row>
    <row r="2050" spans="1:4">
      <c r="A2050" s="70" t="s">
        <v>3035</v>
      </c>
      <c r="B2050" s="17" t="s">
        <v>2283</v>
      </c>
      <c r="C2050" s="72" t="s">
        <v>2440</v>
      </c>
      <c r="D2050" s="75">
        <v>7891991015103</v>
      </c>
    </row>
    <row r="2051" spans="1:4">
      <c r="A2051" s="70" t="s">
        <v>3035</v>
      </c>
      <c r="B2051" s="17" t="s">
        <v>2283</v>
      </c>
      <c r="C2051" s="72" t="s">
        <v>165</v>
      </c>
      <c r="D2051" s="75">
        <v>7891991002189</v>
      </c>
    </row>
    <row r="2052" spans="1:4">
      <c r="A2052" s="70" t="s">
        <v>2418</v>
      </c>
      <c r="B2052" s="13" t="s">
        <v>2286</v>
      </c>
      <c r="C2052" s="16" t="s">
        <v>2419</v>
      </c>
      <c r="D2052" s="13">
        <v>7896183304270</v>
      </c>
    </row>
    <row r="2053" spans="1:4">
      <c r="A2053" s="70" t="s">
        <v>2418</v>
      </c>
      <c r="B2053" s="13" t="s">
        <v>2286</v>
      </c>
      <c r="C2053" s="16" t="s">
        <v>2420</v>
      </c>
      <c r="D2053" s="13">
        <v>7896183306199</v>
      </c>
    </row>
    <row r="2054" spans="1:4">
      <c r="A2054" s="70" t="s">
        <v>2418</v>
      </c>
      <c r="B2054" s="13" t="s">
        <v>2286</v>
      </c>
      <c r="C2054" s="16" t="s">
        <v>2421</v>
      </c>
      <c r="D2054" s="13">
        <v>7896183309602</v>
      </c>
    </row>
    <row r="2055" spans="1:4">
      <c r="A2055" s="70" t="s">
        <v>2418</v>
      </c>
      <c r="B2055" s="13" t="s">
        <v>2286</v>
      </c>
      <c r="C2055" s="16" t="s">
        <v>2422</v>
      </c>
      <c r="D2055" s="13">
        <v>7896183309619</v>
      </c>
    </row>
    <row r="2056" spans="1:4">
      <c r="A2056" s="70" t="s">
        <v>2687</v>
      </c>
      <c r="B2056" s="13" t="s">
        <v>2286</v>
      </c>
      <c r="C2056" s="16" t="s">
        <v>2426</v>
      </c>
      <c r="D2056" s="13">
        <v>7896098904732</v>
      </c>
    </row>
    <row r="2057" spans="1:4">
      <c r="A2057" s="70" t="s">
        <v>2424</v>
      </c>
      <c r="B2057" s="13" t="s">
        <v>2283</v>
      </c>
      <c r="C2057" s="16" t="s">
        <v>1678</v>
      </c>
      <c r="D2057" s="13">
        <v>7896023012471</v>
      </c>
    </row>
    <row r="2058" spans="1:4">
      <c r="A2058" s="70" t="s">
        <v>2424</v>
      </c>
      <c r="B2058" s="13" t="s">
        <v>2283</v>
      </c>
      <c r="C2058" s="16" t="s">
        <v>2494</v>
      </c>
      <c r="D2058" s="13">
        <v>7896023012495</v>
      </c>
    </row>
    <row r="2059" spans="1:4">
      <c r="A2059" s="70" t="s">
        <v>2424</v>
      </c>
      <c r="B2059" s="13" t="s">
        <v>2283</v>
      </c>
      <c r="C2059" s="16" t="s">
        <v>2427</v>
      </c>
      <c r="D2059" s="13">
        <v>7896023012501</v>
      </c>
    </row>
    <row r="2060" spans="1:4">
      <c r="A2060" s="70" t="s">
        <v>2850</v>
      </c>
      <c r="B2060" s="17" t="s">
        <v>2287</v>
      </c>
      <c r="C2060" s="16" t="s">
        <v>2428</v>
      </c>
      <c r="D2060" s="13">
        <v>7896029087336</v>
      </c>
    </row>
    <row r="2061" spans="1:4">
      <c r="A2061" s="10" t="s">
        <v>2047</v>
      </c>
      <c r="B2061" s="17" t="s">
        <v>2281</v>
      </c>
      <c r="C2061" s="16" t="s">
        <v>439</v>
      </c>
      <c r="D2061" s="13">
        <v>7891021006125</v>
      </c>
    </row>
    <row r="2062" spans="1:4">
      <c r="A2062" s="70" t="s">
        <v>2433</v>
      </c>
      <c r="B2062" s="13" t="s">
        <v>2283</v>
      </c>
      <c r="C2062" s="16" t="s">
        <v>2434</v>
      </c>
      <c r="D2062" s="13">
        <v>7898152997414</v>
      </c>
    </row>
    <row r="2063" spans="1:4">
      <c r="A2063" s="70" t="s">
        <v>2432</v>
      </c>
      <c r="B2063" s="13" t="s">
        <v>2286</v>
      </c>
      <c r="C2063" s="16" t="s">
        <v>2435</v>
      </c>
      <c r="D2063" s="13">
        <v>7891022860429</v>
      </c>
    </row>
    <row r="2064" spans="1:4">
      <c r="A2064" s="70" t="s">
        <v>2432</v>
      </c>
      <c r="B2064" s="13" t="s">
        <v>2286</v>
      </c>
      <c r="C2064" s="16" t="s">
        <v>2436</v>
      </c>
      <c r="D2064" s="13">
        <v>7891022867459</v>
      </c>
    </row>
    <row r="2065" spans="1:4">
      <c r="A2065" s="70" t="s">
        <v>2432</v>
      </c>
      <c r="B2065" s="13" t="s">
        <v>2286</v>
      </c>
      <c r="C2065" s="16" t="s">
        <v>2437</v>
      </c>
      <c r="D2065" s="13">
        <v>7891022860436</v>
      </c>
    </row>
    <row r="2066" spans="1:4">
      <c r="A2066" s="70" t="s">
        <v>2432</v>
      </c>
      <c r="B2066" s="13" t="s">
        <v>2286</v>
      </c>
      <c r="C2066" s="16" t="s">
        <v>2438</v>
      </c>
      <c r="D2066" s="13">
        <v>7891022860450</v>
      </c>
    </row>
    <row r="2067" spans="1:4">
      <c r="A2067" s="70" t="s">
        <v>2432</v>
      </c>
      <c r="B2067" s="13" t="s">
        <v>2286</v>
      </c>
      <c r="C2067" s="16" t="s">
        <v>2439</v>
      </c>
      <c r="D2067" s="13">
        <v>7891022867442</v>
      </c>
    </row>
    <row r="2068" spans="1:4">
      <c r="A2068" s="70" t="s">
        <v>2442</v>
      </c>
      <c r="B2068" s="13" t="s">
        <v>2287</v>
      </c>
      <c r="C2068" s="16" t="s">
        <v>2444</v>
      </c>
      <c r="D2068" s="13">
        <v>7896029079508</v>
      </c>
    </row>
    <row r="2069" spans="1:4">
      <c r="A2069" s="70" t="s">
        <v>2442</v>
      </c>
      <c r="B2069" s="13" t="s">
        <v>2287</v>
      </c>
      <c r="C2069" s="16" t="s">
        <v>2445</v>
      </c>
      <c r="D2069" s="13">
        <v>7896029079522</v>
      </c>
    </row>
    <row r="2070" spans="1:4">
      <c r="A2070" s="70" t="s">
        <v>2442</v>
      </c>
      <c r="B2070" s="13" t="s">
        <v>2287</v>
      </c>
      <c r="C2070" s="16" t="s">
        <v>2458</v>
      </c>
      <c r="D2070" s="13">
        <v>7896029025963</v>
      </c>
    </row>
    <row r="2071" spans="1:4">
      <c r="A2071" s="70" t="s">
        <v>2442</v>
      </c>
      <c r="B2071" s="13" t="s">
        <v>2287</v>
      </c>
      <c r="C2071" s="16" t="s">
        <v>2459</v>
      </c>
      <c r="D2071" s="13">
        <v>7896029079560</v>
      </c>
    </row>
    <row r="2072" spans="1:4">
      <c r="A2072" s="70" t="s">
        <v>2442</v>
      </c>
      <c r="B2072" s="13" t="s">
        <v>2287</v>
      </c>
      <c r="C2072" s="16" t="s">
        <v>2446</v>
      </c>
      <c r="D2072" s="13">
        <v>7896029079546</v>
      </c>
    </row>
    <row r="2073" spans="1:4">
      <c r="A2073" s="70" t="s">
        <v>2443</v>
      </c>
      <c r="B2073" s="13" t="s">
        <v>2287</v>
      </c>
      <c r="C2073" s="16" t="s">
        <v>2447</v>
      </c>
      <c r="D2073" s="13">
        <v>7896029072615</v>
      </c>
    </row>
    <row r="2074" spans="1:4">
      <c r="A2074" s="70" t="s">
        <v>2443</v>
      </c>
      <c r="B2074" s="13" t="s">
        <v>2287</v>
      </c>
      <c r="C2074" s="16" t="s">
        <v>2448</v>
      </c>
      <c r="D2074" s="13">
        <v>7896029079607</v>
      </c>
    </row>
    <row r="2075" spans="1:4">
      <c r="A2075" s="70" t="s">
        <v>2443</v>
      </c>
      <c r="B2075" s="13" t="s">
        <v>2287</v>
      </c>
      <c r="C2075" s="16" t="s">
        <v>2449</v>
      </c>
      <c r="D2075" s="13">
        <v>248808</v>
      </c>
    </row>
    <row r="2076" spans="1:4">
      <c r="A2076" s="70" t="s">
        <v>2443</v>
      </c>
      <c r="B2076" s="13" t="s">
        <v>2287</v>
      </c>
      <c r="C2076" s="16" t="s">
        <v>2450</v>
      </c>
      <c r="D2076" s="13">
        <v>7896029072622</v>
      </c>
    </row>
    <row r="2077" spans="1:4">
      <c r="A2077" s="70" t="s">
        <v>2443</v>
      </c>
      <c r="B2077" s="13" t="s">
        <v>2287</v>
      </c>
      <c r="C2077" s="16" t="s">
        <v>2450</v>
      </c>
      <c r="D2077" s="13">
        <v>7896029079461</v>
      </c>
    </row>
    <row r="2078" spans="1:4">
      <c r="A2078" s="70" t="s">
        <v>2443</v>
      </c>
      <c r="B2078" s="13" t="s">
        <v>2287</v>
      </c>
      <c r="C2078" s="16" t="s">
        <v>2460</v>
      </c>
      <c r="D2078" s="13">
        <v>7896029079447</v>
      </c>
    </row>
    <row r="2079" spans="1:4">
      <c r="A2079" s="70" t="s">
        <v>2443</v>
      </c>
      <c r="B2079" s="13" t="s">
        <v>2287</v>
      </c>
      <c r="C2079" s="16" t="s">
        <v>2451</v>
      </c>
      <c r="D2079" s="13">
        <v>7896029079485</v>
      </c>
    </row>
    <row r="2080" spans="1:4">
      <c r="A2080" s="70" t="s">
        <v>2441</v>
      </c>
      <c r="B2080" s="13" t="s">
        <v>2283</v>
      </c>
      <c r="C2080" s="16" t="s">
        <v>2452</v>
      </c>
      <c r="D2080" s="13">
        <v>7792319971579</v>
      </c>
    </row>
    <row r="2081" spans="1:4">
      <c r="A2081" s="70" t="s">
        <v>2441</v>
      </c>
      <c r="B2081" s="13" t="s">
        <v>2283</v>
      </c>
      <c r="C2081" s="16" t="s">
        <v>2453</v>
      </c>
      <c r="D2081" s="13">
        <v>7792319003669</v>
      </c>
    </row>
    <row r="2082" spans="1:4">
      <c r="A2082" s="70" t="s">
        <v>2441</v>
      </c>
      <c r="B2082" s="13" t="s">
        <v>2283</v>
      </c>
      <c r="C2082" s="16" t="s">
        <v>2454</v>
      </c>
      <c r="D2082" s="13">
        <v>7792319971562</v>
      </c>
    </row>
    <row r="2083" spans="1:4">
      <c r="A2083" s="70" t="s">
        <v>2441</v>
      </c>
      <c r="B2083" s="13" t="s">
        <v>2283</v>
      </c>
      <c r="C2083" s="16" t="s">
        <v>2455</v>
      </c>
      <c r="D2083" s="13">
        <v>7792319971555</v>
      </c>
    </row>
    <row r="2084" spans="1:4">
      <c r="A2084" s="70" t="s">
        <v>2441</v>
      </c>
      <c r="B2084" s="13" t="s">
        <v>2283</v>
      </c>
      <c r="C2084" s="16" t="s">
        <v>2456</v>
      </c>
      <c r="D2084" s="13">
        <v>7792319971586</v>
      </c>
    </row>
    <row r="2085" spans="1:4">
      <c r="A2085" s="70" t="s">
        <v>2464</v>
      </c>
      <c r="B2085" s="17" t="s">
        <v>2283</v>
      </c>
      <c r="C2085" s="16" t="s">
        <v>1633</v>
      </c>
      <c r="D2085" s="13">
        <v>82184200698</v>
      </c>
    </row>
    <row r="2086" spans="1:4">
      <c r="A2086" s="70" t="s">
        <v>2464</v>
      </c>
      <c r="B2086" s="17" t="s">
        <v>2283</v>
      </c>
      <c r="C2086" s="16" t="s">
        <v>1739</v>
      </c>
      <c r="D2086" s="13">
        <v>82184090442</v>
      </c>
    </row>
    <row r="2087" spans="1:4">
      <c r="A2087" s="70" t="s">
        <v>2463</v>
      </c>
      <c r="B2087" s="17" t="s">
        <v>2288</v>
      </c>
      <c r="C2087" s="16" t="s">
        <v>1306</v>
      </c>
      <c r="D2087" s="13">
        <v>7891025109891</v>
      </c>
    </row>
    <row r="2088" spans="1:4">
      <c r="A2088" s="70" t="s">
        <v>2463</v>
      </c>
      <c r="B2088" s="17" t="s">
        <v>2288</v>
      </c>
      <c r="C2088" s="16" t="s">
        <v>1304</v>
      </c>
      <c r="D2088" s="13">
        <v>7891025109884</v>
      </c>
    </row>
    <row r="2089" spans="1:4">
      <c r="A2089" s="10" t="s">
        <v>2462</v>
      </c>
      <c r="B2089" s="17" t="s">
        <v>2288</v>
      </c>
      <c r="C2089" s="16" t="s">
        <v>1481</v>
      </c>
      <c r="D2089" s="13">
        <v>7898904874017</v>
      </c>
    </row>
    <row r="2090" spans="1:4">
      <c r="A2090" s="70" t="s">
        <v>2461</v>
      </c>
      <c r="B2090" s="13" t="s">
        <v>2288</v>
      </c>
      <c r="C2090" s="16" t="s">
        <v>255</v>
      </c>
      <c r="D2090" s="13">
        <v>7896002302197</v>
      </c>
    </row>
    <row r="2091" spans="1:4">
      <c r="A2091" s="70" t="s">
        <v>2461</v>
      </c>
      <c r="B2091" s="13" t="s">
        <v>2288</v>
      </c>
      <c r="C2091" s="16" t="s">
        <v>2467</v>
      </c>
      <c r="D2091" s="13">
        <v>7896002303460</v>
      </c>
    </row>
    <row r="2092" spans="1:4">
      <c r="A2092" s="70" t="s">
        <v>2461</v>
      </c>
      <c r="B2092" s="13" t="s">
        <v>2288</v>
      </c>
      <c r="C2092" s="16" t="s">
        <v>2468</v>
      </c>
      <c r="D2092" s="13">
        <v>7896002310345</v>
      </c>
    </row>
    <row r="2093" spans="1:4">
      <c r="A2093" s="70" t="s">
        <v>2465</v>
      </c>
      <c r="B2093" s="13" t="s">
        <v>2283</v>
      </c>
      <c r="C2093" s="16" t="s">
        <v>2466</v>
      </c>
      <c r="D2093" s="13">
        <v>5000387905634</v>
      </c>
    </row>
    <row r="2094" spans="1:4">
      <c r="A2094" s="10" t="s">
        <v>2570</v>
      </c>
      <c r="B2094" s="13" t="s">
        <v>2286</v>
      </c>
      <c r="C2094" s="16" t="s">
        <v>2469</v>
      </c>
      <c r="D2094" s="13">
        <v>7896098901229</v>
      </c>
    </row>
    <row r="2095" spans="1:4">
      <c r="A2095" s="10" t="s">
        <v>2474</v>
      </c>
      <c r="B2095" s="13" t="s">
        <v>2281</v>
      </c>
      <c r="C2095" s="16" t="s">
        <v>2476</v>
      </c>
      <c r="D2095" s="13">
        <v>7896003738230</v>
      </c>
    </row>
    <row r="2096" spans="1:4">
      <c r="A2096" s="10" t="s">
        <v>2474</v>
      </c>
      <c r="B2096" s="13" t="s">
        <v>2281</v>
      </c>
      <c r="C2096" s="16" t="s">
        <v>2477</v>
      </c>
      <c r="D2096" s="13">
        <v>7896003737929</v>
      </c>
    </row>
    <row r="2097" spans="1:4">
      <c r="A2097" s="10" t="s">
        <v>2474</v>
      </c>
      <c r="B2097" s="13" t="s">
        <v>2281</v>
      </c>
      <c r="C2097" s="16" t="s">
        <v>2478</v>
      </c>
      <c r="D2097" s="13">
        <v>7896003738247</v>
      </c>
    </row>
    <row r="2098" spans="1:4">
      <c r="A2098" s="10" t="s">
        <v>2474</v>
      </c>
      <c r="B2098" s="13" t="s">
        <v>2281</v>
      </c>
      <c r="C2098" s="16" t="s">
        <v>2479</v>
      </c>
      <c r="D2098" s="13">
        <v>7896003738223</v>
      </c>
    </row>
    <row r="2099" spans="1:4">
      <c r="A2099" s="10" t="s">
        <v>2472</v>
      </c>
      <c r="B2099" s="13" t="s">
        <v>2285</v>
      </c>
      <c r="C2099" s="16" t="s">
        <v>2480</v>
      </c>
      <c r="D2099" s="13">
        <v>7506295388487</v>
      </c>
    </row>
    <row r="2100" spans="1:4">
      <c r="A2100" s="19" t="s">
        <v>2475</v>
      </c>
      <c r="B2100" s="13" t="s">
        <v>2287</v>
      </c>
      <c r="C2100" s="16" t="s">
        <v>2481</v>
      </c>
      <c r="D2100" s="13">
        <v>7890244673817</v>
      </c>
    </row>
    <row r="2101" spans="1:4">
      <c r="A2101" s="70" t="s">
        <v>2475</v>
      </c>
      <c r="B2101" s="13" t="s">
        <v>2287</v>
      </c>
      <c r="C2101" s="16" t="s">
        <v>2484</v>
      </c>
      <c r="D2101" s="13">
        <v>7890244673688</v>
      </c>
    </row>
    <row r="2102" spans="1:4">
      <c r="A2102" s="70" t="s">
        <v>2473</v>
      </c>
      <c r="B2102" s="13" t="s">
        <v>2286</v>
      </c>
      <c r="C2102" s="16" t="s">
        <v>2482</v>
      </c>
      <c r="D2102" s="13">
        <v>7896098901328</v>
      </c>
    </row>
    <row r="2103" spans="1:4">
      <c r="A2103" s="10" t="s">
        <v>2485</v>
      </c>
      <c r="B2103" s="13" t="s">
        <v>2285</v>
      </c>
      <c r="C2103" s="16" t="s">
        <v>2488</v>
      </c>
      <c r="D2103" s="13">
        <v>7896018704121</v>
      </c>
    </row>
    <row r="2104" spans="1:4">
      <c r="A2104" s="10" t="s">
        <v>2485</v>
      </c>
      <c r="B2104" s="13" t="s">
        <v>2285</v>
      </c>
      <c r="C2104" s="16" t="s">
        <v>2901</v>
      </c>
      <c r="D2104" s="13">
        <v>7891172523458</v>
      </c>
    </row>
    <row r="2105" spans="1:4">
      <c r="A2105" s="10" t="s">
        <v>2486</v>
      </c>
      <c r="B2105" s="13" t="s">
        <v>2287</v>
      </c>
      <c r="C2105" s="16" t="s">
        <v>2489</v>
      </c>
      <c r="D2105" s="13">
        <v>7898955019566</v>
      </c>
    </row>
    <row r="2106" spans="1:4">
      <c r="A2106" s="10" t="s">
        <v>2486</v>
      </c>
      <c r="B2106" s="13" t="s">
        <v>2287</v>
      </c>
      <c r="C2106" s="16" t="s">
        <v>2490</v>
      </c>
      <c r="D2106" s="13">
        <v>7898955019702</v>
      </c>
    </row>
    <row r="2107" spans="1:4">
      <c r="A2107" s="10" t="s">
        <v>2486</v>
      </c>
      <c r="B2107" s="13" t="s">
        <v>2287</v>
      </c>
      <c r="C2107" s="16" t="s">
        <v>2491</v>
      </c>
      <c r="D2107" s="13">
        <v>7898955019603</v>
      </c>
    </row>
    <row r="2108" spans="1:4">
      <c r="A2108" s="70" t="s">
        <v>2487</v>
      </c>
      <c r="B2108" s="17" t="s">
        <v>2283</v>
      </c>
      <c r="C2108" s="16" t="s">
        <v>2492</v>
      </c>
      <c r="D2108" s="13">
        <v>7891991010481</v>
      </c>
    </row>
    <row r="2109" spans="1:4">
      <c r="A2109" s="70" t="s">
        <v>2487</v>
      </c>
      <c r="B2109" s="17" t="s">
        <v>2283</v>
      </c>
      <c r="C2109" s="16" t="s">
        <v>2493</v>
      </c>
      <c r="D2109" s="13">
        <v>7891991296342</v>
      </c>
    </row>
    <row r="2110" spans="1:4">
      <c r="A2110" s="70" t="s">
        <v>2497</v>
      </c>
      <c r="B2110" s="17" t="s">
        <v>3406</v>
      </c>
      <c r="C2110" s="16" t="s">
        <v>2498</v>
      </c>
      <c r="D2110" s="13">
        <v>98380</v>
      </c>
    </row>
    <row r="2111" spans="1:4">
      <c r="A2111" s="70" t="s">
        <v>2496</v>
      </c>
      <c r="B2111" s="13" t="s">
        <v>2284</v>
      </c>
      <c r="C2111" s="16" t="s">
        <v>2499</v>
      </c>
      <c r="D2111" s="13">
        <v>7893500020134</v>
      </c>
    </row>
    <row r="2112" spans="1:4">
      <c r="A2112" s="70" t="s">
        <v>2501</v>
      </c>
      <c r="B2112" s="17" t="s">
        <v>2283</v>
      </c>
      <c r="C2112" s="16" t="s">
        <v>2502</v>
      </c>
      <c r="D2112" s="13">
        <v>7898295303271</v>
      </c>
    </row>
    <row r="2113" spans="1:4">
      <c r="A2113" s="10" t="s">
        <v>2507</v>
      </c>
      <c r="B2113" s="17" t="s">
        <v>2283</v>
      </c>
      <c r="C2113" s="16" t="s">
        <v>2205</v>
      </c>
      <c r="D2113" s="13">
        <v>7896756804657</v>
      </c>
    </row>
    <row r="2114" spans="1:4">
      <c r="A2114" s="10" t="s">
        <v>2507</v>
      </c>
      <c r="B2114" s="17" t="s">
        <v>2283</v>
      </c>
      <c r="C2114" s="16" t="s">
        <v>2203</v>
      </c>
      <c r="D2114" s="13">
        <v>7896756804664</v>
      </c>
    </row>
    <row r="2115" spans="1:4">
      <c r="A2115" s="70" t="s">
        <v>2504</v>
      </c>
      <c r="B2115" s="13" t="s">
        <v>2281</v>
      </c>
      <c r="C2115" s="16" t="s">
        <v>2508</v>
      </c>
      <c r="D2115" s="13">
        <v>7891008116632</v>
      </c>
    </row>
    <row r="2116" spans="1:4">
      <c r="A2116" s="70" t="s">
        <v>2505</v>
      </c>
      <c r="B2116" s="13" t="s">
        <v>2283</v>
      </c>
      <c r="C2116" s="16" t="s">
        <v>2509</v>
      </c>
      <c r="D2116" s="13">
        <v>7891149010509</v>
      </c>
    </row>
    <row r="2117" spans="1:4">
      <c r="A2117" s="70" t="s">
        <v>2505</v>
      </c>
      <c r="B2117" s="13" t="s">
        <v>2283</v>
      </c>
      <c r="C2117" s="72" t="s">
        <v>2512</v>
      </c>
      <c r="D2117" s="13">
        <v>7891149100019</v>
      </c>
    </row>
    <row r="2118" spans="1:4">
      <c r="A2118" s="70" t="s">
        <v>2505</v>
      </c>
      <c r="B2118" s="13" t="s">
        <v>2283</v>
      </c>
      <c r="C2118" s="16" t="s">
        <v>2510</v>
      </c>
      <c r="D2118" s="13">
        <v>7891149200504</v>
      </c>
    </row>
    <row r="2119" spans="1:4">
      <c r="A2119" s="70" t="s">
        <v>2505</v>
      </c>
      <c r="B2119" s="13" t="s">
        <v>2283</v>
      </c>
      <c r="C2119" s="72" t="s">
        <v>2513</v>
      </c>
      <c r="D2119" s="13">
        <v>7891149100002</v>
      </c>
    </row>
    <row r="2120" spans="1:4">
      <c r="A2120" s="70" t="s">
        <v>2506</v>
      </c>
      <c r="B2120" s="13" t="s">
        <v>2281</v>
      </c>
      <c r="C2120" s="16" t="s">
        <v>2511</v>
      </c>
      <c r="D2120" s="13">
        <v>7896045109807</v>
      </c>
    </row>
    <row r="2121" spans="1:4">
      <c r="A2121" s="70" t="s">
        <v>2544</v>
      </c>
      <c r="B2121" s="13" t="s">
        <v>2283</v>
      </c>
      <c r="C2121" s="16" t="s">
        <v>2519</v>
      </c>
      <c r="D2121" s="13">
        <v>7896000594020</v>
      </c>
    </row>
    <row r="2122" spans="1:4">
      <c r="A2122" s="70" t="s">
        <v>107</v>
      </c>
      <c r="B2122" s="13" t="s">
        <v>2280</v>
      </c>
      <c r="C2122" s="16" t="s">
        <v>2520</v>
      </c>
      <c r="D2122" s="13">
        <v>7896022203634</v>
      </c>
    </row>
    <row r="2123" spans="1:4">
      <c r="A2123" s="70" t="s">
        <v>107</v>
      </c>
      <c r="B2123" s="13" t="s">
        <v>2280</v>
      </c>
      <c r="C2123" s="16" t="s">
        <v>2521</v>
      </c>
      <c r="D2123" s="13">
        <v>7896022201746</v>
      </c>
    </row>
    <row r="2124" spans="1:4">
      <c r="A2124" s="70" t="s">
        <v>107</v>
      </c>
      <c r="B2124" s="13" t="s">
        <v>2280</v>
      </c>
      <c r="C2124" s="16" t="s">
        <v>2522</v>
      </c>
      <c r="D2124" s="13">
        <v>7896022203627</v>
      </c>
    </row>
    <row r="2125" spans="1:4">
      <c r="A2125" s="70" t="s">
        <v>107</v>
      </c>
      <c r="B2125" s="13" t="s">
        <v>2280</v>
      </c>
      <c r="C2125" s="16" t="s">
        <v>2523</v>
      </c>
      <c r="D2125" s="13">
        <v>7896022201340</v>
      </c>
    </row>
    <row r="2126" spans="1:4" ht="30">
      <c r="A2126" s="70" t="s">
        <v>2539</v>
      </c>
      <c r="B2126" s="13" t="s">
        <v>2283</v>
      </c>
      <c r="C2126" s="16" t="s">
        <v>2527</v>
      </c>
      <c r="D2126" s="13">
        <v>7891991100830</v>
      </c>
    </row>
    <row r="2127" spans="1:4">
      <c r="A2127" s="70" t="s">
        <v>2525</v>
      </c>
      <c r="B2127" s="13" t="s">
        <v>2283</v>
      </c>
      <c r="C2127" s="16" t="s">
        <v>2528</v>
      </c>
      <c r="D2127" s="13">
        <v>7893218002422</v>
      </c>
    </row>
    <row r="2128" spans="1:4">
      <c r="A2128" s="70" t="s">
        <v>2526</v>
      </c>
      <c r="B2128" s="13" t="s">
        <v>2283</v>
      </c>
      <c r="C2128" s="16" t="s">
        <v>2529</v>
      </c>
      <c r="D2128" s="13">
        <v>7896045506064</v>
      </c>
    </row>
    <row r="2129" spans="1:4">
      <c r="A2129" s="70" t="s">
        <v>2517</v>
      </c>
      <c r="B2129" s="13" t="s">
        <v>2285</v>
      </c>
      <c r="C2129" s="16" t="s">
        <v>2337</v>
      </c>
      <c r="D2129" s="13">
        <v>7896007552429</v>
      </c>
    </row>
    <row r="2130" spans="1:4">
      <c r="A2130" s="70" t="s">
        <v>2517</v>
      </c>
      <c r="B2130" s="13" t="s">
        <v>2285</v>
      </c>
      <c r="C2130" s="16" t="s">
        <v>2338</v>
      </c>
      <c r="D2130" s="13">
        <v>7896007552412</v>
      </c>
    </row>
    <row r="2131" spans="1:4">
      <c r="A2131" s="70" t="s">
        <v>2517</v>
      </c>
      <c r="B2131" s="13" t="s">
        <v>2285</v>
      </c>
      <c r="C2131" s="16" t="s">
        <v>2339</v>
      </c>
      <c r="D2131" s="13">
        <v>7896007552405</v>
      </c>
    </row>
    <row r="2132" spans="1:4">
      <c r="A2132" s="70" t="s">
        <v>2517</v>
      </c>
      <c r="B2132" s="13" t="s">
        <v>2285</v>
      </c>
      <c r="C2132" s="16" t="s">
        <v>1556</v>
      </c>
      <c r="D2132" s="13">
        <v>7896007550227</v>
      </c>
    </row>
    <row r="2133" spans="1:4">
      <c r="A2133" s="70" t="s">
        <v>2517</v>
      </c>
      <c r="B2133" s="13" t="s">
        <v>2285</v>
      </c>
      <c r="C2133" s="16" t="s">
        <v>1557</v>
      </c>
      <c r="D2133" s="13">
        <v>7896007550234</v>
      </c>
    </row>
    <row r="2134" spans="1:4">
      <c r="A2134" s="10" t="s">
        <v>2531</v>
      </c>
      <c r="B2134" s="13" t="s">
        <v>2287</v>
      </c>
      <c r="C2134" s="16" t="s">
        <v>2533</v>
      </c>
      <c r="D2134" s="13">
        <v>7896061926044</v>
      </c>
    </row>
    <row r="2135" spans="1:4">
      <c r="A2135" s="70" t="s">
        <v>2530</v>
      </c>
      <c r="B2135" s="13" t="s">
        <v>2288</v>
      </c>
      <c r="C2135" s="16" t="s">
        <v>2534</v>
      </c>
      <c r="D2135" s="13">
        <v>7891025115632</v>
      </c>
    </row>
    <row r="2136" spans="1:4">
      <c r="A2136" s="70" t="s">
        <v>2530</v>
      </c>
      <c r="B2136" s="13" t="s">
        <v>2288</v>
      </c>
      <c r="C2136" s="16" t="s">
        <v>2535</v>
      </c>
      <c r="D2136" s="13">
        <v>7891025115656</v>
      </c>
    </row>
    <row r="2137" spans="1:4">
      <c r="A2137" s="70" t="s">
        <v>2530</v>
      </c>
      <c r="B2137" s="13" t="s">
        <v>2288</v>
      </c>
      <c r="C2137" s="16" t="s">
        <v>3021</v>
      </c>
      <c r="D2137" s="13">
        <v>7891025124627</v>
      </c>
    </row>
    <row r="2138" spans="1:4">
      <c r="A2138" s="70" t="s">
        <v>2530</v>
      </c>
      <c r="B2138" s="13" t="s">
        <v>2288</v>
      </c>
      <c r="C2138" s="16" t="s">
        <v>2536</v>
      </c>
      <c r="D2138" s="13">
        <v>7891025115649</v>
      </c>
    </row>
    <row r="2139" spans="1:4">
      <c r="A2139" s="70" t="s">
        <v>2530</v>
      </c>
      <c r="B2139" s="13" t="s">
        <v>2288</v>
      </c>
      <c r="C2139" s="16" t="s">
        <v>2537</v>
      </c>
      <c r="D2139" s="13">
        <v>7891025122067</v>
      </c>
    </row>
    <row r="2140" spans="1:4">
      <c r="A2140" s="10" t="s">
        <v>2542</v>
      </c>
      <c r="B2140" s="13" t="s">
        <v>2288</v>
      </c>
      <c r="C2140" s="16" t="s">
        <v>2547</v>
      </c>
      <c r="D2140" s="13">
        <v>7896625211265</v>
      </c>
    </row>
    <row r="2141" spans="1:4">
      <c r="A2141" s="10" t="s">
        <v>2542</v>
      </c>
      <c r="B2141" s="13" t="s">
        <v>2288</v>
      </c>
      <c r="C2141" s="16" t="s">
        <v>2548</v>
      </c>
      <c r="D2141" s="13">
        <v>7896625211258</v>
      </c>
    </row>
    <row r="2142" spans="1:4">
      <c r="A2142" s="10" t="s">
        <v>2541</v>
      </c>
      <c r="B2142" s="13" t="s">
        <v>2283</v>
      </c>
      <c r="C2142" s="16" t="s">
        <v>2549</v>
      </c>
      <c r="D2142" s="13">
        <v>7896000593672</v>
      </c>
    </row>
    <row r="2143" spans="1:4">
      <c r="A2143" s="70" t="s">
        <v>2545</v>
      </c>
      <c r="B2143" s="13" t="s">
        <v>2285</v>
      </c>
      <c r="C2143" s="16" t="s">
        <v>2550</v>
      </c>
      <c r="D2143" s="13">
        <v>7897744503422</v>
      </c>
    </row>
    <row r="2144" spans="1:4">
      <c r="A2144" s="70" t="s">
        <v>2545</v>
      </c>
      <c r="B2144" s="13" t="s">
        <v>2285</v>
      </c>
      <c r="C2144" s="16" t="s">
        <v>2551</v>
      </c>
      <c r="D2144" s="13">
        <v>7897744503439</v>
      </c>
    </row>
    <row r="2145" spans="1:4">
      <c r="A2145" s="70" t="s">
        <v>2545</v>
      </c>
      <c r="B2145" s="13" t="s">
        <v>2285</v>
      </c>
      <c r="C2145" s="16" t="s">
        <v>2552</v>
      </c>
      <c r="D2145" s="13">
        <v>7897744503453</v>
      </c>
    </row>
    <row r="2146" spans="1:4">
      <c r="A2146" s="70" t="s">
        <v>2545</v>
      </c>
      <c r="B2146" s="13" t="s">
        <v>2285</v>
      </c>
      <c r="C2146" s="16" t="s">
        <v>2553</v>
      </c>
      <c r="D2146" s="13">
        <v>7897744503446</v>
      </c>
    </row>
    <row r="2147" spans="1:4">
      <c r="A2147" s="70" t="s">
        <v>2545</v>
      </c>
      <c r="B2147" s="13" t="s">
        <v>2285</v>
      </c>
      <c r="C2147" s="16" t="s">
        <v>2554</v>
      </c>
      <c r="D2147" s="13">
        <v>7897744503415</v>
      </c>
    </row>
    <row r="2148" spans="1:4">
      <c r="A2148" s="70" t="s">
        <v>2546</v>
      </c>
      <c r="B2148" s="13" t="s">
        <v>2285</v>
      </c>
      <c r="C2148" s="16" t="s">
        <v>2555</v>
      </c>
      <c r="D2148" s="13">
        <v>7897744503361</v>
      </c>
    </row>
    <row r="2149" spans="1:4">
      <c r="A2149" s="70" t="s">
        <v>2546</v>
      </c>
      <c r="B2149" s="13" t="s">
        <v>2285</v>
      </c>
      <c r="C2149" s="16" t="s">
        <v>2556</v>
      </c>
      <c r="D2149" s="13">
        <v>7897744503408</v>
      </c>
    </row>
    <row r="2150" spans="1:4">
      <c r="A2150" s="70" t="s">
        <v>2546</v>
      </c>
      <c r="B2150" s="13" t="s">
        <v>2285</v>
      </c>
      <c r="C2150" s="16" t="s">
        <v>2557</v>
      </c>
      <c r="D2150" s="13">
        <v>7897744503378</v>
      </c>
    </row>
    <row r="2151" spans="1:4">
      <c r="A2151" s="70" t="s">
        <v>2546</v>
      </c>
      <c r="B2151" s="13" t="s">
        <v>2285</v>
      </c>
      <c r="C2151" s="16" t="s">
        <v>2558</v>
      </c>
      <c r="D2151" s="13">
        <v>7897744503392</v>
      </c>
    </row>
    <row r="2152" spans="1:4">
      <c r="A2152" s="70" t="s">
        <v>2546</v>
      </c>
      <c r="B2152" s="13" t="s">
        <v>2285</v>
      </c>
      <c r="C2152" s="16" t="s">
        <v>2559</v>
      </c>
      <c r="D2152" s="13">
        <v>7897744503644</v>
      </c>
    </row>
    <row r="2153" spans="1:4">
      <c r="A2153" s="70" t="s">
        <v>2546</v>
      </c>
      <c r="B2153" s="13" t="s">
        <v>2285</v>
      </c>
      <c r="C2153" s="16" t="s">
        <v>2560</v>
      </c>
      <c r="D2153" s="13">
        <v>7897744503385</v>
      </c>
    </row>
    <row r="2154" spans="1:4">
      <c r="A2154" s="70" t="s">
        <v>2546</v>
      </c>
      <c r="B2154" s="13" t="s">
        <v>2285</v>
      </c>
      <c r="C2154" s="16" t="s">
        <v>2561</v>
      </c>
      <c r="D2154" s="13">
        <v>7897744503354</v>
      </c>
    </row>
    <row r="2155" spans="1:4">
      <c r="A2155" s="70" t="s">
        <v>2543</v>
      </c>
      <c r="B2155" s="13" t="s">
        <v>2286</v>
      </c>
      <c r="C2155" s="16" t="s">
        <v>2562</v>
      </c>
      <c r="D2155" s="13">
        <v>7896098902776</v>
      </c>
    </row>
    <row r="2156" spans="1:4">
      <c r="A2156" s="70" t="s">
        <v>2540</v>
      </c>
      <c r="B2156" s="13" t="s">
        <v>2282</v>
      </c>
      <c r="C2156" s="16" t="s">
        <v>2563</v>
      </c>
      <c r="D2156" s="13">
        <v>7891527039351</v>
      </c>
    </row>
    <row r="2157" spans="1:4">
      <c r="A2157" s="10" t="s">
        <v>2564</v>
      </c>
      <c r="B2157" s="13" t="s">
        <v>2283</v>
      </c>
      <c r="C2157" s="16" t="s">
        <v>2565</v>
      </c>
      <c r="D2157" s="13">
        <v>611269991000</v>
      </c>
    </row>
    <row r="2158" spans="1:4">
      <c r="A2158" s="70" t="s">
        <v>2671</v>
      </c>
      <c r="B2158" s="13" t="s">
        <v>2283</v>
      </c>
      <c r="C2158" s="16" t="s">
        <v>2566</v>
      </c>
      <c r="D2158" s="13">
        <v>78905351</v>
      </c>
    </row>
    <row r="2159" spans="1:4">
      <c r="A2159" s="70" t="s">
        <v>2671</v>
      </c>
      <c r="B2159" s="13" t="s">
        <v>2283</v>
      </c>
      <c r="C2159" s="16" t="s">
        <v>2527</v>
      </c>
      <c r="D2159" s="13">
        <v>7891991100830</v>
      </c>
    </row>
    <row r="2160" spans="1:4">
      <c r="A2160" s="70" t="s">
        <v>3278</v>
      </c>
      <c r="B2160" s="17" t="s">
        <v>2285</v>
      </c>
      <c r="C2160" s="16" t="s">
        <v>1679</v>
      </c>
      <c r="D2160" s="13">
        <v>7500435106665</v>
      </c>
    </row>
    <row r="2161" spans="1:4">
      <c r="A2161" s="70" t="s">
        <v>3278</v>
      </c>
      <c r="B2161" s="17" t="s">
        <v>2285</v>
      </c>
      <c r="C2161" s="16" t="s">
        <v>1680</v>
      </c>
      <c r="D2161" s="13">
        <v>7500435106672</v>
      </c>
    </row>
    <row r="2162" spans="1:4">
      <c r="A2162" s="70" t="s">
        <v>3278</v>
      </c>
      <c r="B2162" s="17" t="s">
        <v>2285</v>
      </c>
      <c r="C2162" s="16" t="s">
        <v>1681</v>
      </c>
      <c r="D2162" s="13">
        <v>7500435132602</v>
      </c>
    </row>
    <row r="2163" spans="1:4">
      <c r="A2163" s="70" t="s">
        <v>3278</v>
      </c>
      <c r="B2163" s="17" t="s">
        <v>2285</v>
      </c>
      <c r="C2163" s="16" t="s">
        <v>1683</v>
      </c>
      <c r="D2163" s="13">
        <v>7500435181297</v>
      </c>
    </row>
    <row r="2164" spans="1:4">
      <c r="A2164" s="70" t="s">
        <v>3278</v>
      </c>
      <c r="B2164" s="17" t="s">
        <v>2285</v>
      </c>
      <c r="C2164" s="16" t="s">
        <v>1684</v>
      </c>
      <c r="D2164" s="13">
        <v>7500435132619</v>
      </c>
    </row>
    <row r="2165" spans="1:4">
      <c r="A2165" s="70" t="s">
        <v>3278</v>
      </c>
      <c r="B2165" s="17" t="s">
        <v>2285</v>
      </c>
      <c r="C2165" s="16" t="s">
        <v>3006</v>
      </c>
      <c r="D2165" s="13">
        <v>7500435232944</v>
      </c>
    </row>
    <row r="2166" spans="1:4">
      <c r="A2166" s="70" t="s">
        <v>3278</v>
      </c>
      <c r="B2166" s="17" t="s">
        <v>2285</v>
      </c>
      <c r="C2166" s="16" t="s">
        <v>2567</v>
      </c>
      <c r="D2166" s="13">
        <v>7500435205238</v>
      </c>
    </row>
    <row r="2167" spans="1:4">
      <c r="A2167" s="70" t="s">
        <v>3278</v>
      </c>
      <c r="B2167" s="17" t="s">
        <v>2285</v>
      </c>
      <c r="C2167" s="16" t="s">
        <v>2568</v>
      </c>
      <c r="D2167" s="13">
        <v>7500435205269</v>
      </c>
    </row>
    <row r="2168" spans="1:4">
      <c r="A2168" s="10" t="s">
        <v>2569</v>
      </c>
      <c r="B2168" s="13" t="s">
        <v>2288</v>
      </c>
      <c r="C2168" s="16" t="s">
        <v>2572</v>
      </c>
      <c r="D2168" s="13">
        <v>7891025699880</v>
      </c>
    </row>
    <row r="2169" spans="1:4">
      <c r="A2169" s="70" t="s">
        <v>2571</v>
      </c>
      <c r="B2169" s="17" t="s">
        <v>2284</v>
      </c>
      <c r="C2169" s="16" t="s">
        <v>2573</v>
      </c>
      <c r="D2169" s="13">
        <v>7898906434080</v>
      </c>
    </row>
    <row r="2170" spans="1:4">
      <c r="A2170" s="70" t="s">
        <v>2575</v>
      </c>
      <c r="B2170" s="13" t="s">
        <v>2282</v>
      </c>
      <c r="C2170" s="16" t="s">
        <v>2576</v>
      </c>
      <c r="D2170" s="13">
        <v>7898937200661</v>
      </c>
    </row>
    <row r="2171" spans="1:4">
      <c r="A2171" s="70" t="s">
        <v>2578</v>
      </c>
      <c r="B2171" s="17" t="s">
        <v>2284</v>
      </c>
      <c r="C2171" s="16" t="s">
        <v>2580</v>
      </c>
      <c r="D2171" s="13">
        <v>7804633010015</v>
      </c>
    </row>
    <row r="2172" spans="1:4">
      <c r="A2172" s="70" t="s">
        <v>2579</v>
      </c>
      <c r="B2172" s="17" t="s">
        <v>2280</v>
      </c>
      <c r="C2172" s="16" t="s">
        <v>2581</v>
      </c>
      <c r="D2172" s="13">
        <v>7898152990156</v>
      </c>
    </row>
    <row r="2173" spans="1:4">
      <c r="A2173" s="70" t="s">
        <v>2579</v>
      </c>
      <c r="B2173" s="17" t="s">
        <v>2280</v>
      </c>
      <c r="C2173" s="16" t="s">
        <v>2582</v>
      </c>
      <c r="D2173" s="13">
        <v>7898152990132</v>
      </c>
    </row>
    <row r="2174" spans="1:4">
      <c r="A2174" s="70" t="s">
        <v>2579</v>
      </c>
      <c r="B2174" s="17" t="s">
        <v>2280</v>
      </c>
      <c r="C2174" s="16" t="s">
        <v>2583</v>
      </c>
      <c r="D2174" s="13">
        <v>7898152990170</v>
      </c>
    </row>
    <row r="2175" spans="1:4">
      <c r="A2175" s="70" t="s">
        <v>2579</v>
      </c>
      <c r="B2175" s="17" t="s">
        <v>2280</v>
      </c>
      <c r="C2175" s="16" t="s">
        <v>2584</v>
      </c>
      <c r="D2175" s="13">
        <v>7898152990163</v>
      </c>
    </row>
    <row r="2176" spans="1:4">
      <c r="A2176" s="70" t="s">
        <v>2585</v>
      </c>
      <c r="B2176" s="13" t="s">
        <v>2288</v>
      </c>
      <c r="C2176" s="16" t="s">
        <v>2586</v>
      </c>
      <c r="D2176" s="13">
        <v>7891000363256</v>
      </c>
    </row>
    <row r="2177" spans="1:4">
      <c r="A2177" s="70" t="s">
        <v>2585</v>
      </c>
      <c r="B2177" s="13" t="s">
        <v>2288</v>
      </c>
      <c r="C2177" s="16" t="s">
        <v>2587</v>
      </c>
      <c r="D2177" s="13">
        <v>7891000362037</v>
      </c>
    </row>
    <row r="2178" spans="1:4">
      <c r="A2178" s="70" t="s">
        <v>2588</v>
      </c>
      <c r="B2178" s="17" t="s">
        <v>2281</v>
      </c>
      <c r="C2178" s="16" t="s">
        <v>2589</v>
      </c>
      <c r="D2178" s="13">
        <v>7897173000349</v>
      </c>
    </row>
    <row r="2179" spans="1:4">
      <c r="A2179" s="70" t="s">
        <v>2588</v>
      </c>
      <c r="B2179" s="17" t="s">
        <v>2281</v>
      </c>
      <c r="C2179" s="16" t="s">
        <v>2590</v>
      </c>
      <c r="D2179" s="13">
        <v>7897173000332</v>
      </c>
    </row>
    <row r="2180" spans="1:4">
      <c r="A2180" s="10" t="s">
        <v>2591</v>
      </c>
      <c r="B2180" s="17" t="s">
        <v>2284</v>
      </c>
      <c r="C2180" s="16" t="s">
        <v>2596</v>
      </c>
      <c r="D2180" s="13">
        <v>7896102502145</v>
      </c>
    </row>
    <row r="2181" spans="1:4">
      <c r="A2181" s="70" t="s">
        <v>2593</v>
      </c>
      <c r="B2181" s="17" t="s">
        <v>2285</v>
      </c>
      <c r="C2181" s="16" t="s">
        <v>2337</v>
      </c>
      <c r="D2181" s="13">
        <v>7896007552429</v>
      </c>
    </row>
    <row r="2182" spans="1:4">
      <c r="A2182" s="70" t="s">
        <v>2593</v>
      </c>
      <c r="B2182" s="17" t="s">
        <v>2285</v>
      </c>
      <c r="C2182" s="16" t="s">
        <v>2338</v>
      </c>
      <c r="D2182" s="13">
        <v>7896007552412</v>
      </c>
    </row>
    <row r="2183" spans="1:4">
      <c r="A2183" s="70" t="s">
        <v>2593</v>
      </c>
      <c r="B2183" s="17" t="s">
        <v>2285</v>
      </c>
      <c r="C2183" s="16" t="s">
        <v>2339</v>
      </c>
      <c r="D2183" s="13">
        <v>7896007552405</v>
      </c>
    </row>
    <row r="2184" spans="1:4">
      <c r="A2184" s="70" t="s">
        <v>2593</v>
      </c>
      <c r="B2184" s="17" t="s">
        <v>2285</v>
      </c>
      <c r="C2184" s="16" t="s">
        <v>2597</v>
      </c>
      <c r="D2184" s="13">
        <v>7896007552436</v>
      </c>
    </row>
    <row r="2185" spans="1:4">
      <c r="A2185" s="70" t="s">
        <v>2593</v>
      </c>
      <c r="B2185" s="17" t="s">
        <v>2285</v>
      </c>
      <c r="C2185" s="16" t="s">
        <v>1557</v>
      </c>
      <c r="D2185" s="13">
        <v>7896007550234</v>
      </c>
    </row>
    <row r="2186" spans="1:4">
      <c r="A2186" s="70" t="s">
        <v>3047</v>
      </c>
      <c r="B2186" s="13" t="s">
        <v>2288</v>
      </c>
      <c r="C2186" s="16" t="s">
        <v>3048</v>
      </c>
      <c r="D2186" s="13">
        <v>7891097101717</v>
      </c>
    </row>
    <row r="2187" spans="1:4">
      <c r="A2187" s="70" t="s">
        <v>3047</v>
      </c>
      <c r="B2187" s="13" t="s">
        <v>2288</v>
      </c>
      <c r="C2187" s="16" t="s">
        <v>3049</v>
      </c>
      <c r="D2187" s="13">
        <v>7891097101854</v>
      </c>
    </row>
    <row r="2188" spans="1:4">
      <c r="A2188" s="70" t="s">
        <v>3047</v>
      </c>
      <c r="B2188" s="13" t="s">
        <v>2288</v>
      </c>
      <c r="C2188" s="16" t="s">
        <v>3050</v>
      </c>
      <c r="D2188" s="13">
        <v>7891097101861</v>
      </c>
    </row>
    <row r="2189" spans="1:4">
      <c r="A2189" s="70" t="s">
        <v>2594</v>
      </c>
      <c r="B2189" s="13" t="s">
        <v>2288</v>
      </c>
      <c r="C2189" s="16" t="s">
        <v>2598</v>
      </c>
      <c r="D2189" s="13">
        <v>7891097011580</v>
      </c>
    </row>
    <row r="2190" spans="1:4">
      <c r="A2190" s="37" t="s">
        <v>3351</v>
      </c>
      <c r="B2190" s="13" t="s">
        <v>2281</v>
      </c>
      <c r="C2190" s="16" t="s">
        <v>3355</v>
      </c>
      <c r="D2190" s="13">
        <v>7898215158851</v>
      </c>
    </row>
    <row r="2191" spans="1:4">
      <c r="A2191" s="70" t="s">
        <v>2595</v>
      </c>
      <c r="B2191" s="13" t="s">
        <v>2281</v>
      </c>
      <c r="C2191" s="16" t="s">
        <v>2599</v>
      </c>
      <c r="D2191" s="13">
        <v>7891330017355</v>
      </c>
    </row>
    <row r="2192" spans="1:4">
      <c r="A2192" s="70" t="s">
        <v>2595</v>
      </c>
      <c r="B2192" s="13" t="s">
        <v>2281</v>
      </c>
      <c r="C2192" s="16" t="s">
        <v>2600</v>
      </c>
      <c r="D2192" s="13">
        <v>7891330017317</v>
      </c>
    </row>
    <row r="2193" spans="1:4">
      <c r="A2193" s="70" t="s">
        <v>2595</v>
      </c>
      <c r="B2193" s="13" t="s">
        <v>2281</v>
      </c>
      <c r="C2193" s="16" t="s">
        <v>2601</v>
      </c>
      <c r="D2193" s="13">
        <v>7891330017348</v>
      </c>
    </row>
    <row r="2194" spans="1:4">
      <c r="A2194" s="70" t="s">
        <v>2595</v>
      </c>
      <c r="B2194" s="13" t="s">
        <v>2281</v>
      </c>
      <c r="C2194" s="16" t="s">
        <v>2602</v>
      </c>
      <c r="D2194" s="13">
        <v>7891330017362</v>
      </c>
    </row>
    <row r="2195" spans="1:4">
      <c r="A2195" s="70" t="s">
        <v>2595</v>
      </c>
      <c r="B2195" s="13" t="s">
        <v>2281</v>
      </c>
      <c r="C2195" s="16" t="s">
        <v>2603</v>
      </c>
      <c r="D2195" s="13">
        <v>7891330018864</v>
      </c>
    </row>
    <row r="2196" spans="1:4">
      <c r="A2196" s="70" t="s">
        <v>2595</v>
      </c>
      <c r="B2196" s="13" t="s">
        <v>2281</v>
      </c>
      <c r="C2196" s="16" t="s">
        <v>2604</v>
      </c>
      <c r="D2196" s="13">
        <v>7891330017331</v>
      </c>
    </row>
    <row r="2197" spans="1:4">
      <c r="A2197" s="70" t="s">
        <v>2595</v>
      </c>
      <c r="B2197" s="13" t="s">
        <v>2281</v>
      </c>
      <c r="C2197" s="16" t="s">
        <v>2605</v>
      </c>
      <c r="D2197" s="13">
        <v>7891330017324</v>
      </c>
    </row>
    <row r="2198" spans="1:4">
      <c r="A2198" s="70" t="s">
        <v>2595</v>
      </c>
      <c r="B2198" s="13" t="s">
        <v>2281</v>
      </c>
      <c r="C2198" s="16" t="s">
        <v>2606</v>
      </c>
      <c r="D2198" s="13">
        <v>7891330017959</v>
      </c>
    </row>
    <row r="2199" spans="1:4">
      <c r="A2199" s="70" t="s">
        <v>2592</v>
      </c>
      <c r="B2199" s="17" t="s">
        <v>2281</v>
      </c>
      <c r="C2199" s="16" t="s">
        <v>2607</v>
      </c>
      <c r="D2199" s="13">
        <v>7896035700021</v>
      </c>
    </row>
    <row r="2200" spans="1:4">
      <c r="A2200" s="70" t="s">
        <v>2592</v>
      </c>
      <c r="B2200" s="17" t="s">
        <v>2281</v>
      </c>
      <c r="C2200" s="16" t="s">
        <v>2608</v>
      </c>
      <c r="D2200" s="13">
        <v>7896035700014</v>
      </c>
    </row>
    <row r="2201" spans="1:4">
      <c r="A2201" s="70" t="s">
        <v>2592</v>
      </c>
      <c r="B2201" s="17" t="s">
        <v>2281</v>
      </c>
      <c r="C2201" s="16" t="s">
        <v>2739</v>
      </c>
      <c r="D2201" s="13">
        <v>7896035700038</v>
      </c>
    </row>
    <row r="2202" spans="1:4">
      <c r="A2202" s="70" t="s">
        <v>2592</v>
      </c>
      <c r="B2202" s="17" t="s">
        <v>2281</v>
      </c>
      <c r="C2202" s="16" t="s">
        <v>2738</v>
      </c>
      <c r="D2202" s="13">
        <v>7896035700052</v>
      </c>
    </row>
    <row r="2203" spans="1:4">
      <c r="A2203" s="70" t="s">
        <v>2592</v>
      </c>
      <c r="B2203" s="17" t="s">
        <v>2281</v>
      </c>
      <c r="C2203" s="16" t="s">
        <v>2609</v>
      </c>
      <c r="D2203" s="13">
        <v>7896035700045</v>
      </c>
    </row>
    <row r="2204" spans="1:4">
      <c r="A2204" s="70" t="s">
        <v>2611</v>
      </c>
      <c r="B2204" s="17" t="s">
        <v>2287</v>
      </c>
      <c r="C2204" s="16" t="s">
        <v>2612</v>
      </c>
      <c r="D2204" s="13">
        <v>7702425810969</v>
      </c>
    </row>
    <row r="2205" spans="1:4">
      <c r="A2205" s="70" t="s">
        <v>2610</v>
      </c>
      <c r="B2205" s="13" t="s">
        <v>2286</v>
      </c>
      <c r="C2205" s="16" t="s">
        <v>2613</v>
      </c>
      <c r="D2205" s="13">
        <v>7896056404717</v>
      </c>
    </row>
    <row r="2206" spans="1:4">
      <c r="A2206" s="70" t="s">
        <v>2614</v>
      </c>
      <c r="B2206" s="13" t="s">
        <v>2286</v>
      </c>
      <c r="C2206" s="16" t="s">
        <v>2615</v>
      </c>
      <c r="D2206" s="13">
        <v>7896098905661</v>
      </c>
    </row>
    <row r="2207" spans="1:4">
      <c r="A2207" s="10" t="s">
        <v>2617</v>
      </c>
      <c r="B2207" s="17" t="s">
        <v>2288</v>
      </c>
      <c r="C2207" s="16" t="s">
        <v>950</v>
      </c>
      <c r="D2207" s="13">
        <v>7891999144485</v>
      </c>
    </row>
    <row r="2208" spans="1:4">
      <c r="A2208" s="70" t="s">
        <v>2618</v>
      </c>
      <c r="B2208" s="17" t="s">
        <v>2283</v>
      </c>
      <c r="C2208" s="16" t="s">
        <v>2619</v>
      </c>
      <c r="D2208" s="13">
        <v>7891991015462</v>
      </c>
    </row>
    <row r="2209" spans="1:4">
      <c r="A2209" s="10" t="s">
        <v>2618</v>
      </c>
      <c r="B2209" s="17" t="s">
        <v>2283</v>
      </c>
      <c r="C2209" s="16" t="s">
        <v>217</v>
      </c>
      <c r="D2209" s="13">
        <v>7891991015486</v>
      </c>
    </row>
    <row r="2210" spans="1:4">
      <c r="A2210" s="70" t="s">
        <v>2829</v>
      </c>
      <c r="B2210" s="17" t="s">
        <v>2281</v>
      </c>
      <c r="C2210" s="16" t="s">
        <v>912</v>
      </c>
      <c r="D2210" s="13">
        <v>7891000076231</v>
      </c>
    </row>
    <row r="2211" spans="1:4">
      <c r="A2211" s="70" t="s">
        <v>2829</v>
      </c>
      <c r="B2211" s="17" t="s">
        <v>2281</v>
      </c>
      <c r="C2211" s="16" t="s">
        <v>912</v>
      </c>
      <c r="D2211" s="13">
        <v>7898215157410</v>
      </c>
    </row>
    <row r="2212" spans="1:4">
      <c r="A2212" s="70" t="s">
        <v>2829</v>
      </c>
      <c r="B2212" s="17" t="s">
        <v>2281</v>
      </c>
      <c r="C2212" s="16" t="s">
        <v>911</v>
      </c>
      <c r="D2212" s="13">
        <v>7898215157359</v>
      </c>
    </row>
    <row r="2213" spans="1:4">
      <c r="A2213" s="70" t="s">
        <v>2829</v>
      </c>
      <c r="B2213" s="17" t="s">
        <v>2281</v>
      </c>
      <c r="C2213" s="16" t="s">
        <v>939</v>
      </c>
      <c r="D2213" s="13">
        <v>7898215157458</v>
      </c>
    </row>
    <row r="2214" spans="1:4">
      <c r="A2214" s="70" t="s">
        <v>2829</v>
      </c>
      <c r="B2214" s="17" t="s">
        <v>2281</v>
      </c>
      <c r="C2214" s="16" t="s">
        <v>2745</v>
      </c>
      <c r="D2214" s="13">
        <v>7891000106754</v>
      </c>
    </row>
    <row r="2215" spans="1:4">
      <c r="A2215" s="70" t="s">
        <v>2829</v>
      </c>
      <c r="B2215" s="17" t="s">
        <v>2281</v>
      </c>
      <c r="C2215" s="16" t="s">
        <v>2620</v>
      </c>
      <c r="D2215" s="13">
        <v>7898215157434</v>
      </c>
    </row>
    <row r="2216" spans="1:4">
      <c r="A2216" s="70" t="s">
        <v>2829</v>
      </c>
      <c r="B2216" s="17" t="s">
        <v>2281</v>
      </c>
      <c r="C2216" s="16" t="s">
        <v>2621</v>
      </c>
      <c r="D2216" s="13">
        <v>7891000119495</v>
      </c>
    </row>
    <row r="2217" spans="1:4">
      <c r="A2217" s="70" t="s">
        <v>2664</v>
      </c>
      <c r="B2217" s="17" t="s">
        <v>2287</v>
      </c>
      <c r="C2217" s="16" t="s">
        <v>715</v>
      </c>
      <c r="D2217" s="13">
        <v>7896451844811</v>
      </c>
    </row>
    <row r="2218" spans="1:4">
      <c r="A2218" s="70" t="s">
        <v>2664</v>
      </c>
      <c r="B2218" s="17" t="s">
        <v>2287</v>
      </c>
      <c r="C2218" s="16" t="s">
        <v>2515</v>
      </c>
      <c r="D2218" s="13">
        <v>7896451844828</v>
      </c>
    </row>
    <row r="2219" spans="1:4">
      <c r="A2219" s="70" t="s">
        <v>2661</v>
      </c>
      <c r="B2219" s="13" t="s">
        <v>2281</v>
      </c>
      <c r="C2219" s="16" t="s">
        <v>2622</v>
      </c>
      <c r="D2219" s="13">
        <v>7891000294376</v>
      </c>
    </row>
    <row r="2220" spans="1:4">
      <c r="A2220" s="70" t="s">
        <v>2661</v>
      </c>
      <c r="B2220" s="13" t="s">
        <v>2281</v>
      </c>
      <c r="C2220" s="16" t="s">
        <v>2623</v>
      </c>
      <c r="D2220" s="13">
        <v>7891000243954</v>
      </c>
    </row>
    <row r="2221" spans="1:4">
      <c r="A2221" s="70" t="s">
        <v>2661</v>
      </c>
      <c r="B2221" s="13" t="s">
        <v>2281</v>
      </c>
      <c r="C2221" s="16" t="s">
        <v>2624</v>
      </c>
      <c r="D2221" s="13">
        <v>7891000243787</v>
      </c>
    </row>
    <row r="2222" spans="1:4">
      <c r="A2222" s="70" t="s">
        <v>2661</v>
      </c>
      <c r="B2222" s="13" t="s">
        <v>2281</v>
      </c>
      <c r="C2222" s="16" t="s">
        <v>2625</v>
      </c>
      <c r="D2222" s="13">
        <v>7891000291863</v>
      </c>
    </row>
    <row r="2223" spans="1:4">
      <c r="A2223" s="70" t="s">
        <v>2661</v>
      </c>
      <c r="B2223" s="13" t="s">
        <v>2281</v>
      </c>
      <c r="C2223" s="16" t="s">
        <v>2626</v>
      </c>
      <c r="D2223" s="13">
        <v>7891000621981</v>
      </c>
    </row>
    <row r="2224" spans="1:4">
      <c r="A2224" s="70" t="s">
        <v>2661</v>
      </c>
      <c r="B2224" s="13" t="s">
        <v>2281</v>
      </c>
      <c r="C2224" s="16" t="s">
        <v>2627</v>
      </c>
      <c r="D2224" s="13">
        <v>7891000243725</v>
      </c>
    </row>
    <row r="2225" spans="1:4">
      <c r="A2225" s="70" t="s">
        <v>2661</v>
      </c>
      <c r="B2225" s="13" t="s">
        <v>2281</v>
      </c>
      <c r="C2225" s="16" t="s">
        <v>2628</v>
      </c>
      <c r="D2225" s="13">
        <v>7891000355886</v>
      </c>
    </row>
    <row r="2226" spans="1:4">
      <c r="A2226" s="70" t="s">
        <v>2661</v>
      </c>
      <c r="B2226" s="13" t="s">
        <v>2281</v>
      </c>
      <c r="C2226" s="16" t="s">
        <v>2629</v>
      </c>
      <c r="D2226" s="13">
        <v>7891000147238</v>
      </c>
    </row>
    <row r="2227" spans="1:4">
      <c r="A2227" s="70" t="s">
        <v>2661</v>
      </c>
      <c r="B2227" s="13" t="s">
        <v>2281</v>
      </c>
      <c r="C2227" s="16" t="s">
        <v>2630</v>
      </c>
      <c r="D2227" s="13">
        <v>7891000302750</v>
      </c>
    </row>
    <row r="2228" spans="1:4">
      <c r="A2228" s="70" t="s">
        <v>2661</v>
      </c>
      <c r="B2228" s="13" t="s">
        <v>2281</v>
      </c>
      <c r="C2228" s="16" t="s">
        <v>3055</v>
      </c>
      <c r="D2228" s="13">
        <v>7891000158845</v>
      </c>
    </row>
    <row r="2229" spans="1:4">
      <c r="A2229" s="70" t="s">
        <v>2661</v>
      </c>
      <c r="B2229" s="13" t="s">
        <v>2281</v>
      </c>
      <c r="C2229" s="16" t="s">
        <v>3056</v>
      </c>
      <c r="D2229" s="13">
        <v>7891000513408</v>
      </c>
    </row>
    <row r="2230" spans="1:4">
      <c r="A2230" s="70" t="s">
        <v>2661</v>
      </c>
      <c r="B2230" s="13" t="s">
        <v>2281</v>
      </c>
      <c r="C2230" s="16" t="s">
        <v>3057</v>
      </c>
      <c r="D2230" s="13">
        <v>7891000401583</v>
      </c>
    </row>
    <row r="2231" spans="1:4">
      <c r="A2231" s="70" t="s">
        <v>2661</v>
      </c>
      <c r="B2231" s="13" t="s">
        <v>2281</v>
      </c>
      <c r="C2231" s="16" t="s">
        <v>3058</v>
      </c>
      <c r="D2231" s="13">
        <v>7891000551615</v>
      </c>
    </row>
    <row r="2232" spans="1:4">
      <c r="A2232" s="70" t="s">
        <v>2661</v>
      </c>
      <c r="B2232" s="13" t="s">
        <v>2281</v>
      </c>
      <c r="C2232" s="16" t="s">
        <v>2631</v>
      </c>
      <c r="D2232" s="13">
        <v>7891000388655</v>
      </c>
    </row>
    <row r="2233" spans="1:4">
      <c r="A2233" s="70" t="s">
        <v>2661</v>
      </c>
      <c r="B2233" s="13" t="s">
        <v>2281</v>
      </c>
      <c r="C2233" s="16" t="s">
        <v>2632</v>
      </c>
      <c r="D2233" s="13">
        <v>7891000907573</v>
      </c>
    </row>
    <row r="2234" spans="1:4">
      <c r="A2234" s="70" t="s">
        <v>2829</v>
      </c>
      <c r="B2234" s="17" t="s">
        <v>2281</v>
      </c>
      <c r="C2234" s="16" t="s">
        <v>2074</v>
      </c>
      <c r="D2234" s="13">
        <v>7898215157311</v>
      </c>
    </row>
    <row r="2235" spans="1:4">
      <c r="A2235" s="70" t="s">
        <v>2829</v>
      </c>
      <c r="B2235" s="17" t="s">
        <v>2281</v>
      </c>
      <c r="C2235" s="72" t="s">
        <v>932</v>
      </c>
      <c r="D2235" s="13">
        <v>7891000106761</v>
      </c>
    </row>
    <row r="2236" spans="1:4">
      <c r="A2236" s="70" t="s">
        <v>2829</v>
      </c>
      <c r="B2236" s="17" t="s">
        <v>2281</v>
      </c>
      <c r="C2236" s="72" t="s">
        <v>932</v>
      </c>
      <c r="D2236" s="13">
        <v>7898215157455</v>
      </c>
    </row>
    <row r="2237" spans="1:4">
      <c r="A2237" s="70" t="s">
        <v>2829</v>
      </c>
      <c r="B2237" s="17" t="s">
        <v>2281</v>
      </c>
      <c r="C2237" s="72" t="s">
        <v>2633</v>
      </c>
      <c r="D2237" s="13">
        <v>17891000076248</v>
      </c>
    </row>
    <row r="2238" spans="1:4">
      <c r="A2238" s="70" t="s">
        <v>2829</v>
      </c>
      <c r="B2238" s="17" t="s">
        <v>2281</v>
      </c>
      <c r="C2238" s="72" t="s">
        <v>2633</v>
      </c>
      <c r="D2238" s="13">
        <v>7898215157417</v>
      </c>
    </row>
    <row r="2239" spans="1:4">
      <c r="A2239" s="70" t="s">
        <v>1602</v>
      </c>
      <c r="B2239" s="17" t="s">
        <v>2283</v>
      </c>
      <c r="C2239" s="72" t="s">
        <v>165</v>
      </c>
      <c r="D2239" s="75">
        <v>7896045506323</v>
      </c>
    </row>
    <row r="2240" spans="1:4">
      <c r="A2240" s="70" t="s">
        <v>2638</v>
      </c>
      <c r="B2240" s="13" t="s">
        <v>2281</v>
      </c>
      <c r="C2240" s="16" t="s">
        <v>340</v>
      </c>
      <c r="D2240" s="13">
        <v>7898215157403</v>
      </c>
    </row>
    <row r="2241" spans="1:4">
      <c r="A2241" s="70" t="s">
        <v>2638</v>
      </c>
      <c r="B2241" s="13" t="s">
        <v>2281</v>
      </c>
      <c r="C2241" s="16" t="s">
        <v>1108</v>
      </c>
      <c r="D2241" s="13">
        <v>7891000066577</v>
      </c>
    </row>
    <row r="2242" spans="1:4">
      <c r="A2242" s="70" t="s">
        <v>2635</v>
      </c>
      <c r="B2242" s="13" t="s">
        <v>2281</v>
      </c>
      <c r="C2242" s="16" t="s">
        <v>2639</v>
      </c>
      <c r="D2242" s="13">
        <v>7891330017096</v>
      </c>
    </row>
    <row r="2243" spans="1:4">
      <c r="A2243" s="70" t="s">
        <v>2636</v>
      </c>
      <c r="B2243" s="13" t="s">
        <v>2640</v>
      </c>
      <c r="C2243" s="16" t="s">
        <v>2641</v>
      </c>
      <c r="D2243" s="13">
        <v>7896102000368</v>
      </c>
    </row>
    <row r="2244" spans="1:4">
      <c r="A2244" s="70" t="s">
        <v>2636</v>
      </c>
      <c r="B2244" s="13" t="s">
        <v>2640</v>
      </c>
      <c r="C2244" s="16" t="s">
        <v>2642</v>
      </c>
      <c r="D2244" s="13">
        <v>7896102593068</v>
      </c>
    </row>
    <row r="2245" spans="1:4">
      <c r="A2245" s="70" t="s">
        <v>2636</v>
      </c>
      <c r="B2245" s="13" t="s">
        <v>2640</v>
      </c>
      <c r="C2245" s="16" t="s">
        <v>2643</v>
      </c>
      <c r="D2245" s="13">
        <v>7896102501544</v>
      </c>
    </row>
    <row r="2246" spans="1:4">
      <c r="A2246" s="70" t="s">
        <v>2636</v>
      </c>
      <c r="B2246" s="13" t="s">
        <v>2640</v>
      </c>
      <c r="C2246" s="16" t="s">
        <v>2643</v>
      </c>
      <c r="D2246" s="13">
        <v>7896102503708</v>
      </c>
    </row>
    <row r="2247" spans="1:4">
      <c r="A2247" s="70" t="s">
        <v>2644</v>
      </c>
      <c r="B2247" s="13" t="s">
        <v>2283</v>
      </c>
      <c r="C2247" s="16" t="s">
        <v>2647</v>
      </c>
      <c r="D2247" s="13">
        <v>7898963997344</v>
      </c>
    </row>
    <row r="2248" spans="1:4">
      <c r="A2248" s="10" t="s">
        <v>2695</v>
      </c>
      <c r="B2248" s="17" t="s">
        <v>2281</v>
      </c>
      <c r="C2248" s="16" t="s">
        <v>2312</v>
      </c>
      <c r="D2248" s="13">
        <v>7896004007625</v>
      </c>
    </row>
    <row r="2249" spans="1:4">
      <c r="A2249" s="70" t="s">
        <v>2645</v>
      </c>
      <c r="B2249" s="13" t="s">
        <v>2287</v>
      </c>
      <c r="C2249" s="16" t="s">
        <v>2648</v>
      </c>
      <c r="D2249" s="13">
        <v>7898363313232</v>
      </c>
    </row>
    <row r="2250" spans="1:4">
      <c r="A2250" s="70" t="s">
        <v>2645</v>
      </c>
      <c r="B2250" s="13" t="s">
        <v>2287</v>
      </c>
      <c r="C2250" s="16" t="s">
        <v>2649</v>
      </c>
      <c r="D2250" s="13">
        <v>7898363314208</v>
      </c>
    </row>
    <row r="2251" spans="1:4">
      <c r="A2251" s="70" t="s">
        <v>2645</v>
      </c>
      <c r="B2251" s="13" t="s">
        <v>2287</v>
      </c>
      <c r="C2251" s="16" t="s">
        <v>2650</v>
      </c>
      <c r="D2251" s="13">
        <v>7898363313287</v>
      </c>
    </row>
    <row r="2252" spans="1:4">
      <c r="A2252" s="70" t="s">
        <v>2654</v>
      </c>
      <c r="B2252" s="13" t="s">
        <v>2284</v>
      </c>
      <c r="C2252" s="16" t="s">
        <v>2656</v>
      </c>
      <c r="D2252" s="13">
        <v>7891095911486</v>
      </c>
    </row>
    <row r="2253" spans="1:4">
      <c r="A2253" s="70" t="s">
        <v>2654</v>
      </c>
      <c r="B2253" s="17" t="s">
        <v>2284</v>
      </c>
      <c r="C2253" s="16" t="s">
        <v>2656</v>
      </c>
      <c r="D2253" s="13">
        <v>7891095031665</v>
      </c>
    </row>
    <row r="2254" spans="1:4">
      <c r="A2254" s="70" t="s">
        <v>2653</v>
      </c>
      <c r="B2254" s="13" t="s">
        <v>2281</v>
      </c>
      <c r="C2254" s="16" t="s">
        <v>2657</v>
      </c>
      <c r="D2254" s="13">
        <v>7898215151807</v>
      </c>
    </row>
    <row r="2255" spans="1:4">
      <c r="A2255" s="70" t="s">
        <v>2655</v>
      </c>
      <c r="B2255" s="13" t="s">
        <v>2286</v>
      </c>
      <c r="C2255" s="16" t="s">
        <v>2658</v>
      </c>
      <c r="D2255" s="13">
        <v>7896098909751</v>
      </c>
    </row>
    <row r="2256" spans="1:4">
      <c r="A2256" s="70" t="s">
        <v>2655</v>
      </c>
      <c r="B2256" s="13" t="s">
        <v>2286</v>
      </c>
      <c r="C2256" s="16" t="s">
        <v>2659</v>
      </c>
      <c r="D2256" s="13">
        <v>7896098909744</v>
      </c>
    </row>
    <row r="2257" spans="1:4">
      <c r="A2257" s="70" t="s">
        <v>2663</v>
      </c>
      <c r="B2257" s="13" t="s">
        <v>2640</v>
      </c>
      <c r="C2257" s="16" t="s">
        <v>2666</v>
      </c>
      <c r="D2257" s="13">
        <v>7896102583182</v>
      </c>
    </row>
    <row r="2258" spans="1:4">
      <c r="A2258" s="70" t="s">
        <v>2663</v>
      </c>
      <c r="B2258" s="13" t="s">
        <v>2640</v>
      </c>
      <c r="C2258" s="16" t="s">
        <v>2667</v>
      </c>
      <c r="D2258" s="13">
        <v>7896102582949</v>
      </c>
    </row>
    <row r="2259" spans="1:4">
      <c r="A2259" s="70" t="s">
        <v>2665</v>
      </c>
      <c r="B2259" s="13" t="s">
        <v>2282</v>
      </c>
      <c r="C2259" s="16" t="s">
        <v>2668</v>
      </c>
      <c r="D2259" s="13">
        <v>7891515880507</v>
      </c>
    </row>
    <row r="2260" spans="1:4">
      <c r="A2260" s="10" t="s">
        <v>2669</v>
      </c>
      <c r="B2260" s="13" t="s">
        <v>2286</v>
      </c>
      <c r="C2260" s="16" t="s">
        <v>2670</v>
      </c>
      <c r="D2260" s="13">
        <v>7500435177566</v>
      </c>
    </row>
    <row r="2261" spans="1:4">
      <c r="A2261" s="70" t="s">
        <v>2672</v>
      </c>
      <c r="B2261" s="13" t="s">
        <v>2286</v>
      </c>
      <c r="C2261" s="16" t="s">
        <v>2673</v>
      </c>
      <c r="D2261" s="13">
        <v>7891150086845</v>
      </c>
    </row>
    <row r="2262" spans="1:4">
      <c r="A2262" s="70" t="s">
        <v>2679</v>
      </c>
      <c r="B2262" s="13" t="s">
        <v>2640</v>
      </c>
      <c r="C2262" s="16" t="s">
        <v>2680</v>
      </c>
      <c r="D2262" s="13">
        <v>7896102503708</v>
      </c>
    </row>
    <row r="2263" spans="1:4">
      <c r="A2263" s="70" t="s">
        <v>2681</v>
      </c>
      <c r="B2263" s="13" t="s">
        <v>2287</v>
      </c>
      <c r="C2263" s="16" t="s">
        <v>2682</v>
      </c>
      <c r="D2263" s="13">
        <v>7891023547282</v>
      </c>
    </row>
    <row r="2264" spans="1:4">
      <c r="A2264" s="70" t="s">
        <v>2681</v>
      </c>
      <c r="B2264" s="13" t="s">
        <v>2287</v>
      </c>
      <c r="C2264" s="16" t="s">
        <v>2683</v>
      </c>
      <c r="D2264" s="13">
        <v>7891023547299</v>
      </c>
    </row>
    <row r="2265" spans="1:4">
      <c r="A2265" s="70" t="s">
        <v>2681</v>
      </c>
      <c r="B2265" s="13" t="s">
        <v>2287</v>
      </c>
      <c r="C2265" s="16" t="s">
        <v>2684</v>
      </c>
      <c r="D2265" s="13">
        <v>7891023027005</v>
      </c>
    </row>
    <row r="2266" spans="1:4">
      <c r="A2266" s="10" t="s">
        <v>2686</v>
      </c>
      <c r="B2266" s="13" t="s">
        <v>2640</v>
      </c>
      <c r="C2266" s="15" t="s">
        <v>2688</v>
      </c>
      <c r="D2266" s="13">
        <v>7896102501896</v>
      </c>
    </row>
    <row r="2267" spans="1:4">
      <c r="A2267" s="70" t="s">
        <v>2694</v>
      </c>
      <c r="B2267" s="13" t="s">
        <v>2281</v>
      </c>
      <c r="C2267" s="16" t="s">
        <v>1970</v>
      </c>
      <c r="D2267" s="13">
        <v>7896003738605</v>
      </c>
    </row>
    <row r="2268" spans="1:4">
      <c r="A2268" s="70" t="s">
        <v>2694</v>
      </c>
      <c r="B2268" s="13" t="s">
        <v>2281</v>
      </c>
      <c r="C2268" s="16" t="s">
        <v>1969</v>
      </c>
      <c r="D2268" s="13">
        <v>7896003738636</v>
      </c>
    </row>
    <row r="2269" spans="1:4">
      <c r="A2269" s="70" t="s">
        <v>2694</v>
      </c>
      <c r="B2269" s="13" t="s">
        <v>2281</v>
      </c>
      <c r="C2269" s="16" t="s">
        <v>2029</v>
      </c>
      <c r="D2269" s="13">
        <v>7896003738612</v>
      </c>
    </row>
    <row r="2270" spans="1:4">
      <c r="A2270" s="70" t="s">
        <v>2692</v>
      </c>
      <c r="B2270" s="17" t="s">
        <v>2281</v>
      </c>
      <c r="C2270" s="16" t="s">
        <v>2696</v>
      </c>
      <c r="D2270" s="13">
        <v>7891330019373</v>
      </c>
    </row>
    <row r="2271" spans="1:4">
      <c r="A2271" s="70" t="s">
        <v>2692</v>
      </c>
      <c r="B2271" s="17" t="s">
        <v>2281</v>
      </c>
      <c r="C2271" s="16" t="s">
        <v>2697</v>
      </c>
      <c r="D2271" s="13">
        <v>7891330019359</v>
      </c>
    </row>
    <row r="2272" spans="1:4">
      <c r="A2272" s="70" t="s">
        <v>2692</v>
      </c>
      <c r="B2272" s="17" t="s">
        <v>2281</v>
      </c>
      <c r="C2272" s="16" t="s">
        <v>2698</v>
      </c>
      <c r="D2272" s="13">
        <v>7891330019335</v>
      </c>
    </row>
    <row r="2273" spans="1:4">
      <c r="A2273" s="70" t="s">
        <v>2692</v>
      </c>
      <c r="B2273" s="17" t="s">
        <v>2281</v>
      </c>
      <c r="C2273" s="16" t="s">
        <v>2699</v>
      </c>
      <c r="D2273" s="13">
        <v>7891330018895</v>
      </c>
    </row>
    <row r="2274" spans="1:4">
      <c r="A2274" s="70" t="s">
        <v>2692</v>
      </c>
      <c r="B2274" s="17" t="s">
        <v>2281</v>
      </c>
      <c r="C2274" s="16" t="s">
        <v>2700</v>
      </c>
      <c r="D2274" s="13">
        <v>7891330019366</v>
      </c>
    </row>
    <row r="2275" spans="1:4">
      <c r="A2275" s="70" t="s">
        <v>2692</v>
      </c>
      <c r="B2275" s="17" t="s">
        <v>2281</v>
      </c>
      <c r="C2275" s="16" t="s">
        <v>2701</v>
      </c>
      <c r="D2275" s="13">
        <v>7891330019342</v>
      </c>
    </row>
    <row r="2276" spans="1:4">
      <c r="A2276" s="70" t="s">
        <v>2692</v>
      </c>
      <c r="B2276" s="17" t="s">
        <v>2281</v>
      </c>
      <c r="C2276" s="16" t="s">
        <v>2702</v>
      </c>
      <c r="D2276" s="13">
        <v>7891330019328</v>
      </c>
    </row>
    <row r="2277" spans="1:4">
      <c r="A2277" s="70" t="s">
        <v>2692</v>
      </c>
      <c r="B2277" s="17" t="s">
        <v>2281</v>
      </c>
      <c r="C2277" s="16" t="s">
        <v>2703</v>
      </c>
      <c r="D2277" s="13">
        <v>7891330019380</v>
      </c>
    </row>
    <row r="2278" spans="1:4">
      <c r="A2278" s="70" t="s">
        <v>2692</v>
      </c>
      <c r="B2278" s="17" t="s">
        <v>2281</v>
      </c>
      <c r="C2278" s="16" t="s">
        <v>2708</v>
      </c>
      <c r="D2278" s="13">
        <v>7891330017355</v>
      </c>
    </row>
    <row r="2279" spans="1:4">
      <c r="A2279" s="70" t="s">
        <v>2692</v>
      </c>
      <c r="B2279" s="17" t="s">
        <v>2281</v>
      </c>
      <c r="C2279" s="16" t="s">
        <v>2709</v>
      </c>
      <c r="D2279" s="13">
        <v>7891330017331</v>
      </c>
    </row>
    <row r="2280" spans="1:4">
      <c r="A2280" s="70" t="s">
        <v>2692</v>
      </c>
      <c r="B2280" s="17" t="s">
        <v>2281</v>
      </c>
      <c r="C2280" s="16" t="s">
        <v>2710</v>
      </c>
      <c r="D2280" s="13">
        <v>7891330017324</v>
      </c>
    </row>
    <row r="2281" spans="1:4">
      <c r="A2281" s="70" t="s">
        <v>2692</v>
      </c>
      <c r="B2281" s="17" t="s">
        <v>2281</v>
      </c>
      <c r="C2281" s="16" t="s">
        <v>2711</v>
      </c>
      <c r="D2281" s="13">
        <v>7891330018864</v>
      </c>
    </row>
    <row r="2282" spans="1:4">
      <c r="A2282" s="70" t="s">
        <v>2692</v>
      </c>
      <c r="B2282" s="17" t="s">
        <v>2281</v>
      </c>
      <c r="C2282" s="16" t="s">
        <v>2712</v>
      </c>
      <c r="D2282" s="13">
        <v>7891330017959</v>
      </c>
    </row>
    <row r="2283" spans="1:4">
      <c r="A2283" s="70" t="s">
        <v>2692</v>
      </c>
      <c r="B2283" s="17" t="s">
        <v>2281</v>
      </c>
      <c r="C2283" s="16" t="s">
        <v>2600</v>
      </c>
      <c r="D2283" s="13">
        <v>7891330017317</v>
      </c>
    </row>
    <row r="2284" spans="1:4">
      <c r="A2284" s="70" t="s">
        <v>2692</v>
      </c>
      <c r="B2284" s="17" t="s">
        <v>2281</v>
      </c>
      <c r="C2284" s="16" t="s">
        <v>2714</v>
      </c>
      <c r="D2284" s="13">
        <v>7891330017348</v>
      </c>
    </row>
    <row r="2285" spans="1:4">
      <c r="A2285" s="70" t="s">
        <v>2692</v>
      </c>
      <c r="B2285" s="17" t="s">
        <v>2281</v>
      </c>
      <c r="C2285" s="16" t="s">
        <v>2602</v>
      </c>
      <c r="D2285" s="13">
        <v>7891330017362</v>
      </c>
    </row>
    <row r="2286" spans="1:4">
      <c r="A2286" s="70" t="s">
        <v>2692</v>
      </c>
      <c r="B2286" s="17" t="s">
        <v>2281</v>
      </c>
      <c r="C2286" s="16" t="s">
        <v>2704</v>
      </c>
      <c r="D2286" s="13">
        <v>7891330019311</v>
      </c>
    </row>
    <row r="2287" spans="1:4">
      <c r="A2287" s="70" t="s">
        <v>2693</v>
      </c>
      <c r="B2287" s="13" t="s">
        <v>2283</v>
      </c>
      <c r="C2287" s="16" t="s">
        <v>2705</v>
      </c>
      <c r="D2287" s="13">
        <v>7891149108718</v>
      </c>
    </row>
    <row r="2288" spans="1:4">
      <c r="A2288" s="70" t="s">
        <v>2693</v>
      </c>
      <c r="B2288" s="13" t="s">
        <v>2283</v>
      </c>
      <c r="C2288" s="73" t="s">
        <v>2715</v>
      </c>
      <c r="D2288" s="75">
        <v>7891149108725</v>
      </c>
    </row>
    <row r="2289" spans="1:4">
      <c r="A2289" s="70" t="s">
        <v>2693</v>
      </c>
      <c r="B2289" s="13" t="s">
        <v>2283</v>
      </c>
      <c r="C2289" s="73" t="s">
        <v>2727</v>
      </c>
      <c r="D2289" s="75">
        <v>7891149108732</v>
      </c>
    </row>
    <row r="2290" spans="1:4">
      <c r="A2290" s="70" t="s">
        <v>3086</v>
      </c>
      <c r="B2290" s="13" t="s">
        <v>2286</v>
      </c>
      <c r="C2290" s="16" t="s">
        <v>2706</v>
      </c>
      <c r="D2290" s="13">
        <v>7896098909904</v>
      </c>
    </row>
    <row r="2291" spans="1:4">
      <c r="A2291" s="70" t="s">
        <v>3086</v>
      </c>
      <c r="B2291" s="13" t="s">
        <v>2286</v>
      </c>
      <c r="C2291" s="16" t="s">
        <v>2707</v>
      </c>
      <c r="D2291" s="13">
        <v>7896098909959</v>
      </c>
    </row>
    <row r="2292" spans="1:4">
      <c r="A2292" s="10" t="s">
        <v>2719</v>
      </c>
      <c r="B2292" s="13" t="s">
        <v>2281</v>
      </c>
      <c r="C2292" s="16" t="s">
        <v>2736</v>
      </c>
      <c r="D2292" s="13">
        <v>7896089013405</v>
      </c>
    </row>
    <row r="2293" spans="1:4">
      <c r="A2293" s="10" t="s">
        <v>2719</v>
      </c>
      <c r="B2293" s="13" t="s">
        <v>2281</v>
      </c>
      <c r="C2293" s="16" t="s">
        <v>2737</v>
      </c>
      <c r="D2293" s="13">
        <v>7896089011357</v>
      </c>
    </row>
    <row r="2294" spans="1:4">
      <c r="A2294" s="10" t="s">
        <v>2716</v>
      </c>
      <c r="B2294" s="17" t="s">
        <v>2288</v>
      </c>
      <c r="C2294" s="16" t="s">
        <v>2722</v>
      </c>
      <c r="D2294" s="13">
        <v>7891999006271</v>
      </c>
    </row>
    <row r="2295" spans="1:4">
      <c r="A2295" s="10" t="s">
        <v>2717</v>
      </c>
      <c r="B2295" s="13" t="s">
        <v>2282</v>
      </c>
      <c r="C2295" s="16" t="s">
        <v>2723</v>
      </c>
      <c r="D2295" s="13">
        <v>7894904009862</v>
      </c>
    </row>
    <row r="2296" spans="1:4">
      <c r="A2296" s="10" t="s">
        <v>2718</v>
      </c>
      <c r="B2296" s="13" t="s">
        <v>2281</v>
      </c>
      <c r="C2296" s="16" t="s">
        <v>1787</v>
      </c>
      <c r="D2296" s="13">
        <v>7891021007078</v>
      </c>
    </row>
    <row r="2297" spans="1:4">
      <c r="A2297" s="10" t="s">
        <v>2718</v>
      </c>
      <c r="B2297" s="13" t="s">
        <v>2281</v>
      </c>
      <c r="C2297" s="16" t="s">
        <v>2725</v>
      </c>
      <c r="D2297" s="13">
        <v>7896348300857</v>
      </c>
    </row>
    <row r="2298" spans="1:4">
      <c r="A2298" s="10" t="s">
        <v>2718</v>
      </c>
      <c r="B2298" s="13" t="s">
        <v>2281</v>
      </c>
      <c r="C2298" s="16" t="s">
        <v>1788</v>
      </c>
      <c r="D2298" s="13">
        <v>7891021007290</v>
      </c>
    </row>
    <row r="2299" spans="1:4">
      <c r="A2299" s="10" t="s">
        <v>2718</v>
      </c>
      <c r="B2299" s="13" t="s">
        <v>2281</v>
      </c>
      <c r="C2299" s="16" t="s">
        <v>2724</v>
      </c>
      <c r="D2299" s="13">
        <v>7896348300840</v>
      </c>
    </row>
    <row r="2300" spans="1:4">
      <c r="A2300" s="10" t="s">
        <v>2721</v>
      </c>
      <c r="B2300" s="13" t="s">
        <v>2283</v>
      </c>
      <c r="C2300" s="16" t="s">
        <v>2726</v>
      </c>
      <c r="D2300" s="13">
        <v>7897123884029</v>
      </c>
    </row>
    <row r="2301" spans="1:4">
      <c r="A2301" s="10" t="s">
        <v>2728</v>
      </c>
      <c r="B2301" s="13" t="s">
        <v>2286</v>
      </c>
      <c r="C2301" s="16" t="s">
        <v>2731</v>
      </c>
      <c r="D2301" s="13">
        <v>7896098909898</v>
      </c>
    </row>
    <row r="2302" spans="1:4">
      <c r="A2302" s="70" t="s">
        <v>2729</v>
      </c>
      <c r="B2302" s="13" t="s">
        <v>2640</v>
      </c>
      <c r="C2302" s="16" t="s">
        <v>2732</v>
      </c>
      <c r="D2302" s="13">
        <v>7896238105364</v>
      </c>
    </row>
    <row r="2303" spans="1:4">
      <c r="A2303" s="70" t="s">
        <v>2730</v>
      </c>
      <c r="B2303" s="13" t="s">
        <v>2640</v>
      </c>
      <c r="C2303" s="16" t="s">
        <v>2733</v>
      </c>
      <c r="D2303" s="13">
        <v>7896102502077</v>
      </c>
    </row>
    <row r="2304" spans="1:4">
      <c r="A2304" s="70" t="s">
        <v>2730</v>
      </c>
      <c r="B2304" s="13" t="s">
        <v>2640</v>
      </c>
      <c r="C2304" s="16" t="s">
        <v>2734</v>
      </c>
      <c r="D2304" s="13">
        <v>7896102502084</v>
      </c>
    </row>
    <row r="2305" spans="1:4">
      <c r="A2305" s="70" t="s">
        <v>2730</v>
      </c>
      <c r="B2305" s="13" t="s">
        <v>2640</v>
      </c>
      <c r="C2305" s="16" t="s">
        <v>2735</v>
      </c>
      <c r="D2305" s="13">
        <v>7896102584189</v>
      </c>
    </row>
    <row r="2306" spans="1:4">
      <c r="A2306" s="70" t="s">
        <v>2743</v>
      </c>
      <c r="B2306" s="17" t="s">
        <v>2281</v>
      </c>
      <c r="C2306" s="16" t="s">
        <v>2744</v>
      </c>
      <c r="D2306" s="13">
        <v>7898215157465</v>
      </c>
    </row>
    <row r="2307" spans="1:4">
      <c r="A2307" s="70" t="s">
        <v>2743</v>
      </c>
      <c r="B2307" s="17" t="s">
        <v>2281</v>
      </c>
      <c r="C2307" s="16" t="s">
        <v>912</v>
      </c>
      <c r="D2307" s="13">
        <v>7891000076231</v>
      </c>
    </row>
    <row r="2308" spans="1:4">
      <c r="A2308" s="70" t="s">
        <v>2743</v>
      </c>
      <c r="B2308" s="17" t="s">
        <v>2281</v>
      </c>
      <c r="C2308" s="16" t="s">
        <v>912</v>
      </c>
      <c r="D2308" s="13">
        <v>7898215157410</v>
      </c>
    </row>
    <row r="2309" spans="1:4">
      <c r="A2309" s="70" t="s">
        <v>2743</v>
      </c>
      <c r="B2309" s="17" t="s">
        <v>2281</v>
      </c>
      <c r="C2309" s="16" t="s">
        <v>911</v>
      </c>
      <c r="D2309" s="13">
        <v>7898215157359</v>
      </c>
    </row>
    <row r="2310" spans="1:4">
      <c r="A2310" s="70" t="s">
        <v>2743</v>
      </c>
      <c r="B2310" s="17" t="s">
        <v>2281</v>
      </c>
      <c r="C2310" s="16" t="s">
        <v>2620</v>
      </c>
      <c r="D2310" s="13">
        <v>7898215157434</v>
      </c>
    </row>
    <row r="2311" spans="1:4">
      <c r="A2311" s="70" t="s">
        <v>2743</v>
      </c>
      <c r="B2311" s="17" t="s">
        <v>2281</v>
      </c>
      <c r="C2311" s="16" t="s">
        <v>2621</v>
      </c>
      <c r="D2311" s="13">
        <v>7891000119495</v>
      </c>
    </row>
    <row r="2312" spans="1:4">
      <c r="A2312" s="70" t="s">
        <v>2743</v>
      </c>
      <c r="B2312" s="17" t="s">
        <v>2281</v>
      </c>
      <c r="C2312" s="16" t="s">
        <v>932</v>
      </c>
      <c r="D2312" s="13">
        <v>7891000106761</v>
      </c>
    </row>
    <row r="2313" spans="1:4">
      <c r="A2313" s="70" t="s">
        <v>2743</v>
      </c>
      <c r="B2313" s="17" t="s">
        <v>2281</v>
      </c>
      <c r="C2313" s="16" t="s">
        <v>2633</v>
      </c>
      <c r="D2313" s="13">
        <v>17898215157417</v>
      </c>
    </row>
    <row r="2314" spans="1:4">
      <c r="A2314" s="10" t="s">
        <v>2019</v>
      </c>
      <c r="B2314" s="13" t="s">
        <v>2281</v>
      </c>
      <c r="C2314" s="16" t="s">
        <v>2020</v>
      </c>
      <c r="D2314" s="13">
        <v>7896004007427</v>
      </c>
    </row>
    <row r="2315" spans="1:4">
      <c r="A2315" s="10" t="s">
        <v>2019</v>
      </c>
      <c r="B2315" s="13" t="s">
        <v>2281</v>
      </c>
      <c r="C2315" s="16" t="s">
        <v>2021</v>
      </c>
      <c r="D2315" s="13">
        <v>7896004007366</v>
      </c>
    </row>
    <row r="2316" spans="1:4">
      <c r="A2316" s="70" t="s">
        <v>2747</v>
      </c>
      <c r="B2316" s="13" t="s">
        <v>2284</v>
      </c>
      <c r="C2316" s="16" t="s">
        <v>2749</v>
      </c>
      <c r="D2316" s="13">
        <v>7896102500608</v>
      </c>
    </row>
    <row r="2317" spans="1:4">
      <c r="A2317" s="10" t="s">
        <v>2802</v>
      </c>
      <c r="B2317" s="13" t="s">
        <v>2283</v>
      </c>
      <c r="C2317" s="16" t="s">
        <v>2751</v>
      </c>
      <c r="D2317" s="13">
        <v>7898945131292</v>
      </c>
    </row>
    <row r="2318" spans="1:4">
      <c r="A2318" s="70" t="s">
        <v>2752</v>
      </c>
      <c r="B2318" s="17" t="s">
        <v>2280</v>
      </c>
      <c r="C2318" s="16" t="s">
        <v>1251</v>
      </c>
      <c r="D2318" s="13">
        <v>7896864400178</v>
      </c>
    </row>
    <row r="2319" spans="1:4">
      <c r="A2319" s="70" t="s">
        <v>2750</v>
      </c>
      <c r="B2319" s="13" t="s">
        <v>2288</v>
      </c>
      <c r="C2319" s="16" t="s">
        <v>2753</v>
      </c>
      <c r="D2319" s="13">
        <v>7898337980064</v>
      </c>
    </row>
    <row r="2320" spans="1:4">
      <c r="A2320" s="70" t="s">
        <v>2750</v>
      </c>
      <c r="B2320" s="13" t="s">
        <v>2288</v>
      </c>
      <c r="C2320" s="16" t="s">
        <v>2754</v>
      </c>
      <c r="D2320" s="13">
        <v>7898337980187</v>
      </c>
    </row>
    <row r="2321" spans="1:4">
      <c r="A2321" s="70" t="s">
        <v>2755</v>
      </c>
      <c r="B2321" s="13" t="s">
        <v>2287</v>
      </c>
      <c r="C2321" s="16" t="s">
        <v>2756</v>
      </c>
      <c r="D2321" s="13">
        <v>7891261671190</v>
      </c>
    </row>
    <row r="2322" spans="1:4">
      <c r="A2322" s="70" t="s">
        <v>2757</v>
      </c>
      <c r="B2322" s="13" t="s">
        <v>2287</v>
      </c>
      <c r="C2322" s="16" t="s">
        <v>2758</v>
      </c>
      <c r="D2322" s="13">
        <v>7909937389925</v>
      </c>
    </row>
    <row r="2323" spans="1:4">
      <c r="A2323" s="10" t="s">
        <v>2759</v>
      </c>
      <c r="B2323" s="13" t="s">
        <v>2640</v>
      </c>
      <c r="C2323" s="16" t="s">
        <v>2767</v>
      </c>
      <c r="D2323" s="13">
        <v>7898951850064</v>
      </c>
    </row>
    <row r="2324" spans="1:4">
      <c r="A2324" s="10" t="s">
        <v>2759</v>
      </c>
      <c r="B2324" s="13" t="s">
        <v>2640</v>
      </c>
      <c r="C2324" s="16" t="s">
        <v>2768</v>
      </c>
      <c r="D2324" s="13">
        <v>7898951850118</v>
      </c>
    </row>
    <row r="2325" spans="1:4">
      <c r="A2325" s="10" t="s">
        <v>2762</v>
      </c>
      <c r="B2325" s="13" t="s">
        <v>2640</v>
      </c>
      <c r="C2325" s="16" t="s">
        <v>2769</v>
      </c>
      <c r="D2325" s="13">
        <v>7898951850217</v>
      </c>
    </row>
    <row r="2326" spans="1:4">
      <c r="A2326" s="10" t="s">
        <v>2763</v>
      </c>
      <c r="B2326" s="13" t="s">
        <v>2640</v>
      </c>
      <c r="C2326" s="16" t="s">
        <v>2770</v>
      </c>
      <c r="D2326" s="13">
        <v>8076800195057</v>
      </c>
    </row>
    <row r="2327" spans="1:4">
      <c r="A2327" s="10" t="s">
        <v>2764</v>
      </c>
      <c r="B2327" s="13" t="s">
        <v>2640</v>
      </c>
      <c r="C2327" s="16" t="s">
        <v>2771</v>
      </c>
      <c r="D2327" s="13">
        <v>8076802085738</v>
      </c>
    </row>
    <row r="2328" spans="1:4">
      <c r="A2328" s="10" t="s">
        <v>2765</v>
      </c>
      <c r="B2328" s="13" t="s">
        <v>2640</v>
      </c>
      <c r="C2328" s="16" t="s">
        <v>2772</v>
      </c>
      <c r="D2328" s="13">
        <v>8076809513739</v>
      </c>
    </row>
    <row r="2329" spans="1:4">
      <c r="A2329" s="70" t="s">
        <v>2760</v>
      </c>
      <c r="B2329" s="13" t="s">
        <v>2640</v>
      </c>
      <c r="C2329" s="16" t="s">
        <v>2641</v>
      </c>
      <c r="D2329" s="13">
        <v>7896102000368</v>
      </c>
    </row>
    <row r="2330" spans="1:4">
      <c r="A2330" s="70" t="s">
        <v>2760</v>
      </c>
      <c r="B2330" s="13" t="s">
        <v>2640</v>
      </c>
      <c r="C2330" s="16" t="s">
        <v>2642</v>
      </c>
      <c r="D2330" s="13">
        <v>7896102593068</v>
      </c>
    </row>
    <row r="2331" spans="1:4">
      <c r="A2331" s="70" t="s">
        <v>2760</v>
      </c>
      <c r="B2331" s="13" t="s">
        <v>2640</v>
      </c>
      <c r="C2331" s="16" t="s">
        <v>2643</v>
      </c>
      <c r="D2331" s="13">
        <v>7896102501544</v>
      </c>
    </row>
    <row r="2332" spans="1:4">
      <c r="A2332" s="70" t="s">
        <v>2760</v>
      </c>
      <c r="B2332" s="13" t="s">
        <v>2640</v>
      </c>
      <c r="C2332" s="16" t="s">
        <v>2680</v>
      </c>
      <c r="D2332" s="13">
        <v>7896102503708</v>
      </c>
    </row>
    <row r="2333" spans="1:4">
      <c r="A2333" s="10" t="s">
        <v>2759</v>
      </c>
      <c r="B2333" s="13" t="s">
        <v>2640</v>
      </c>
      <c r="C2333" s="16" t="s">
        <v>2774</v>
      </c>
      <c r="D2333" s="13">
        <v>7898951850255</v>
      </c>
    </row>
    <row r="2334" spans="1:4">
      <c r="A2334" s="10" t="s">
        <v>2759</v>
      </c>
      <c r="B2334" s="13" t="s">
        <v>2640</v>
      </c>
      <c r="C2334" s="16" t="s">
        <v>2775</v>
      </c>
      <c r="D2334" s="13">
        <v>7898951850132</v>
      </c>
    </row>
    <row r="2335" spans="1:4">
      <c r="A2335" s="10" t="s">
        <v>2759</v>
      </c>
      <c r="B2335" s="13" t="s">
        <v>2640</v>
      </c>
      <c r="C2335" s="16" t="s">
        <v>2776</v>
      </c>
      <c r="D2335" s="13">
        <v>7898951850088</v>
      </c>
    </row>
    <row r="2336" spans="1:4">
      <c r="A2336" s="10" t="s">
        <v>2759</v>
      </c>
      <c r="B2336" s="13" t="s">
        <v>2640</v>
      </c>
      <c r="C2336" s="16" t="s">
        <v>2777</v>
      </c>
      <c r="D2336" s="13">
        <v>7898951850101</v>
      </c>
    </row>
    <row r="2337" spans="1:4">
      <c r="A2337" s="10" t="s">
        <v>2759</v>
      </c>
      <c r="B2337" s="13" t="s">
        <v>2640</v>
      </c>
      <c r="C2337" s="16" t="s">
        <v>2778</v>
      </c>
      <c r="D2337" s="13">
        <v>7898951850071</v>
      </c>
    </row>
    <row r="2338" spans="1:4">
      <c r="A2338" s="10" t="s">
        <v>2759</v>
      </c>
      <c r="B2338" s="13" t="s">
        <v>2640</v>
      </c>
      <c r="C2338" s="16" t="s">
        <v>2779</v>
      </c>
      <c r="D2338" s="13">
        <v>7898951850095</v>
      </c>
    </row>
    <row r="2339" spans="1:4">
      <c r="A2339" s="10" t="s">
        <v>2763</v>
      </c>
      <c r="B2339" s="13" t="s">
        <v>2640</v>
      </c>
      <c r="C2339" s="16" t="s">
        <v>2780</v>
      </c>
      <c r="D2339" s="13">
        <v>8076800195033</v>
      </c>
    </row>
    <row r="2340" spans="1:4">
      <c r="A2340" s="10" t="s">
        <v>2763</v>
      </c>
      <c r="B2340" s="13" t="s">
        <v>2640</v>
      </c>
      <c r="C2340" s="16" t="s">
        <v>2781</v>
      </c>
      <c r="D2340" s="13">
        <v>8076808150072</v>
      </c>
    </row>
    <row r="2341" spans="1:4">
      <c r="A2341" s="10" t="s">
        <v>2763</v>
      </c>
      <c r="B2341" s="13" t="s">
        <v>2640</v>
      </c>
      <c r="C2341" s="16" t="s">
        <v>2782</v>
      </c>
      <c r="D2341" s="13">
        <v>8076800195132</v>
      </c>
    </row>
    <row r="2342" spans="1:4">
      <c r="A2342" s="70" t="s">
        <v>2785</v>
      </c>
      <c r="B2342" s="17" t="s">
        <v>2283</v>
      </c>
      <c r="C2342" s="16" t="s">
        <v>2789</v>
      </c>
      <c r="D2342" s="13">
        <v>7897395000943</v>
      </c>
    </row>
    <row r="2343" spans="1:4">
      <c r="A2343" s="70" t="s">
        <v>2787</v>
      </c>
      <c r="B2343" s="13" t="s">
        <v>2281</v>
      </c>
      <c r="C2343" s="16" t="s">
        <v>2790</v>
      </c>
      <c r="D2343" s="13">
        <v>7896045104147</v>
      </c>
    </row>
    <row r="2344" spans="1:4">
      <c r="A2344" s="70" t="s">
        <v>2788</v>
      </c>
      <c r="B2344" s="13" t="s">
        <v>2282</v>
      </c>
      <c r="C2344" s="16" t="s">
        <v>2791</v>
      </c>
      <c r="D2344" s="13">
        <v>7891515606824</v>
      </c>
    </row>
    <row r="2345" spans="1:4">
      <c r="A2345" s="70" t="s">
        <v>2784</v>
      </c>
      <c r="B2345" s="13" t="s">
        <v>2283</v>
      </c>
      <c r="C2345" s="16" t="s">
        <v>2792</v>
      </c>
      <c r="D2345" s="13">
        <v>7896000594020</v>
      </c>
    </row>
    <row r="2346" spans="1:4">
      <c r="A2346" s="70" t="s">
        <v>2786</v>
      </c>
      <c r="B2346" s="17" t="s">
        <v>2287</v>
      </c>
      <c r="C2346" s="16" t="s">
        <v>2793</v>
      </c>
      <c r="D2346" s="13">
        <v>7896001010000</v>
      </c>
    </row>
    <row r="2347" spans="1:4">
      <c r="A2347" s="70" t="s">
        <v>2783</v>
      </c>
      <c r="B2347" s="13" t="s">
        <v>2640</v>
      </c>
      <c r="C2347" s="16" t="s">
        <v>2734</v>
      </c>
      <c r="D2347" s="13">
        <v>7896102502084</v>
      </c>
    </row>
    <row r="2348" spans="1:4">
      <c r="A2348" s="70" t="s">
        <v>2783</v>
      </c>
      <c r="B2348" s="13" t="s">
        <v>2640</v>
      </c>
      <c r="C2348" s="16" t="s">
        <v>2735</v>
      </c>
      <c r="D2348" s="13">
        <v>7896102584189</v>
      </c>
    </row>
    <row r="2349" spans="1:4">
      <c r="A2349" s="70" t="s">
        <v>2664</v>
      </c>
      <c r="B2349" s="17" t="s">
        <v>2287</v>
      </c>
      <c r="C2349" s="16" t="s">
        <v>715</v>
      </c>
      <c r="D2349" s="13">
        <v>7896451844842</v>
      </c>
    </row>
    <row r="2350" spans="1:4">
      <c r="A2350" s="70" t="s">
        <v>2664</v>
      </c>
      <c r="B2350" s="17" t="s">
        <v>2287</v>
      </c>
      <c r="C2350" s="16" t="s">
        <v>2515</v>
      </c>
      <c r="D2350" s="13">
        <v>7896451844859</v>
      </c>
    </row>
    <row r="2351" spans="1:4">
      <c r="A2351" s="70" t="s">
        <v>2785</v>
      </c>
      <c r="B2351" s="17" t="s">
        <v>2283</v>
      </c>
      <c r="C2351" s="72" t="s">
        <v>2794</v>
      </c>
      <c r="D2351" s="75">
        <v>7897395000950</v>
      </c>
    </row>
    <row r="2352" spans="1:4">
      <c r="A2352" s="70" t="s">
        <v>2795</v>
      </c>
      <c r="B2352" s="13" t="s">
        <v>2281</v>
      </c>
      <c r="C2352" s="16" t="s">
        <v>2806</v>
      </c>
      <c r="D2352" s="13">
        <v>7896004009001</v>
      </c>
    </row>
    <row r="2353" spans="1:4">
      <c r="A2353" s="70" t="s">
        <v>2795</v>
      </c>
      <c r="B2353" s="13" t="s">
        <v>2281</v>
      </c>
      <c r="C2353" s="16" t="s">
        <v>2807</v>
      </c>
      <c r="D2353" s="13">
        <v>7896004009049</v>
      </c>
    </row>
    <row r="2354" spans="1:4">
      <c r="A2354" s="70" t="s">
        <v>2795</v>
      </c>
      <c r="B2354" s="13" t="s">
        <v>2281</v>
      </c>
      <c r="C2354" s="16" t="s">
        <v>2803</v>
      </c>
      <c r="D2354" s="13">
        <v>7896004009025</v>
      </c>
    </row>
    <row r="2355" spans="1:4">
      <c r="A2355" s="70" t="s">
        <v>2796</v>
      </c>
      <c r="B2355" s="13" t="s">
        <v>2281</v>
      </c>
      <c r="C2355" s="16" t="s">
        <v>2804</v>
      </c>
      <c r="D2355" s="13">
        <v>7896004009063</v>
      </c>
    </row>
    <row r="2356" spans="1:4">
      <c r="A2356" s="70" t="s">
        <v>2796</v>
      </c>
      <c r="B2356" s="13" t="s">
        <v>2281</v>
      </c>
      <c r="C2356" s="16" t="s">
        <v>2805</v>
      </c>
      <c r="D2356" s="13">
        <v>7896004009056</v>
      </c>
    </row>
    <row r="2357" spans="1:4">
      <c r="A2357" s="70" t="s">
        <v>2797</v>
      </c>
      <c r="B2357" s="13" t="s">
        <v>2282</v>
      </c>
      <c r="C2357" s="16" t="s">
        <v>2808</v>
      </c>
      <c r="D2357" s="13">
        <v>7894904285716</v>
      </c>
    </row>
    <row r="2358" spans="1:4">
      <c r="A2358" s="70" t="s">
        <v>2797</v>
      </c>
      <c r="B2358" s="13" t="s">
        <v>2282</v>
      </c>
      <c r="C2358" s="16" t="s">
        <v>2809</v>
      </c>
      <c r="D2358" s="13">
        <v>7894904285709</v>
      </c>
    </row>
    <row r="2359" spans="1:4">
      <c r="A2359" s="70" t="s">
        <v>2798</v>
      </c>
      <c r="B2359" s="13" t="s">
        <v>2282</v>
      </c>
      <c r="C2359" s="16" t="s">
        <v>2811</v>
      </c>
      <c r="D2359" s="13">
        <v>7894904283361</v>
      </c>
    </row>
    <row r="2360" spans="1:4">
      <c r="A2360" s="70" t="s">
        <v>2798</v>
      </c>
      <c r="B2360" s="13" t="s">
        <v>2282</v>
      </c>
      <c r="C2360" s="16" t="s">
        <v>2810</v>
      </c>
      <c r="D2360" s="13">
        <v>7894904283378</v>
      </c>
    </row>
    <row r="2361" spans="1:4">
      <c r="A2361" s="70" t="s">
        <v>2799</v>
      </c>
      <c r="B2361" s="13" t="s">
        <v>2282</v>
      </c>
      <c r="C2361" s="16" t="s">
        <v>2812</v>
      </c>
      <c r="D2361" s="13">
        <v>7894904280001</v>
      </c>
    </row>
    <row r="2362" spans="1:4">
      <c r="A2362" s="70" t="s">
        <v>2800</v>
      </c>
      <c r="B2362" s="13" t="s">
        <v>2282</v>
      </c>
      <c r="C2362" s="16" t="s">
        <v>2813</v>
      </c>
      <c r="D2362" s="13">
        <v>7894904284733</v>
      </c>
    </row>
    <row r="2363" spans="1:4">
      <c r="A2363" s="70" t="s">
        <v>2800</v>
      </c>
      <c r="B2363" s="13" t="s">
        <v>2282</v>
      </c>
      <c r="C2363" s="16" t="s">
        <v>2814</v>
      </c>
      <c r="D2363" s="13">
        <v>7894904284726</v>
      </c>
    </row>
    <row r="2364" spans="1:4">
      <c r="A2364" s="70" t="s">
        <v>2801</v>
      </c>
      <c r="B2364" s="17" t="s">
        <v>2283</v>
      </c>
      <c r="C2364" s="16" t="s">
        <v>1041</v>
      </c>
      <c r="D2364" s="13">
        <v>7896072902921</v>
      </c>
    </row>
    <row r="2365" spans="1:4">
      <c r="A2365" s="70" t="s">
        <v>2801</v>
      </c>
      <c r="B2365" s="17" t="s">
        <v>2283</v>
      </c>
      <c r="C2365" s="16" t="s">
        <v>1042</v>
      </c>
      <c r="D2365" s="13">
        <v>7896072902938</v>
      </c>
    </row>
    <row r="2366" spans="1:4">
      <c r="A2366" s="70" t="s">
        <v>2801</v>
      </c>
      <c r="B2366" s="17" t="s">
        <v>2283</v>
      </c>
      <c r="C2366" s="16" t="s">
        <v>1042</v>
      </c>
      <c r="D2366" s="13">
        <v>7896072910971</v>
      </c>
    </row>
    <row r="2367" spans="1:4">
      <c r="A2367" s="70" t="s">
        <v>2801</v>
      </c>
      <c r="B2367" s="17" t="s">
        <v>2283</v>
      </c>
      <c r="C2367" s="16" t="s">
        <v>2685</v>
      </c>
      <c r="D2367" s="13">
        <v>7896072903768</v>
      </c>
    </row>
    <row r="2368" spans="1:4">
      <c r="A2368" s="70" t="s">
        <v>2801</v>
      </c>
      <c r="B2368" s="17" t="s">
        <v>2283</v>
      </c>
      <c r="C2368" s="16" t="s">
        <v>1063</v>
      </c>
      <c r="D2368" s="13">
        <v>7896072902945</v>
      </c>
    </row>
    <row r="2369" spans="1:4">
      <c r="A2369" s="70" t="s">
        <v>2816</v>
      </c>
      <c r="B2369" s="17" t="s">
        <v>2283</v>
      </c>
      <c r="C2369" s="16" t="s">
        <v>2821</v>
      </c>
      <c r="D2369" s="13">
        <v>50196081</v>
      </c>
    </row>
    <row r="2370" spans="1:4">
      <c r="A2370" s="70" t="s">
        <v>3405</v>
      </c>
      <c r="B2370" s="13" t="s">
        <v>2288</v>
      </c>
      <c r="C2370" s="16" t="s">
        <v>2822</v>
      </c>
      <c r="D2370" s="13">
        <v>7898921567985</v>
      </c>
    </row>
    <row r="2371" spans="1:4">
      <c r="A2371" s="70" t="s">
        <v>2817</v>
      </c>
      <c r="B2371" s="13" t="s">
        <v>2281</v>
      </c>
      <c r="C2371" s="16" t="s">
        <v>2823</v>
      </c>
      <c r="D2371" s="13">
        <v>7896045110582</v>
      </c>
    </row>
    <row r="2372" spans="1:4">
      <c r="A2372" s="70" t="s">
        <v>2818</v>
      </c>
      <c r="B2372" s="13" t="s">
        <v>2287</v>
      </c>
      <c r="C2372" s="16" t="s">
        <v>2824</v>
      </c>
      <c r="D2372" s="13">
        <v>7896029009055</v>
      </c>
    </row>
    <row r="2373" spans="1:4">
      <c r="A2373" s="70" t="s">
        <v>2820</v>
      </c>
      <c r="B2373" s="13" t="s">
        <v>2287</v>
      </c>
      <c r="C2373" s="16" t="s">
        <v>2825</v>
      </c>
      <c r="D2373" s="13">
        <v>7909937437275</v>
      </c>
    </row>
    <row r="2374" spans="1:4">
      <c r="A2374" s="70" t="s">
        <v>2826</v>
      </c>
      <c r="B2374" s="13" t="s">
        <v>2640</v>
      </c>
      <c r="C2374" s="16" t="s">
        <v>2667</v>
      </c>
      <c r="D2374" s="13">
        <v>7896102582949</v>
      </c>
    </row>
    <row r="2375" spans="1:4">
      <c r="A2375" s="70" t="s">
        <v>2828</v>
      </c>
      <c r="B2375" s="13" t="s">
        <v>2288</v>
      </c>
      <c r="C2375" s="16" t="s">
        <v>2831</v>
      </c>
      <c r="D2375" s="13">
        <v>7896105800989</v>
      </c>
    </row>
    <row r="2376" spans="1:4">
      <c r="A2376" s="70" t="s">
        <v>1570</v>
      </c>
      <c r="B2376" s="17" t="s">
        <v>2281</v>
      </c>
      <c r="C2376" s="16" t="s">
        <v>1579</v>
      </c>
      <c r="D2376" s="13">
        <v>3045140118502</v>
      </c>
    </row>
    <row r="2377" spans="1:4">
      <c r="A2377" s="70" t="s">
        <v>1570</v>
      </c>
      <c r="B2377" s="17" t="s">
        <v>2281</v>
      </c>
      <c r="C2377" s="16" t="s">
        <v>2832</v>
      </c>
      <c r="D2377" s="13">
        <v>7622210656742</v>
      </c>
    </row>
    <row r="2378" spans="1:4">
      <c r="A2378" s="70" t="s">
        <v>1570</v>
      </c>
      <c r="B2378" s="17" t="s">
        <v>2281</v>
      </c>
      <c r="C2378" s="16" t="s">
        <v>2833</v>
      </c>
      <c r="D2378" s="13">
        <v>7622210653062</v>
      </c>
    </row>
    <row r="2379" spans="1:4">
      <c r="A2379" s="70" t="s">
        <v>1570</v>
      </c>
      <c r="B2379" s="17" t="s">
        <v>2281</v>
      </c>
      <c r="C2379" s="16" t="s">
        <v>2834</v>
      </c>
      <c r="D2379" s="13">
        <v>7622201109615</v>
      </c>
    </row>
    <row r="2380" spans="1:4">
      <c r="A2380" s="70" t="s">
        <v>2828</v>
      </c>
      <c r="B2380" s="13" t="s">
        <v>2288</v>
      </c>
      <c r="C2380" s="16" t="s">
        <v>2831</v>
      </c>
      <c r="D2380" s="13">
        <v>7896105801092</v>
      </c>
    </row>
    <row r="2381" spans="1:4">
      <c r="A2381" s="70" t="s">
        <v>2837</v>
      </c>
      <c r="B2381" s="17" t="s">
        <v>2284</v>
      </c>
      <c r="C2381" s="16" t="s">
        <v>2838</v>
      </c>
      <c r="D2381" s="13">
        <v>7896022204600</v>
      </c>
    </row>
    <row r="2382" spans="1:4">
      <c r="A2382" s="70" t="s">
        <v>2877</v>
      </c>
      <c r="B2382" s="13" t="s">
        <v>2286</v>
      </c>
      <c r="C2382" s="16" t="s">
        <v>2839</v>
      </c>
      <c r="D2382" s="13">
        <v>7896056406988</v>
      </c>
    </row>
    <row r="2383" spans="1:4">
      <c r="A2383" s="70" t="s">
        <v>2877</v>
      </c>
      <c r="B2383" s="13" t="s">
        <v>2286</v>
      </c>
      <c r="C2383" s="16" t="s">
        <v>2840</v>
      </c>
      <c r="D2383" s="13">
        <v>7896056407008</v>
      </c>
    </row>
    <row r="2384" spans="1:4">
      <c r="A2384" s="70" t="s">
        <v>2877</v>
      </c>
      <c r="B2384" s="13" t="s">
        <v>2286</v>
      </c>
      <c r="C2384" s="16" t="s">
        <v>2841</v>
      </c>
      <c r="D2384" s="13">
        <v>7896056406995</v>
      </c>
    </row>
    <row r="2385" spans="1:4">
      <c r="A2385" s="70" t="s">
        <v>2877</v>
      </c>
      <c r="B2385" s="13" t="s">
        <v>2286</v>
      </c>
      <c r="C2385" s="16" t="s">
        <v>2842</v>
      </c>
      <c r="D2385" s="13">
        <v>7896056407015</v>
      </c>
    </row>
    <row r="2386" spans="1:4">
      <c r="A2386" s="70" t="s">
        <v>2835</v>
      </c>
      <c r="B2386" s="13" t="s">
        <v>2281</v>
      </c>
      <c r="C2386" s="16" t="s">
        <v>785</v>
      </c>
      <c r="D2386" s="13">
        <v>7896089010916</v>
      </c>
    </row>
    <row r="2387" spans="1:4">
      <c r="A2387" s="70" t="s">
        <v>2835</v>
      </c>
      <c r="B2387" s="13" t="s">
        <v>2281</v>
      </c>
      <c r="C2387" s="16" t="s">
        <v>2846</v>
      </c>
      <c r="D2387" s="13">
        <v>7891910021109</v>
      </c>
    </row>
    <row r="2388" spans="1:4">
      <c r="A2388" s="70" t="s">
        <v>2835</v>
      </c>
      <c r="B2388" s="17" t="s">
        <v>2281</v>
      </c>
      <c r="C2388" s="16" t="s">
        <v>802</v>
      </c>
      <c r="D2388" s="13">
        <v>7896089016215</v>
      </c>
    </row>
    <row r="2389" spans="1:4">
      <c r="A2389" s="70" t="s">
        <v>2836</v>
      </c>
      <c r="B2389" s="17" t="s">
        <v>2287</v>
      </c>
      <c r="C2389" s="16" t="s">
        <v>2843</v>
      </c>
      <c r="D2389" s="13">
        <v>7896001014428</v>
      </c>
    </row>
    <row r="2390" spans="1:4">
      <c r="A2390" s="70" t="s">
        <v>2844</v>
      </c>
      <c r="B2390" s="13" t="s">
        <v>2283</v>
      </c>
      <c r="C2390" s="16" t="s">
        <v>2845</v>
      </c>
      <c r="D2390" s="13">
        <v>7898386200045</v>
      </c>
    </row>
    <row r="2391" spans="1:4">
      <c r="A2391" s="70" t="s">
        <v>2852</v>
      </c>
      <c r="B2391" s="17" t="s">
        <v>2280</v>
      </c>
      <c r="C2391" s="16" t="s">
        <v>2854</v>
      </c>
      <c r="D2391" s="13">
        <v>7898152990026</v>
      </c>
    </row>
    <row r="2392" spans="1:4">
      <c r="A2392" s="70" t="s">
        <v>2851</v>
      </c>
      <c r="B2392" s="13" t="s">
        <v>2640</v>
      </c>
      <c r="C2392" s="16" t="s">
        <v>2642</v>
      </c>
      <c r="D2392" s="13">
        <v>7896102593068</v>
      </c>
    </row>
    <row r="2393" spans="1:4">
      <c r="A2393" s="70" t="s">
        <v>2851</v>
      </c>
      <c r="B2393" s="13" t="s">
        <v>2640</v>
      </c>
      <c r="C2393" s="16" t="s">
        <v>2680</v>
      </c>
      <c r="D2393" s="13">
        <v>7896102503708</v>
      </c>
    </row>
    <row r="2394" spans="1:4">
      <c r="A2394" s="70" t="s">
        <v>2849</v>
      </c>
      <c r="B2394" s="13" t="s">
        <v>2283</v>
      </c>
      <c r="C2394" s="16" t="s">
        <v>2855</v>
      </c>
      <c r="D2394" s="13">
        <v>7896045506590</v>
      </c>
    </row>
    <row r="2395" spans="1:4">
      <c r="A2395" s="70" t="s">
        <v>2849</v>
      </c>
      <c r="B2395" s="13" t="s">
        <v>2283</v>
      </c>
      <c r="C2395" s="72" t="s">
        <v>2856</v>
      </c>
      <c r="D2395" s="75">
        <v>7896045506606</v>
      </c>
    </row>
    <row r="2396" spans="1:4">
      <c r="A2396" s="70" t="s">
        <v>2853</v>
      </c>
      <c r="B2396" s="13" t="s">
        <v>2287</v>
      </c>
      <c r="C2396" s="16" t="s">
        <v>2857</v>
      </c>
      <c r="D2396" s="13">
        <v>7896029065075</v>
      </c>
    </row>
    <row r="2397" spans="1:4">
      <c r="A2397" s="70" t="s">
        <v>2858</v>
      </c>
      <c r="B2397" s="13" t="s">
        <v>2285</v>
      </c>
      <c r="C2397" s="16" t="s">
        <v>2864</v>
      </c>
      <c r="D2397" s="13">
        <v>7896061917608</v>
      </c>
    </row>
    <row r="2398" spans="1:4">
      <c r="A2398" s="70" t="s">
        <v>2862</v>
      </c>
      <c r="B2398" s="13" t="s">
        <v>2286</v>
      </c>
      <c r="C2398" s="16" t="s">
        <v>2865</v>
      </c>
      <c r="D2398" s="13">
        <v>7896098904688</v>
      </c>
    </row>
    <row r="2399" spans="1:4">
      <c r="A2399" s="70" t="s">
        <v>2859</v>
      </c>
      <c r="B2399" s="13" t="s">
        <v>2286</v>
      </c>
      <c r="C2399" s="16" t="s">
        <v>2866</v>
      </c>
      <c r="D2399" s="13">
        <v>7896056406810</v>
      </c>
    </row>
    <row r="2400" spans="1:4">
      <c r="A2400" s="70" t="s">
        <v>2860</v>
      </c>
      <c r="B2400" s="13" t="s">
        <v>2287</v>
      </c>
      <c r="C2400" s="16" t="s">
        <v>2867</v>
      </c>
      <c r="D2400" s="13">
        <v>7896061920318</v>
      </c>
    </row>
    <row r="2401" spans="1:4">
      <c r="A2401" s="70" t="s">
        <v>2861</v>
      </c>
      <c r="B2401" s="13" t="s">
        <v>2287</v>
      </c>
      <c r="C2401" s="16" t="s">
        <v>2868</v>
      </c>
      <c r="D2401" s="13">
        <v>7896314707659</v>
      </c>
    </row>
    <row r="2402" spans="1:4">
      <c r="A2402" s="70" t="s">
        <v>2863</v>
      </c>
      <c r="B2402" s="13" t="s">
        <v>2287</v>
      </c>
      <c r="C2402" s="16" t="s">
        <v>2869</v>
      </c>
      <c r="D2402" s="13">
        <v>7896314703514</v>
      </c>
    </row>
    <row r="2403" spans="1:4">
      <c r="A2403" s="70" t="s">
        <v>2863</v>
      </c>
      <c r="B2403" s="13" t="s">
        <v>2287</v>
      </c>
      <c r="C2403" s="16" t="s">
        <v>2870</v>
      </c>
      <c r="D2403" s="13">
        <v>7896314703521</v>
      </c>
    </row>
    <row r="2404" spans="1:4">
      <c r="A2404" s="70" t="s">
        <v>2871</v>
      </c>
      <c r="B2404" s="13" t="s">
        <v>2640</v>
      </c>
      <c r="C2404" s="16" t="s">
        <v>2733</v>
      </c>
      <c r="D2404" s="13">
        <v>7896102502077</v>
      </c>
    </row>
    <row r="2405" spans="1:4">
      <c r="A2405" s="70" t="s">
        <v>2871</v>
      </c>
      <c r="B2405" s="13" t="s">
        <v>2640</v>
      </c>
      <c r="C2405" s="16" t="s">
        <v>2734</v>
      </c>
      <c r="D2405" s="13">
        <v>7896102502084</v>
      </c>
    </row>
    <row r="2406" spans="1:4">
      <c r="A2406" s="70" t="s">
        <v>2871</v>
      </c>
      <c r="B2406" s="13" t="s">
        <v>2640</v>
      </c>
      <c r="C2406" s="15" t="s">
        <v>2874</v>
      </c>
      <c r="D2406" s="13">
        <v>7896102502589</v>
      </c>
    </row>
    <row r="2407" spans="1:4">
      <c r="A2407" s="70" t="s">
        <v>2871</v>
      </c>
      <c r="B2407" s="13" t="s">
        <v>2640</v>
      </c>
      <c r="C2407" s="16" t="s">
        <v>2735</v>
      </c>
      <c r="D2407" s="13">
        <v>7896102584189</v>
      </c>
    </row>
    <row r="2408" spans="1:4">
      <c r="A2408" s="70" t="s">
        <v>2872</v>
      </c>
      <c r="B2408" s="13" t="s">
        <v>2288</v>
      </c>
      <c r="C2408" s="16" t="s">
        <v>1724</v>
      </c>
      <c r="D2408" s="13">
        <v>7896002360326</v>
      </c>
    </row>
    <row r="2409" spans="1:4">
      <c r="A2409" s="70" t="s">
        <v>2872</v>
      </c>
      <c r="B2409" s="13" t="s">
        <v>2288</v>
      </c>
      <c r="C2409" s="16" t="s">
        <v>2873</v>
      </c>
      <c r="D2409" s="13">
        <v>7896002300148</v>
      </c>
    </row>
    <row r="2410" spans="1:4">
      <c r="A2410" s="70" t="s">
        <v>2875</v>
      </c>
      <c r="B2410" s="13" t="s">
        <v>2283</v>
      </c>
      <c r="C2410" s="16" t="s">
        <v>2880</v>
      </c>
      <c r="D2410" s="13">
        <v>7896000583062</v>
      </c>
    </row>
    <row r="2411" spans="1:4">
      <c r="A2411" s="70" t="s">
        <v>2875</v>
      </c>
      <c r="B2411" s="13" t="s">
        <v>2283</v>
      </c>
      <c r="C2411" s="16" t="s">
        <v>2881</v>
      </c>
      <c r="D2411" s="13">
        <v>7896000583321</v>
      </c>
    </row>
    <row r="2412" spans="1:4">
      <c r="A2412" s="70" t="s">
        <v>2875</v>
      </c>
      <c r="B2412" s="13" t="s">
        <v>2283</v>
      </c>
      <c r="C2412" s="16" t="s">
        <v>2882</v>
      </c>
      <c r="D2412" s="13">
        <v>7896000593979</v>
      </c>
    </row>
    <row r="2413" spans="1:4">
      <c r="A2413" s="70" t="s">
        <v>2875</v>
      </c>
      <c r="B2413" s="13" t="s">
        <v>2283</v>
      </c>
      <c r="C2413" s="16" t="s">
        <v>2883</v>
      </c>
      <c r="D2413" s="13">
        <v>7896000595553</v>
      </c>
    </row>
    <row r="2414" spans="1:4">
      <c r="A2414" s="70" t="s">
        <v>2875</v>
      </c>
      <c r="B2414" s="13" t="s">
        <v>2283</v>
      </c>
      <c r="C2414" s="16" t="s">
        <v>2884</v>
      </c>
      <c r="D2414" s="13">
        <v>7896000530356</v>
      </c>
    </row>
    <row r="2415" spans="1:4">
      <c r="A2415" s="70" t="s">
        <v>2875</v>
      </c>
      <c r="B2415" s="13" t="s">
        <v>2283</v>
      </c>
      <c r="C2415" s="16" t="s">
        <v>2885</v>
      </c>
      <c r="D2415" s="13">
        <v>7896000530264</v>
      </c>
    </row>
    <row r="2416" spans="1:4">
      <c r="A2416" s="70" t="s">
        <v>2875</v>
      </c>
      <c r="B2416" s="13" t="s">
        <v>2283</v>
      </c>
      <c r="C2416" s="16" t="s">
        <v>2886</v>
      </c>
      <c r="D2416" s="13">
        <v>7896000530066</v>
      </c>
    </row>
    <row r="2417" spans="1:4">
      <c r="A2417" s="70" t="s">
        <v>2875</v>
      </c>
      <c r="B2417" s="13" t="s">
        <v>2283</v>
      </c>
      <c r="C2417" s="16" t="s">
        <v>2887</v>
      </c>
      <c r="D2417" s="13">
        <v>7896000593702</v>
      </c>
    </row>
    <row r="2418" spans="1:4">
      <c r="A2418" s="70" t="s">
        <v>2875</v>
      </c>
      <c r="B2418" s="13" t="s">
        <v>2283</v>
      </c>
      <c r="C2418" s="16" t="s">
        <v>2888</v>
      </c>
      <c r="D2418" s="13">
        <v>7896000530653</v>
      </c>
    </row>
    <row r="2419" spans="1:4">
      <c r="A2419" s="70" t="s">
        <v>2875</v>
      </c>
      <c r="B2419" s="13" t="s">
        <v>2283</v>
      </c>
      <c r="C2419" s="16" t="s">
        <v>2889</v>
      </c>
      <c r="D2419" s="13">
        <v>7896000594198</v>
      </c>
    </row>
    <row r="2420" spans="1:4">
      <c r="A2420" s="70" t="s">
        <v>2875</v>
      </c>
      <c r="B2420" s="13" t="s">
        <v>2283</v>
      </c>
      <c r="C2420" s="16" t="s">
        <v>2890</v>
      </c>
      <c r="D2420" s="13">
        <v>7896000530530</v>
      </c>
    </row>
    <row r="2421" spans="1:4">
      <c r="A2421" s="70" t="s">
        <v>2875</v>
      </c>
      <c r="B2421" s="13" t="s">
        <v>2283</v>
      </c>
      <c r="C2421" s="16" t="s">
        <v>2897</v>
      </c>
      <c r="D2421" s="13">
        <v>7896000595263</v>
      </c>
    </row>
    <row r="2422" spans="1:4">
      <c r="A2422" s="70" t="s">
        <v>2875</v>
      </c>
      <c r="B2422" s="13" t="s">
        <v>2283</v>
      </c>
      <c r="C2422" s="16" t="s">
        <v>2898</v>
      </c>
      <c r="D2422" s="13">
        <v>7896000530363</v>
      </c>
    </row>
    <row r="2423" spans="1:4">
      <c r="A2423" s="70" t="s">
        <v>2875</v>
      </c>
      <c r="B2423" s="13" t="s">
        <v>2283</v>
      </c>
      <c r="C2423" s="16" t="s">
        <v>2891</v>
      </c>
      <c r="D2423" s="13">
        <v>7896000593719</v>
      </c>
    </row>
    <row r="2424" spans="1:4">
      <c r="A2424" s="70" t="s">
        <v>2875</v>
      </c>
      <c r="B2424" s="13" t="s">
        <v>2283</v>
      </c>
      <c r="C2424" s="16" t="s">
        <v>2892</v>
      </c>
      <c r="D2424" s="13">
        <v>7896000530325</v>
      </c>
    </row>
    <row r="2425" spans="1:4">
      <c r="A2425" s="70" t="s">
        <v>2878</v>
      </c>
      <c r="B2425" s="17" t="s">
        <v>2288</v>
      </c>
      <c r="C2425" s="16" t="s">
        <v>2893</v>
      </c>
      <c r="D2425" s="13">
        <v>7891025119869</v>
      </c>
    </row>
    <row r="2426" spans="1:4">
      <c r="A2426" s="70" t="s">
        <v>2878</v>
      </c>
      <c r="B2426" s="17" t="s">
        <v>2288</v>
      </c>
      <c r="C2426" s="16" t="s">
        <v>2894</v>
      </c>
      <c r="D2426" s="13">
        <v>7891025119852</v>
      </c>
    </row>
    <row r="2427" spans="1:4">
      <c r="A2427" s="70" t="s">
        <v>2879</v>
      </c>
      <c r="B2427" s="13" t="s">
        <v>2284</v>
      </c>
      <c r="C2427" s="16" t="s">
        <v>2895</v>
      </c>
      <c r="D2427" s="13">
        <v>7897001010502</v>
      </c>
    </row>
    <row r="2428" spans="1:4">
      <c r="A2428" s="70" t="s">
        <v>2900</v>
      </c>
      <c r="B2428" s="13" t="s">
        <v>2640</v>
      </c>
      <c r="C2428" s="16" t="s">
        <v>2735</v>
      </c>
      <c r="D2428" s="13">
        <v>7896102584189</v>
      </c>
    </row>
    <row r="2429" spans="1:4">
      <c r="A2429" s="70" t="s">
        <v>2909</v>
      </c>
      <c r="B2429" s="13" t="s">
        <v>2283</v>
      </c>
      <c r="C2429" s="16" t="s">
        <v>2903</v>
      </c>
      <c r="D2429" s="13">
        <v>7897395031626</v>
      </c>
    </row>
    <row r="2430" spans="1:4">
      <c r="A2430" s="70" t="s">
        <v>2909</v>
      </c>
      <c r="B2430" s="13" t="s">
        <v>2283</v>
      </c>
      <c r="C2430" s="16" t="s">
        <v>2904</v>
      </c>
      <c r="D2430" s="13">
        <v>7898377662081</v>
      </c>
    </row>
    <row r="2431" spans="1:4">
      <c r="A2431" s="70" t="s">
        <v>2909</v>
      </c>
      <c r="B2431" s="13" t="s">
        <v>2283</v>
      </c>
      <c r="C2431" s="20" t="s">
        <v>2917</v>
      </c>
      <c r="D2431" s="14">
        <v>7898377662029</v>
      </c>
    </row>
    <row r="2432" spans="1:4">
      <c r="A2432" s="70" t="s">
        <v>2909</v>
      </c>
      <c r="B2432" s="13" t="s">
        <v>2283</v>
      </c>
      <c r="C2432" s="16" t="s">
        <v>2905</v>
      </c>
      <c r="D2432" s="13">
        <v>7897395000363</v>
      </c>
    </row>
    <row r="2433" spans="1:4">
      <c r="A2433" s="70" t="s">
        <v>2909</v>
      </c>
      <c r="B2433" s="13" t="s">
        <v>2283</v>
      </c>
      <c r="C2433" s="16" t="s">
        <v>2906</v>
      </c>
      <c r="D2433" s="13">
        <v>7898377662050</v>
      </c>
    </row>
    <row r="2434" spans="1:4">
      <c r="A2434" s="70" t="s">
        <v>1600</v>
      </c>
      <c r="B2434" s="17" t="s">
        <v>2285</v>
      </c>
      <c r="C2434" s="16" t="s">
        <v>1607</v>
      </c>
      <c r="D2434" s="13">
        <v>7896007551309</v>
      </c>
    </row>
    <row r="2435" spans="1:4">
      <c r="A2435" s="70" t="s">
        <v>1600</v>
      </c>
      <c r="B2435" s="17" t="s">
        <v>2285</v>
      </c>
      <c r="C2435" s="16" t="s">
        <v>1608</v>
      </c>
      <c r="D2435" s="13">
        <v>7896007551316</v>
      </c>
    </row>
    <row r="2436" spans="1:4">
      <c r="A2436" s="70" t="s">
        <v>1600</v>
      </c>
      <c r="B2436" s="17" t="s">
        <v>2285</v>
      </c>
      <c r="C2436" s="16" t="s">
        <v>1609</v>
      </c>
      <c r="D2436" s="13">
        <v>7896007551323</v>
      </c>
    </row>
    <row r="2437" spans="1:4">
      <c r="A2437" s="70" t="s">
        <v>1600</v>
      </c>
      <c r="B2437" s="17" t="s">
        <v>2285</v>
      </c>
      <c r="C2437" s="16" t="s">
        <v>1610</v>
      </c>
      <c r="D2437" s="13">
        <v>7896007551330</v>
      </c>
    </row>
    <row r="2438" spans="1:4">
      <c r="A2438" s="70" t="s">
        <v>1600</v>
      </c>
      <c r="B2438" s="17" t="s">
        <v>2285</v>
      </c>
      <c r="C2438" s="16" t="s">
        <v>1611</v>
      </c>
      <c r="D2438" s="13">
        <v>7896007551347</v>
      </c>
    </row>
    <row r="2439" spans="1:4">
      <c r="A2439" s="70" t="s">
        <v>2908</v>
      </c>
      <c r="B2439" s="13" t="s">
        <v>2283</v>
      </c>
      <c r="C2439" s="16" t="s">
        <v>2912</v>
      </c>
      <c r="D2439" s="13">
        <v>7897395060107</v>
      </c>
    </row>
    <row r="2440" spans="1:4">
      <c r="A2440" s="70" t="s">
        <v>2908</v>
      </c>
      <c r="B2440" s="13" t="s">
        <v>2283</v>
      </c>
      <c r="C2440" s="72" t="s">
        <v>2913</v>
      </c>
      <c r="D2440" s="75">
        <v>7897395060138</v>
      </c>
    </row>
    <row r="2441" spans="1:4">
      <c r="A2441" s="70" t="s">
        <v>2907</v>
      </c>
      <c r="B2441" s="13" t="s">
        <v>2281</v>
      </c>
      <c r="C2441" s="16" t="s">
        <v>2914</v>
      </c>
      <c r="D2441" s="13">
        <v>7898920041455</v>
      </c>
    </row>
    <row r="2442" spans="1:4">
      <c r="A2442" s="70" t="s">
        <v>2918</v>
      </c>
      <c r="B2442" s="17" t="s">
        <v>2284</v>
      </c>
      <c r="C2442" s="16" t="s">
        <v>394</v>
      </c>
      <c r="D2442" s="13">
        <v>7896114900274</v>
      </c>
    </row>
    <row r="2443" spans="1:4">
      <c r="A2443" s="70" t="s">
        <v>2918</v>
      </c>
      <c r="B2443" s="17" t="s">
        <v>2284</v>
      </c>
      <c r="C2443" s="16" t="s">
        <v>2344</v>
      </c>
      <c r="D2443" s="13">
        <v>7896114990213</v>
      </c>
    </row>
    <row r="2444" spans="1:4">
      <c r="A2444" s="70" t="s">
        <v>2941</v>
      </c>
      <c r="B2444" s="13" t="s">
        <v>2288</v>
      </c>
      <c r="C2444" s="16" t="s">
        <v>2921</v>
      </c>
      <c r="D2444" s="13">
        <v>7896895500137</v>
      </c>
    </row>
    <row r="2445" spans="1:4">
      <c r="A2445" s="70" t="s">
        <v>2922</v>
      </c>
      <c r="B2445" s="13" t="s">
        <v>2284</v>
      </c>
      <c r="C2445" s="16" t="s">
        <v>2923</v>
      </c>
      <c r="D2445" s="13">
        <v>7897517200022</v>
      </c>
    </row>
    <row r="2446" spans="1:4">
      <c r="A2446" s="70" t="s">
        <v>2919</v>
      </c>
      <c r="B2446" s="13" t="s">
        <v>2288</v>
      </c>
      <c r="C2446" s="16" t="s">
        <v>956</v>
      </c>
      <c r="D2446" s="13">
        <v>7896275970796</v>
      </c>
    </row>
    <row r="2447" spans="1:4">
      <c r="A2447" s="70" t="s">
        <v>2919</v>
      </c>
      <c r="B2447" s="13" t="s">
        <v>2288</v>
      </c>
      <c r="C2447" s="16" t="s">
        <v>953</v>
      </c>
      <c r="D2447" s="13">
        <v>7896275980290</v>
      </c>
    </row>
    <row r="2448" spans="1:4">
      <c r="A2448" s="70" t="s">
        <v>2920</v>
      </c>
      <c r="B2448" s="13" t="s">
        <v>2283</v>
      </c>
      <c r="C2448" s="16" t="s">
        <v>2924</v>
      </c>
      <c r="D2448" s="13">
        <v>7898377661695</v>
      </c>
    </row>
    <row r="2449" spans="1:4">
      <c r="A2449" s="70" t="s">
        <v>2920</v>
      </c>
      <c r="B2449" s="13" t="s">
        <v>2283</v>
      </c>
      <c r="C2449" s="16" t="s">
        <v>2925</v>
      </c>
      <c r="D2449" s="13">
        <v>7898377661718</v>
      </c>
    </row>
    <row r="2450" spans="1:4">
      <c r="A2450" s="70" t="s">
        <v>2920</v>
      </c>
      <c r="B2450" s="13" t="s">
        <v>2283</v>
      </c>
      <c r="C2450" s="16" t="s">
        <v>2926</v>
      </c>
      <c r="D2450" s="13">
        <v>7898377661732</v>
      </c>
    </row>
    <row r="2451" spans="1:4">
      <c r="A2451" s="70" t="s">
        <v>2920</v>
      </c>
      <c r="B2451" s="13" t="s">
        <v>2283</v>
      </c>
      <c r="C2451" s="16" t="s">
        <v>2927</v>
      </c>
      <c r="D2451" s="13">
        <v>7898377661756</v>
      </c>
    </row>
    <row r="2452" spans="1:4">
      <c r="A2452" s="70" t="s">
        <v>2928</v>
      </c>
      <c r="B2452" s="13" t="s">
        <v>2288</v>
      </c>
      <c r="C2452" s="16" t="s">
        <v>2931</v>
      </c>
      <c r="D2452" s="13">
        <v>7891025124139</v>
      </c>
    </row>
    <row r="2453" spans="1:4">
      <c r="A2453" s="70" t="s">
        <v>2928</v>
      </c>
      <c r="B2453" s="13" t="s">
        <v>2288</v>
      </c>
      <c r="C2453" s="16" t="s">
        <v>2932</v>
      </c>
      <c r="D2453" s="13">
        <v>7891025124108</v>
      </c>
    </row>
    <row r="2454" spans="1:4">
      <c r="A2454" s="70" t="s">
        <v>2928</v>
      </c>
      <c r="B2454" s="13" t="s">
        <v>2288</v>
      </c>
      <c r="C2454" s="16" t="s">
        <v>2933</v>
      </c>
      <c r="D2454" s="13">
        <v>7891025124122</v>
      </c>
    </row>
    <row r="2455" spans="1:4">
      <c r="A2455" s="70" t="s">
        <v>2928</v>
      </c>
      <c r="B2455" s="13" t="s">
        <v>2288</v>
      </c>
      <c r="C2455" s="16" t="s">
        <v>2934</v>
      </c>
      <c r="D2455" s="13">
        <v>7891025124054</v>
      </c>
    </row>
    <row r="2456" spans="1:4">
      <c r="A2456" s="70" t="s">
        <v>2928</v>
      </c>
      <c r="B2456" s="13" t="s">
        <v>2288</v>
      </c>
      <c r="C2456" s="16" t="s">
        <v>2935</v>
      </c>
      <c r="D2456" s="13">
        <v>7891025124047</v>
      </c>
    </row>
    <row r="2457" spans="1:4">
      <c r="A2457" s="70" t="s">
        <v>2930</v>
      </c>
      <c r="B2457" s="13" t="s">
        <v>2284</v>
      </c>
      <c r="C2457" s="16" t="s">
        <v>2936</v>
      </c>
      <c r="D2457" s="13">
        <v>7896292300460</v>
      </c>
    </row>
    <row r="2458" spans="1:4">
      <c r="A2458" s="70" t="s">
        <v>2930</v>
      </c>
      <c r="B2458" s="13" t="s">
        <v>2284</v>
      </c>
      <c r="C2458" s="16" t="s">
        <v>2937</v>
      </c>
      <c r="D2458" s="13">
        <v>7896292360464</v>
      </c>
    </row>
    <row r="2459" spans="1:4">
      <c r="A2459" s="70" t="s">
        <v>2929</v>
      </c>
      <c r="B2459" s="13" t="s">
        <v>2284</v>
      </c>
      <c r="C2459" s="16" t="s">
        <v>2938</v>
      </c>
      <c r="D2459" s="13">
        <v>7896040908122</v>
      </c>
    </row>
    <row r="2460" spans="1:4">
      <c r="A2460" s="70" t="s">
        <v>2939</v>
      </c>
      <c r="B2460" s="17" t="s">
        <v>2283</v>
      </c>
      <c r="C2460" s="16" t="s">
        <v>2940</v>
      </c>
      <c r="D2460" s="13">
        <v>7897001050515</v>
      </c>
    </row>
    <row r="2461" spans="1:4">
      <c r="A2461" s="70" t="s">
        <v>2942</v>
      </c>
      <c r="B2461" s="17" t="s">
        <v>2284</v>
      </c>
      <c r="C2461" s="16" t="s">
        <v>2943</v>
      </c>
      <c r="D2461" s="13">
        <v>7896009301032</v>
      </c>
    </row>
    <row r="2462" spans="1:4">
      <c r="A2462" s="70" t="s">
        <v>2944</v>
      </c>
      <c r="B2462" s="13" t="s">
        <v>2288</v>
      </c>
      <c r="C2462" s="16" t="s">
        <v>2947</v>
      </c>
      <c r="D2462" s="13">
        <v>7898955617526</v>
      </c>
    </row>
    <row r="2463" spans="1:4">
      <c r="A2463" s="70" t="s">
        <v>2944</v>
      </c>
      <c r="B2463" s="13" t="s">
        <v>2288</v>
      </c>
      <c r="C2463" s="16" t="s">
        <v>2946</v>
      </c>
      <c r="D2463" s="13">
        <v>7898955617519</v>
      </c>
    </row>
    <row r="2464" spans="1:4">
      <c r="A2464" s="70" t="s">
        <v>2945</v>
      </c>
      <c r="B2464" s="13" t="s">
        <v>2283</v>
      </c>
      <c r="C2464" s="16" t="s">
        <v>2948</v>
      </c>
      <c r="D2464" s="13">
        <v>7896072911022</v>
      </c>
    </row>
    <row r="2465" spans="1:4">
      <c r="A2465" s="70" t="s">
        <v>2949</v>
      </c>
      <c r="B2465" s="13" t="s">
        <v>2283</v>
      </c>
      <c r="C2465" s="16" t="s">
        <v>2950</v>
      </c>
      <c r="D2465" s="13">
        <v>5000281004020</v>
      </c>
    </row>
    <row r="2466" spans="1:4">
      <c r="A2466" s="70" t="s">
        <v>2953</v>
      </c>
      <c r="B2466" s="13" t="s">
        <v>2283</v>
      </c>
      <c r="C2466" s="16" t="s">
        <v>1078</v>
      </c>
      <c r="D2466" s="13">
        <v>7896023082993</v>
      </c>
    </row>
    <row r="2467" spans="1:4">
      <c r="A2467" s="70" t="s">
        <v>2953</v>
      </c>
      <c r="B2467" s="13" t="s">
        <v>2283</v>
      </c>
      <c r="C2467" s="16" t="s">
        <v>1079</v>
      </c>
      <c r="D2467" s="13">
        <v>7896023082979</v>
      </c>
    </row>
    <row r="2468" spans="1:4">
      <c r="A2468" s="70" t="s">
        <v>2953</v>
      </c>
      <c r="B2468" s="13" t="s">
        <v>2283</v>
      </c>
      <c r="C2468" s="16" t="s">
        <v>2955</v>
      </c>
      <c r="D2468" s="13">
        <v>7896023083938</v>
      </c>
    </row>
    <row r="2469" spans="1:4">
      <c r="A2469" s="70" t="s">
        <v>2953</v>
      </c>
      <c r="B2469" s="13" t="s">
        <v>2283</v>
      </c>
      <c r="C2469" s="16" t="s">
        <v>969</v>
      </c>
      <c r="D2469" s="13">
        <v>7896023082634</v>
      </c>
    </row>
    <row r="2470" spans="1:4">
      <c r="A2470" s="70" t="s">
        <v>2953</v>
      </c>
      <c r="B2470" s="13" t="s">
        <v>2283</v>
      </c>
      <c r="C2470" s="16" t="s">
        <v>1243</v>
      </c>
      <c r="D2470" s="13">
        <v>7896023085994</v>
      </c>
    </row>
    <row r="2471" spans="1:4">
      <c r="A2471" s="70" t="s">
        <v>2951</v>
      </c>
      <c r="B2471" s="17" t="s">
        <v>2285</v>
      </c>
      <c r="C2471" s="16" t="s">
        <v>2954</v>
      </c>
      <c r="D2471" s="13">
        <v>7896007545094</v>
      </c>
    </row>
    <row r="2472" spans="1:4">
      <c r="A2472" s="70" t="s">
        <v>2952</v>
      </c>
      <c r="B2472" s="17" t="s">
        <v>2282</v>
      </c>
      <c r="C2472" s="16" t="s">
        <v>645</v>
      </c>
      <c r="D2472" s="13">
        <v>7896074604496</v>
      </c>
    </row>
    <row r="2473" spans="1:4">
      <c r="A2473" s="70" t="s">
        <v>2952</v>
      </c>
      <c r="B2473" s="17" t="s">
        <v>2282</v>
      </c>
      <c r="C2473" s="16" t="s">
        <v>646</v>
      </c>
      <c r="D2473" s="13">
        <v>7896074605318</v>
      </c>
    </row>
    <row r="2474" spans="1:4">
      <c r="A2474" s="70" t="s">
        <v>2526</v>
      </c>
      <c r="B2474" s="13" t="s">
        <v>2283</v>
      </c>
      <c r="C2474" s="72" t="s">
        <v>2961</v>
      </c>
      <c r="D2474" s="75">
        <v>7896045506927</v>
      </c>
    </row>
    <row r="2475" spans="1:4">
      <c r="A2475" s="70" t="s">
        <v>2526</v>
      </c>
      <c r="B2475" s="13" t="s">
        <v>2283</v>
      </c>
      <c r="C2475" s="16" t="s">
        <v>2958</v>
      </c>
      <c r="D2475" s="13">
        <v>7896045506910</v>
      </c>
    </row>
    <row r="2476" spans="1:4">
      <c r="A2476" s="70" t="s">
        <v>2959</v>
      </c>
      <c r="B2476" s="13" t="s">
        <v>2288</v>
      </c>
      <c r="C2476" s="16" t="s">
        <v>2587</v>
      </c>
      <c r="D2476" s="13">
        <v>7891000362037</v>
      </c>
    </row>
    <row r="2477" spans="1:4">
      <c r="A2477" s="70" t="s">
        <v>2962</v>
      </c>
      <c r="B2477" s="13" t="s">
        <v>2283</v>
      </c>
      <c r="C2477" s="16" t="s">
        <v>2963</v>
      </c>
      <c r="D2477" s="13">
        <v>7896023080487</v>
      </c>
    </row>
    <row r="2478" spans="1:4">
      <c r="A2478" s="70" t="s">
        <v>2964</v>
      </c>
      <c r="B2478" s="17" t="s">
        <v>2284</v>
      </c>
      <c r="C2478" s="16" t="s">
        <v>2965</v>
      </c>
      <c r="D2478" s="13">
        <v>7896009301032</v>
      </c>
    </row>
    <row r="2479" spans="1:4">
      <c r="A2479" s="70" t="s">
        <v>2964</v>
      </c>
      <c r="B2479" s="17" t="s">
        <v>2284</v>
      </c>
      <c r="C2479" s="16" t="s">
        <v>2967</v>
      </c>
      <c r="D2479" s="13">
        <v>7894321811147</v>
      </c>
    </row>
    <row r="2480" spans="1:4">
      <c r="A2480" s="70" t="s">
        <v>2964</v>
      </c>
      <c r="B2480" s="17" t="s">
        <v>2284</v>
      </c>
      <c r="C2480" s="16" t="s">
        <v>2957</v>
      </c>
      <c r="D2480" s="13">
        <v>7894321811277</v>
      </c>
    </row>
    <row r="2481" spans="1:4">
      <c r="A2481" s="70" t="s">
        <v>2964</v>
      </c>
      <c r="B2481" s="17" t="s">
        <v>2284</v>
      </c>
      <c r="C2481" s="16" t="s">
        <v>2966</v>
      </c>
      <c r="D2481" s="13">
        <v>7896009301025</v>
      </c>
    </row>
    <row r="2482" spans="1:4">
      <c r="A2482" s="70" t="s">
        <v>2968</v>
      </c>
      <c r="B2482" s="13" t="s">
        <v>2283</v>
      </c>
      <c r="C2482" s="16" t="s">
        <v>2972</v>
      </c>
      <c r="D2482" s="13">
        <v>7892840813444</v>
      </c>
    </row>
    <row r="2483" spans="1:4">
      <c r="A2483" s="70" t="s">
        <v>2978</v>
      </c>
      <c r="B2483" s="17" t="s">
        <v>2287</v>
      </c>
      <c r="C2483" s="16" t="s">
        <v>2979</v>
      </c>
      <c r="D2483" s="13">
        <v>7896314709660</v>
      </c>
    </row>
    <row r="2484" spans="1:4">
      <c r="A2484" s="70" t="s">
        <v>2977</v>
      </c>
      <c r="B2484" s="13" t="s">
        <v>2287</v>
      </c>
      <c r="C2484" s="16" t="s">
        <v>2980</v>
      </c>
      <c r="D2484" s="13">
        <v>7909806031313</v>
      </c>
    </row>
    <row r="2485" spans="1:4">
      <c r="A2485" s="70" t="s">
        <v>2981</v>
      </c>
      <c r="B2485" s="17" t="s">
        <v>2281</v>
      </c>
      <c r="C2485" s="16" t="s">
        <v>2983</v>
      </c>
      <c r="D2485" s="13">
        <v>7896035733326</v>
      </c>
    </row>
    <row r="2486" spans="1:4">
      <c r="A2486" s="70" t="s">
        <v>2982</v>
      </c>
      <c r="B2486" s="17" t="s">
        <v>2283</v>
      </c>
      <c r="C2486" s="16" t="s">
        <v>2266</v>
      </c>
      <c r="D2486" s="13">
        <v>7896855901080</v>
      </c>
    </row>
    <row r="2487" spans="1:4">
      <c r="A2487" s="70" t="s">
        <v>2984</v>
      </c>
      <c r="B2487" s="13" t="s">
        <v>2283</v>
      </c>
      <c r="C2487" s="16" t="s">
        <v>2985</v>
      </c>
      <c r="D2487" s="13">
        <v>7896596100056</v>
      </c>
    </row>
    <row r="2488" spans="1:4" ht="30">
      <c r="A2488" s="70" t="s">
        <v>2996</v>
      </c>
      <c r="B2488" s="13" t="s">
        <v>2286</v>
      </c>
      <c r="C2488" s="16" t="s">
        <v>2997</v>
      </c>
      <c r="D2488" s="13">
        <v>7896098903957</v>
      </c>
    </row>
    <row r="2489" spans="1:4">
      <c r="A2489" s="70" t="s">
        <v>2998</v>
      </c>
      <c r="B2489" s="13" t="s">
        <v>2287</v>
      </c>
      <c r="C2489" s="16" t="s">
        <v>2999</v>
      </c>
      <c r="D2489" s="13">
        <v>7909006027529</v>
      </c>
    </row>
    <row r="2490" spans="1:4">
      <c r="A2490" s="70" t="s">
        <v>3000</v>
      </c>
      <c r="B2490" s="17" t="s">
        <v>2284</v>
      </c>
      <c r="C2490" s="16" t="s">
        <v>981</v>
      </c>
      <c r="D2490" s="13">
        <v>7896232111842</v>
      </c>
    </row>
    <row r="2491" spans="1:4">
      <c r="A2491" s="70" t="s">
        <v>3000</v>
      </c>
      <c r="B2491" s="17" t="s">
        <v>2284</v>
      </c>
      <c r="C2491" s="16" t="s">
        <v>982</v>
      </c>
      <c r="D2491" s="13">
        <v>7896232111828</v>
      </c>
    </row>
    <row r="2492" spans="1:4">
      <c r="A2492" s="70" t="s">
        <v>3000</v>
      </c>
      <c r="B2492" s="17" t="s">
        <v>2284</v>
      </c>
      <c r="C2492" s="16" t="s">
        <v>983</v>
      </c>
      <c r="D2492" s="13">
        <v>7896232111804</v>
      </c>
    </row>
    <row r="2493" spans="1:4">
      <c r="A2493" s="70" t="s">
        <v>3000</v>
      </c>
      <c r="B2493" s="17" t="s">
        <v>2284</v>
      </c>
      <c r="C2493" s="16" t="s">
        <v>984</v>
      </c>
      <c r="D2493" s="13">
        <v>7896232111811</v>
      </c>
    </row>
    <row r="2494" spans="1:4">
      <c r="A2494" s="70" t="s">
        <v>3000</v>
      </c>
      <c r="B2494" s="17" t="s">
        <v>2284</v>
      </c>
      <c r="C2494" s="16" t="s">
        <v>3001</v>
      </c>
      <c r="D2494" s="13">
        <v>7896232111835</v>
      </c>
    </row>
    <row r="2495" spans="1:4">
      <c r="A2495" s="70" t="s">
        <v>3000</v>
      </c>
      <c r="B2495" s="17" t="s">
        <v>2284</v>
      </c>
      <c r="C2495" s="16" t="s">
        <v>3002</v>
      </c>
      <c r="D2495" s="13">
        <v>7896232115802</v>
      </c>
    </row>
    <row r="2496" spans="1:4">
      <c r="A2496" s="70" t="s">
        <v>3007</v>
      </c>
      <c r="B2496" s="17" t="s">
        <v>2640</v>
      </c>
      <c r="C2496" s="16" t="s">
        <v>3011</v>
      </c>
      <c r="D2496" s="13">
        <v>7898152990064</v>
      </c>
    </row>
    <row r="2497" spans="1:4">
      <c r="A2497" s="70" t="s">
        <v>3007</v>
      </c>
      <c r="B2497" s="17" t="s">
        <v>2640</v>
      </c>
      <c r="C2497" s="16" t="s">
        <v>3012</v>
      </c>
      <c r="D2497" s="13">
        <v>7898152996370</v>
      </c>
    </row>
    <row r="2498" spans="1:4">
      <c r="A2498" s="70" t="s">
        <v>3008</v>
      </c>
      <c r="B2498" s="17" t="s">
        <v>2640</v>
      </c>
      <c r="C2498" s="16" t="s">
        <v>3013</v>
      </c>
      <c r="D2498" s="13">
        <v>7898152990040</v>
      </c>
    </row>
    <row r="2499" spans="1:4">
      <c r="A2499" s="70" t="s">
        <v>3010</v>
      </c>
      <c r="B2499" s="13" t="s">
        <v>2282</v>
      </c>
      <c r="C2499" s="16" t="s">
        <v>3014</v>
      </c>
      <c r="D2499" s="13">
        <v>7894904326259</v>
      </c>
    </row>
    <row r="2500" spans="1:4">
      <c r="A2500" s="70" t="s">
        <v>3010</v>
      </c>
      <c r="B2500" s="13" t="s">
        <v>2282</v>
      </c>
      <c r="C2500" s="16" t="s">
        <v>3015</v>
      </c>
      <c r="D2500" s="13">
        <v>7894904326044</v>
      </c>
    </row>
    <row r="2501" spans="1:4">
      <c r="A2501" s="70" t="s">
        <v>3010</v>
      </c>
      <c r="B2501" s="13" t="s">
        <v>2282</v>
      </c>
      <c r="C2501" s="16" t="s">
        <v>3016</v>
      </c>
      <c r="D2501" s="13">
        <v>7894904325702</v>
      </c>
    </row>
    <row r="2502" spans="1:4">
      <c r="A2502" s="70" t="s">
        <v>3010</v>
      </c>
      <c r="B2502" s="13" t="s">
        <v>2282</v>
      </c>
      <c r="C2502" s="16" t="s">
        <v>3017</v>
      </c>
      <c r="D2502" s="13">
        <v>7894904578566</v>
      </c>
    </row>
    <row r="2503" spans="1:4">
      <c r="A2503" s="70" t="s">
        <v>3010</v>
      </c>
      <c r="B2503" s="13" t="s">
        <v>2282</v>
      </c>
      <c r="C2503" s="16" t="s">
        <v>3018</v>
      </c>
      <c r="D2503" s="13">
        <v>7894904578573</v>
      </c>
    </row>
    <row r="2504" spans="1:4">
      <c r="A2504" s="70" t="s">
        <v>3010</v>
      </c>
      <c r="B2504" s="13" t="s">
        <v>2282</v>
      </c>
      <c r="C2504" s="16" t="s">
        <v>3019</v>
      </c>
      <c r="D2504" s="13">
        <v>7894904326068</v>
      </c>
    </row>
    <row r="2505" spans="1:4">
      <c r="A2505" s="70" t="s">
        <v>3010</v>
      </c>
      <c r="B2505" s="13" t="s">
        <v>2282</v>
      </c>
      <c r="C2505" s="16" t="s">
        <v>3020</v>
      </c>
      <c r="D2505" s="13">
        <v>7894904827220</v>
      </c>
    </row>
    <row r="2506" spans="1:4">
      <c r="A2506" s="70" t="s">
        <v>3025</v>
      </c>
      <c r="B2506" s="13" t="s">
        <v>2283</v>
      </c>
      <c r="C2506" s="16" t="s">
        <v>3026</v>
      </c>
      <c r="D2506" s="13">
        <v>7897395040390</v>
      </c>
    </row>
    <row r="2507" spans="1:4">
      <c r="A2507" s="70" t="s">
        <v>3025</v>
      </c>
      <c r="B2507" s="13" t="s">
        <v>2283</v>
      </c>
      <c r="C2507" s="72" t="s">
        <v>3027</v>
      </c>
      <c r="D2507" s="75">
        <v>7897395040406</v>
      </c>
    </row>
    <row r="2508" spans="1:4">
      <c r="A2508" s="70" t="s">
        <v>3028</v>
      </c>
      <c r="B2508" s="13" t="s">
        <v>2640</v>
      </c>
      <c r="C2508" s="16" t="s">
        <v>2666</v>
      </c>
      <c r="D2508" s="13">
        <v>7896102583182</v>
      </c>
    </row>
    <row r="2509" spans="1:4">
      <c r="A2509" s="70" t="s">
        <v>3029</v>
      </c>
      <c r="B2509" s="17" t="s">
        <v>2281</v>
      </c>
      <c r="C2509" s="16" t="s">
        <v>3032</v>
      </c>
      <c r="D2509" s="13">
        <v>7622210575975</v>
      </c>
    </row>
    <row r="2510" spans="1:4">
      <c r="A2510" s="70" t="s">
        <v>3030</v>
      </c>
      <c r="B2510" s="13" t="s">
        <v>2285</v>
      </c>
      <c r="C2510" s="16" t="s">
        <v>3033</v>
      </c>
      <c r="D2510" s="13">
        <v>7896060401849</v>
      </c>
    </row>
    <row r="2511" spans="1:4">
      <c r="A2511" s="70" t="s">
        <v>3034</v>
      </c>
      <c r="B2511" s="13" t="s">
        <v>2281</v>
      </c>
      <c r="C2511" s="16" t="s">
        <v>3037</v>
      </c>
      <c r="D2511" s="13">
        <v>7896089088656</v>
      </c>
    </row>
    <row r="2512" spans="1:4">
      <c r="A2512" s="70" t="s">
        <v>3036</v>
      </c>
      <c r="B2512" s="17" t="s">
        <v>2283</v>
      </c>
      <c r="C2512" s="16" t="s">
        <v>3038</v>
      </c>
      <c r="D2512" s="13">
        <v>7897395020194</v>
      </c>
    </row>
    <row r="2513" spans="1:4">
      <c r="A2513" s="70" t="s">
        <v>3039</v>
      </c>
      <c r="B2513" s="13" t="s">
        <v>2640</v>
      </c>
      <c r="C2513" s="16" t="s">
        <v>3040</v>
      </c>
      <c r="D2513" s="13">
        <v>7898187830021</v>
      </c>
    </row>
    <row r="2514" spans="1:4">
      <c r="A2514" s="70" t="s">
        <v>3041</v>
      </c>
      <c r="B2514" s="17" t="s">
        <v>2281</v>
      </c>
      <c r="C2514" s="16" t="s">
        <v>2744</v>
      </c>
      <c r="D2514" s="13">
        <v>7898215157465</v>
      </c>
    </row>
    <row r="2515" spans="1:4">
      <c r="A2515" s="70" t="s">
        <v>3042</v>
      </c>
      <c r="B2515" s="17" t="s">
        <v>2283</v>
      </c>
      <c r="C2515" s="16" t="s">
        <v>3043</v>
      </c>
      <c r="D2515" s="13">
        <v>4066600060741</v>
      </c>
    </row>
    <row r="2516" spans="1:4">
      <c r="A2516" s="70" t="s">
        <v>3041</v>
      </c>
      <c r="B2516" s="17" t="s">
        <v>2281</v>
      </c>
      <c r="C2516" s="76" t="s">
        <v>3044</v>
      </c>
      <c r="D2516" s="13">
        <v>7898215157366</v>
      </c>
    </row>
    <row r="2517" spans="1:4">
      <c r="A2517" s="70" t="s">
        <v>3052</v>
      </c>
      <c r="B2517" s="13" t="s">
        <v>2286</v>
      </c>
      <c r="C2517" s="16" t="s">
        <v>3054</v>
      </c>
      <c r="D2517" s="13">
        <v>7896060401801</v>
      </c>
    </row>
    <row r="2518" spans="1:4">
      <c r="A2518" s="70" t="s">
        <v>3053</v>
      </c>
      <c r="B2518" s="17" t="s">
        <v>2281</v>
      </c>
      <c r="C2518" s="16" t="s">
        <v>448</v>
      </c>
      <c r="D2518" s="13">
        <v>7896005801529</v>
      </c>
    </row>
    <row r="2519" spans="1:4">
      <c r="A2519" s="70" t="s">
        <v>3061</v>
      </c>
      <c r="B2519" s="17" t="s">
        <v>2283</v>
      </c>
      <c r="C2519" s="16" t="s">
        <v>2417</v>
      </c>
      <c r="D2519" s="13">
        <v>7891991000826</v>
      </c>
    </row>
    <row r="2520" spans="1:4">
      <c r="A2520" s="70" t="s">
        <v>3061</v>
      </c>
      <c r="B2520" s="17" t="s">
        <v>2283</v>
      </c>
      <c r="C2520" s="72" t="s">
        <v>2440</v>
      </c>
      <c r="D2520" s="75">
        <v>7891991015103</v>
      </c>
    </row>
    <row r="2521" spans="1:4">
      <c r="A2521" s="70" t="s">
        <v>3061</v>
      </c>
      <c r="B2521" s="17" t="s">
        <v>2283</v>
      </c>
      <c r="C2521" s="72" t="s">
        <v>165</v>
      </c>
      <c r="D2521" s="75">
        <v>7891991002189</v>
      </c>
    </row>
    <row r="2522" spans="1:4">
      <c r="A2522" s="70" t="s">
        <v>3061</v>
      </c>
      <c r="B2522" s="17" t="s">
        <v>2283</v>
      </c>
      <c r="C2522" s="16" t="s">
        <v>3063</v>
      </c>
      <c r="D2522" s="13">
        <v>7891991000727</v>
      </c>
    </row>
    <row r="2523" spans="1:4">
      <c r="A2523" s="70" t="s">
        <v>3061</v>
      </c>
      <c r="B2523" s="17" t="s">
        <v>2283</v>
      </c>
      <c r="C2523" s="72" t="s">
        <v>3064</v>
      </c>
      <c r="D2523" s="13">
        <v>7891991002288</v>
      </c>
    </row>
    <row r="2524" spans="1:4">
      <c r="A2524" s="70" t="s">
        <v>3062</v>
      </c>
      <c r="B2524" s="17" t="s">
        <v>2283</v>
      </c>
      <c r="C2524" s="16" t="s">
        <v>3065</v>
      </c>
      <c r="D2524" s="13">
        <v>7891991295055</v>
      </c>
    </row>
    <row r="2525" spans="1:4">
      <c r="A2525" s="70" t="s">
        <v>3062</v>
      </c>
      <c r="B2525" s="17" t="s">
        <v>2283</v>
      </c>
      <c r="C2525" s="72" t="s">
        <v>3066</v>
      </c>
      <c r="D2525" s="75">
        <v>7891991295062</v>
      </c>
    </row>
    <row r="2526" spans="1:4">
      <c r="A2526" s="70" t="s">
        <v>3060</v>
      </c>
      <c r="B2526" s="17" t="s">
        <v>2284</v>
      </c>
      <c r="C2526" s="16" t="s">
        <v>3067</v>
      </c>
      <c r="D2526" s="13">
        <v>7891031409121</v>
      </c>
    </row>
    <row r="2527" spans="1:4">
      <c r="A2527" s="70" t="s">
        <v>3070</v>
      </c>
      <c r="B2527" s="13" t="s">
        <v>2281</v>
      </c>
      <c r="C2527" s="16" t="s">
        <v>2020</v>
      </c>
      <c r="D2527" s="13">
        <v>7896004007427</v>
      </c>
    </row>
    <row r="2528" spans="1:4">
      <c r="A2528" s="10" t="s">
        <v>3240</v>
      </c>
      <c r="B2528" s="13" t="s">
        <v>2286</v>
      </c>
      <c r="C2528" s="16" t="s">
        <v>3072</v>
      </c>
      <c r="D2528" s="13">
        <v>7500435243650</v>
      </c>
    </row>
    <row r="2529" spans="1:4">
      <c r="A2529" s="10" t="s">
        <v>3240</v>
      </c>
      <c r="B2529" s="13" t="s">
        <v>2286</v>
      </c>
      <c r="C2529" s="16" t="s">
        <v>3073</v>
      </c>
      <c r="D2529" s="13">
        <v>7506339332643</v>
      </c>
    </row>
    <row r="2530" spans="1:4">
      <c r="A2530" s="10" t="s">
        <v>3240</v>
      </c>
      <c r="B2530" s="13" t="s">
        <v>2286</v>
      </c>
      <c r="C2530" s="16" t="s">
        <v>3074</v>
      </c>
      <c r="D2530" s="13">
        <v>7500435153850</v>
      </c>
    </row>
    <row r="2531" spans="1:4">
      <c r="A2531" s="10" t="s">
        <v>3240</v>
      </c>
      <c r="B2531" s="13" t="s">
        <v>2286</v>
      </c>
      <c r="C2531" s="16" t="s">
        <v>3075</v>
      </c>
      <c r="D2531" s="13">
        <v>7506339389876</v>
      </c>
    </row>
    <row r="2532" spans="1:4">
      <c r="A2532" s="10" t="s">
        <v>3240</v>
      </c>
      <c r="B2532" s="13" t="s">
        <v>2286</v>
      </c>
      <c r="C2532" s="16" t="s">
        <v>3076</v>
      </c>
      <c r="D2532" s="13">
        <v>7500435201285</v>
      </c>
    </row>
    <row r="2533" spans="1:4">
      <c r="A2533" s="10" t="s">
        <v>3240</v>
      </c>
      <c r="B2533" s="13" t="s">
        <v>2286</v>
      </c>
      <c r="C2533" s="16" t="s">
        <v>3077</v>
      </c>
      <c r="D2533" s="13">
        <v>7500435160001</v>
      </c>
    </row>
    <row r="2534" spans="1:4">
      <c r="A2534" s="10" t="s">
        <v>3240</v>
      </c>
      <c r="B2534" s="13" t="s">
        <v>2286</v>
      </c>
      <c r="C2534" s="16" t="s">
        <v>3078</v>
      </c>
      <c r="D2534" s="13">
        <v>7500435160018</v>
      </c>
    </row>
    <row r="2535" spans="1:4">
      <c r="A2535" s="10" t="s">
        <v>3240</v>
      </c>
      <c r="B2535" s="13" t="s">
        <v>2286</v>
      </c>
      <c r="C2535" s="16" t="s">
        <v>3079</v>
      </c>
      <c r="D2535" s="13">
        <v>7500435156967</v>
      </c>
    </row>
    <row r="2536" spans="1:4">
      <c r="A2536" s="70" t="s">
        <v>3068</v>
      </c>
      <c r="B2536" s="13" t="s">
        <v>2283</v>
      </c>
      <c r="C2536" s="16" t="s">
        <v>3080</v>
      </c>
      <c r="D2536" s="13">
        <v>7898132846664</v>
      </c>
    </row>
    <row r="2537" spans="1:4">
      <c r="A2537" s="70" t="s">
        <v>3068</v>
      </c>
      <c r="B2537" s="13" t="s">
        <v>2283</v>
      </c>
      <c r="C2537" s="16" t="s">
        <v>3081</v>
      </c>
      <c r="D2537" s="13">
        <v>7898132846947</v>
      </c>
    </row>
    <row r="2538" spans="1:4">
      <c r="A2538" s="70" t="s">
        <v>3068</v>
      </c>
      <c r="B2538" s="13" t="s">
        <v>2283</v>
      </c>
      <c r="C2538" s="16" t="s">
        <v>3082</v>
      </c>
      <c r="D2538" s="13">
        <v>7898132846862</v>
      </c>
    </row>
    <row r="2539" spans="1:4">
      <c r="A2539" s="70" t="s">
        <v>3068</v>
      </c>
      <c r="B2539" s="13" t="s">
        <v>2283</v>
      </c>
      <c r="C2539" s="16" t="s">
        <v>3083</v>
      </c>
      <c r="D2539" s="13">
        <v>7898132844493</v>
      </c>
    </row>
    <row r="2540" spans="1:4">
      <c r="A2540" s="70" t="s">
        <v>3071</v>
      </c>
      <c r="B2540" s="13" t="s">
        <v>2288</v>
      </c>
      <c r="C2540" s="16" t="s">
        <v>3084</v>
      </c>
      <c r="D2540" s="13">
        <v>7891999006271</v>
      </c>
    </row>
    <row r="2541" spans="1:4">
      <c r="A2541" s="70" t="s">
        <v>3087</v>
      </c>
      <c r="B2541" s="13" t="s">
        <v>2283</v>
      </c>
      <c r="C2541" s="16" t="s">
        <v>3088</v>
      </c>
      <c r="D2541" s="13">
        <v>7891050000101</v>
      </c>
    </row>
    <row r="2542" spans="1:4">
      <c r="A2542" s="70" t="s">
        <v>3089</v>
      </c>
      <c r="B2542" s="13" t="s">
        <v>2288</v>
      </c>
      <c r="C2542" s="16" t="s">
        <v>3090</v>
      </c>
      <c r="D2542" s="13">
        <v>7891025124269</v>
      </c>
    </row>
    <row r="2543" spans="1:4">
      <c r="A2543" s="70" t="s">
        <v>3089</v>
      </c>
      <c r="B2543" s="13" t="s">
        <v>2288</v>
      </c>
      <c r="C2543" s="16" t="s">
        <v>3091</v>
      </c>
      <c r="D2543" s="13">
        <v>7891025124252</v>
      </c>
    </row>
    <row r="2544" spans="1:4">
      <c r="A2544" s="10" t="s">
        <v>3092</v>
      </c>
      <c r="B2544" s="17" t="s">
        <v>2299</v>
      </c>
      <c r="C2544" s="16" t="s">
        <v>3093</v>
      </c>
      <c r="D2544" s="13">
        <v>618341046290</v>
      </c>
    </row>
    <row r="2545" spans="1:4">
      <c r="A2545" s="70" t="s">
        <v>3095</v>
      </c>
      <c r="B2545" s="13" t="s">
        <v>2287</v>
      </c>
      <c r="C2545" s="16" t="s">
        <v>3096</v>
      </c>
      <c r="D2545" s="13">
        <v>7896075028239</v>
      </c>
    </row>
    <row r="2546" spans="1:4">
      <c r="A2546" s="10" t="s">
        <v>3098</v>
      </c>
      <c r="B2546" s="17" t="s">
        <v>2283</v>
      </c>
      <c r="C2546" s="16" t="s">
        <v>164</v>
      </c>
      <c r="D2546" s="13">
        <v>7896045523412</v>
      </c>
    </row>
    <row r="2547" spans="1:4">
      <c r="A2547" s="10" t="s">
        <v>3098</v>
      </c>
      <c r="B2547" s="17" t="s">
        <v>2283</v>
      </c>
      <c r="C2547" s="72" t="s">
        <v>216</v>
      </c>
      <c r="D2547" s="75">
        <v>7896045501038</v>
      </c>
    </row>
    <row r="2548" spans="1:4">
      <c r="A2548" s="10" t="s">
        <v>3098</v>
      </c>
      <c r="B2548" s="17" t="s">
        <v>2283</v>
      </c>
      <c r="C2548" s="16" t="s">
        <v>2847</v>
      </c>
      <c r="D2548" s="13">
        <v>7896045506873</v>
      </c>
    </row>
    <row r="2549" spans="1:4">
      <c r="A2549" s="10" t="s">
        <v>3098</v>
      </c>
      <c r="B2549" s="17" t="s">
        <v>2283</v>
      </c>
      <c r="C2549" s="72" t="s">
        <v>2848</v>
      </c>
      <c r="D2549" s="75">
        <v>7896045506880</v>
      </c>
    </row>
    <row r="2550" spans="1:4">
      <c r="A2550" s="10" t="s">
        <v>3098</v>
      </c>
      <c r="B2550" s="13" t="s">
        <v>2283</v>
      </c>
      <c r="C2550" s="16" t="s">
        <v>2529</v>
      </c>
      <c r="D2550" s="13">
        <v>7896045506064</v>
      </c>
    </row>
    <row r="2551" spans="1:4">
      <c r="A2551" s="10" t="s">
        <v>3098</v>
      </c>
      <c r="B2551" s="13" t="s">
        <v>2283</v>
      </c>
      <c r="C2551" s="72" t="s">
        <v>2961</v>
      </c>
      <c r="D2551" s="75">
        <v>7896045506927</v>
      </c>
    </row>
    <row r="2552" spans="1:4">
      <c r="A2552" s="10" t="s">
        <v>3098</v>
      </c>
      <c r="B2552" s="13" t="s">
        <v>2283</v>
      </c>
      <c r="C2552" s="16" t="s">
        <v>2958</v>
      </c>
      <c r="D2552" s="13">
        <v>7896045506910</v>
      </c>
    </row>
    <row r="2553" spans="1:4">
      <c r="A2553" s="70" t="s">
        <v>3097</v>
      </c>
      <c r="B2553" s="17" t="s">
        <v>2283</v>
      </c>
      <c r="C2553" s="16" t="s">
        <v>1869</v>
      </c>
      <c r="D2553" s="13">
        <v>8001929136377</v>
      </c>
    </row>
    <row r="2554" spans="1:4">
      <c r="A2554" s="70" t="s">
        <v>3097</v>
      </c>
      <c r="B2554" s="17" t="s">
        <v>2283</v>
      </c>
      <c r="C2554" s="16" t="s">
        <v>1870</v>
      </c>
      <c r="D2554" s="13">
        <v>8001929241545</v>
      </c>
    </row>
    <row r="2555" spans="1:4">
      <c r="A2555" s="70" t="s">
        <v>3097</v>
      </c>
      <c r="B2555" s="17" t="s">
        <v>2283</v>
      </c>
      <c r="C2555" s="16" t="s">
        <v>1871</v>
      </c>
      <c r="D2555" s="13">
        <v>8001929136353</v>
      </c>
    </row>
    <row r="2556" spans="1:4">
      <c r="A2556" s="70" t="s">
        <v>3099</v>
      </c>
      <c r="B2556" s="17" t="s">
        <v>2281</v>
      </c>
      <c r="C2556" s="16" t="s">
        <v>911</v>
      </c>
      <c r="D2556" s="13">
        <v>7898215157359</v>
      </c>
    </row>
    <row r="2557" spans="1:4">
      <c r="A2557" s="70" t="s">
        <v>3099</v>
      </c>
      <c r="B2557" s="17" t="s">
        <v>2281</v>
      </c>
      <c r="C2557" s="16" t="s">
        <v>939</v>
      </c>
      <c r="D2557" s="13">
        <v>7898215157458</v>
      </c>
    </row>
    <row r="2558" spans="1:4">
      <c r="A2558" s="70" t="s">
        <v>3099</v>
      </c>
      <c r="B2558" s="17" t="s">
        <v>2281</v>
      </c>
      <c r="C2558" s="16" t="s">
        <v>2745</v>
      </c>
      <c r="D2558" s="13">
        <v>7891000106754</v>
      </c>
    </row>
    <row r="2559" spans="1:4">
      <c r="A2559" s="70" t="s">
        <v>3099</v>
      </c>
      <c r="B2559" s="17" t="s">
        <v>2281</v>
      </c>
      <c r="C2559" s="16" t="s">
        <v>2620</v>
      </c>
      <c r="D2559" s="13">
        <v>7898215157434</v>
      </c>
    </row>
    <row r="2560" spans="1:4">
      <c r="A2560" s="70" t="s">
        <v>3099</v>
      </c>
      <c r="B2560" s="17" t="s">
        <v>2281</v>
      </c>
      <c r="C2560" s="16" t="s">
        <v>2621</v>
      </c>
      <c r="D2560" s="13">
        <v>7891000119495</v>
      </c>
    </row>
    <row r="2561" spans="1:4">
      <c r="A2561" s="70" t="s">
        <v>3099</v>
      </c>
      <c r="B2561" s="17" t="s">
        <v>2281</v>
      </c>
      <c r="C2561" s="72" t="s">
        <v>932</v>
      </c>
      <c r="D2561" s="13">
        <v>7891000106761</v>
      </c>
    </row>
    <row r="2562" spans="1:4">
      <c r="A2562" s="70" t="s">
        <v>3099</v>
      </c>
      <c r="B2562" s="17" t="s">
        <v>2281</v>
      </c>
      <c r="C2562" s="72" t="s">
        <v>932</v>
      </c>
      <c r="D2562" s="13">
        <v>7898215157455</v>
      </c>
    </row>
    <row r="2563" spans="1:4">
      <c r="A2563" s="70" t="s">
        <v>3099</v>
      </c>
      <c r="B2563" s="17" t="s">
        <v>2281</v>
      </c>
      <c r="C2563" s="72" t="s">
        <v>2633</v>
      </c>
      <c r="D2563" s="13">
        <v>7898215157417</v>
      </c>
    </row>
    <row r="2564" spans="1:4">
      <c r="A2564" s="70" t="s">
        <v>1462</v>
      </c>
      <c r="B2564" s="17" t="s">
        <v>2285</v>
      </c>
      <c r="C2564" s="16" t="s">
        <v>3100</v>
      </c>
      <c r="D2564" s="13">
        <v>7500435233644</v>
      </c>
    </row>
    <row r="2565" spans="1:4">
      <c r="A2565" s="10" t="s">
        <v>3106</v>
      </c>
      <c r="B2565" s="17" t="s">
        <v>2281</v>
      </c>
      <c r="C2565" s="16" t="s">
        <v>2026</v>
      </c>
      <c r="D2565" s="13">
        <v>7896003738568</v>
      </c>
    </row>
    <row r="2566" spans="1:4">
      <c r="A2566" s="10" t="s">
        <v>3106</v>
      </c>
      <c r="B2566" s="17" t="s">
        <v>2281</v>
      </c>
      <c r="C2566" s="16" t="s">
        <v>1971</v>
      </c>
      <c r="D2566" s="13">
        <v>7896003738582</v>
      </c>
    </row>
    <row r="2567" spans="1:4">
      <c r="A2567" s="10" t="s">
        <v>3106</v>
      </c>
      <c r="B2567" s="17" t="s">
        <v>2281</v>
      </c>
      <c r="C2567" s="16" t="s">
        <v>1976</v>
      </c>
      <c r="D2567" s="13">
        <v>7896003738520</v>
      </c>
    </row>
    <row r="2568" spans="1:4">
      <c r="A2568" s="10" t="s">
        <v>3106</v>
      </c>
      <c r="B2568" s="17" t="s">
        <v>2281</v>
      </c>
      <c r="C2568" s="16" t="s">
        <v>1972</v>
      </c>
      <c r="D2568" s="13">
        <v>7896003738575</v>
      </c>
    </row>
    <row r="2569" spans="1:4">
      <c r="A2569" s="10" t="s">
        <v>3106</v>
      </c>
      <c r="B2569" s="17" t="s">
        <v>2281</v>
      </c>
      <c r="C2569" s="16" t="s">
        <v>2028</v>
      </c>
      <c r="D2569" s="13">
        <v>7896003738551</v>
      </c>
    </row>
    <row r="2570" spans="1:4">
      <c r="A2570" s="10" t="s">
        <v>600</v>
      </c>
      <c r="B2570" s="17" t="s">
        <v>2283</v>
      </c>
      <c r="C2570" s="16" t="s">
        <v>626</v>
      </c>
      <c r="D2570" s="13">
        <v>7896023080043</v>
      </c>
    </row>
    <row r="2571" spans="1:4">
      <c r="A2571" s="10" t="s">
        <v>600</v>
      </c>
      <c r="B2571" s="17" t="s">
        <v>2283</v>
      </c>
      <c r="C2571" s="16" t="s">
        <v>627</v>
      </c>
      <c r="D2571" s="13">
        <v>7896023081477</v>
      </c>
    </row>
    <row r="2572" spans="1:4">
      <c r="A2572" s="10" t="s">
        <v>600</v>
      </c>
      <c r="B2572" s="17" t="s">
        <v>2283</v>
      </c>
      <c r="C2572" s="16" t="s">
        <v>628</v>
      </c>
      <c r="D2572" s="13">
        <v>7896023081415</v>
      </c>
    </row>
    <row r="2573" spans="1:4">
      <c r="A2573" s="10" t="s">
        <v>600</v>
      </c>
      <c r="B2573" s="17" t="s">
        <v>2283</v>
      </c>
      <c r="C2573" s="16" t="s">
        <v>1840</v>
      </c>
      <c r="D2573" s="13">
        <v>7896023010750</v>
      </c>
    </row>
    <row r="2574" spans="1:4">
      <c r="A2574" s="10" t="s">
        <v>600</v>
      </c>
      <c r="B2574" s="17" t="s">
        <v>2283</v>
      </c>
      <c r="C2574" s="16" t="s">
        <v>629</v>
      </c>
      <c r="D2574" s="13">
        <v>7896023084096</v>
      </c>
    </row>
    <row r="2575" spans="1:4">
      <c r="A2575" s="70" t="s">
        <v>3104</v>
      </c>
      <c r="B2575" s="17" t="s">
        <v>2285</v>
      </c>
      <c r="C2575" s="16" t="s">
        <v>3107</v>
      </c>
      <c r="D2575" s="13">
        <v>7896049527805</v>
      </c>
    </row>
    <row r="2576" spans="1:4">
      <c r="A2576" s="70" t="s">
        <v>3104</v>
      </c>
      <c r="B2576" s="17" t="s">
        <v>2285</v>
      </c>
      <c r="C2576" s="16" t="s">
        <v>3108</v>
      </c>
      <c r="D2576" s="13">
        <v>7896049527782</v>
      </c>
    </row>
    <row r="2577" spans="1:4">
      <c r="A2577" s="70" t="s">
        <v>3104</v>
      </c>
      <c r="B2577" s="17" t="s">
        <v>2285</v>
      </c>
      <c r="C2577" s="16" t="s">
        <v>3109</v>
      </c>
      <c r="D2577" s="13">
        <v>7896049527775</v>
      </c>
    </row>
    <row r="2578" spans="1:4">
      <c r="A2578" s="70" t="s">
        <v>3104</v>
      </c>
      <c r="B2578" s="17" t="s">
        <v>2285</v>
      </c>
      <c r="C2578" s="16" t="s">
        <v>3110</v>
      </c>
      <c r="D2578" s="13">
        <v>7896049527768</v>
      </c>
    </row>
    <row r="2579" spans="1:4">
      <c r="A2579" s="70" t="s">
        <v>3104</v>
      </c>
      <c r="B2579" s="17" t="s">
        <v>2285</v>
      </c>
      <c r="C2579" s="16" t="s">
        <v>3111</v>
      </c>
      <c r="D2579" s="13">
        <v>7896049527799</v>
      </c>
    </row>
    <row r="2580" spans="1:4">
      <c r="A2580" s="10" t="s">
        <v>3105</v>
      </c>
      <c r="B2580" s="17" t="s">
        <v>2285</v>
      </c>
      <c r="C2580" s="16" t="s">
        <v>3112</v>
      </c>
      <c r="D2580" s="13">
        <v>7896049508774</v>
      </c>
    </row>
    <row r="2581" spans="1:4">
      <c r="A2581" s="10" t="s">
        <v>3105</v>
      </c>
      <c r="B2581" s="17" t="s">
        <v>2285</v>
      </c>
      <c r="C2581" s="16" t="s">
        <v>3113</v>
      </c>
      <c r="D2581" s="13">
        <v>7896049508767</v>
      </c>
    </row>
    <row r="2582" spans="1:4">
      <c r="A2582" s="10" t="s">
        <v>3105</v>
      </c>
      <c r="B2582" s="17" t="s">
        <v>2285</v>
      </c>
      <c r="C2582" s="16" t="s">
        <v>3114</v>
      </c>
      <c r="D2582" s="13">
        <v>7896049508736</v>
      </c>
    </row>
    <row r="2583" spans="1:4">
      <c r="A2583" s="10" t="s">
        <v>3105</v>
      </c>
      <c r="B2583" s="17" t="s">
        <v>2285</v>
      </c>
      <c r="C2583" s="16" t="s">
        <v>3115</v>
      </c>
      <c r="D2583" s="13">
        <v>7896049508712</v>
      </c>
    </row>
    <row r="2584" spans="1:4">
      <c r="A2584" s="10" t="s">
        <v>3105</v>
      </c>
      <c r="B2584" s="17" t="s">
        <v>2285</v>
      </c>
      <c r="C2584" s="16" t="s">
        <v>3116</v>
      </c>
      <c r="D2584" s="13">
        <v>7896049508743</v>
      </c>
    </row>
    <row r="2585" spans="1:4">
      <c r="A2585" s="10" t="s">
        <v>3105</v>
      </c>
      <c r="B2585" s="17" t="s">
        <v>2285</v>
      </c>
      <c r="C2585" s="16" t="s">
        <v>3117</v>
      </c>
      <c r="D2585" s="13">
        <v>7896049508750</v>
      </c>
    </row>
    <row r="2586" spans="1:4">
      <c r="A2586" s="10" t="s">
        <v>3145</v>
      </c>
      <c r="B2586" s="13" t="s">
        <v>2286</v>
      </c>
      <c r="C2586" s="16" t="s">
        <v>2706</v>
      </c>
      <c r="D2586" s="13">
        <v>7896098909904</v>
      </c>
    </row>
    <row r="2587" spans="1:4">
      <c r="A2587" s="10" t="s">
        <v>3145</v>
      </c>
      <c r="B2587" s="13" t="s">
        <v>2286</v>
      </c>
      <c r="C2587" s="16" t="s">
        <v>2707</v>
      </c>
      <c r="D2587" s="13">
        <v>7896098909959</v>
      </c>
    </row>
    <row r="2588" spans="1:4">
      <c r="A2588" s="70" t="s">
        <v>3101</v>
      </c>
      <c r="B2588" s="13" t="s">
        <v>2640</v>
      </c>
      <c r="C2588" s="16" t="s">
        <v>3118</v>
      </c>
      <c r="D2588" s="13">
        <v>7790070225580</v>
      </c>
    </row>
    <row r="2589" spans="1:4">
      <c r="A2589" s="70" t="s">
        <v>3102</v>
      </c>
      <c r="B2589" s="13" t="s">
        <v>2281</v>
      </c>
      <c r="C2589" s="16" t="s">
        <v>3119</v>
      </c>
      <c r="D2589" s="13">
        <v>7898944774261</v>
      </c>
    </row>
    <row r="2590" spans="1:4">
      <c r="A2590" s="70" t="s">
        <v>3102</v>
      </c>
      <c r="B2590" s="13" t="s">
        <v>2281</v>
      </c>
      <c r="C2590" s="16" t="s">
        <v>3120</v>
      </c>
      <c r="D2590" s="13">
        <v>7898944774254</v>
      </c>
    </row>
    <row r="2591" spans="1:4">
      <c r="A2591" s="70" t="s">
        <v>3102</v>
      </c>
      <c r="B2591" s="13" t="s">
        <v>2281</v>
      </c>
      <c r="C2591" s="16" t="s">
        <v>3121</v>
      </c>
      <c r="D2591" s="13">
        <v>7898944774278</v>
      </c>
    </row>
    <row r="2592" spans="1:4">
      <c r="A2592" s="10" t="s">
        <v>3105</v>
      </c>
      <c r="B2592" s="17" t="s">
        <v>2285</v>
      </c>
      <c r="C2592" s="16" t="s">
        <v>3122</v>
      </c>
      <c r="D2592" s="13">
        <v>7896049508729</v>
      </c>
    </row>
    <row r="2593" spans="1:4">
      <c r="A2593" s="10" t="s">
        <v>3124</v>
      </c>
      <c r="B2593" s="13" t="s">
        <v>2283</v>
      </c>
      <c r="C2593" s="16" t="s">
        <v>3125</v>
      </c>
      <c r="D2593" s="13">
        <v>7891991010481</v>
      </c>
    </row>
    <row r="2594" spans="1:4">
      <c r="A2594" s="10" t="s">
        <v>3124</v>
      </c>
      <c r="B2594" s="13" t="s">
        <v>2283</v>
      </c>
      <c r="C2594" s="72" t="s">
        <v>2493</v>
      </c>
      <c r="D2594" s="75">
        <v>7891991296342</v>
      </c>
    </row>
    <row r="2595" spans="1:4">
      <c r="A2595" s="10" t="s">
        <v>3124</v>
      </c>
      <c r="B2595" s="13" t="s">
        <v>2283</v>
      </c>
      <c r="C2595" s="72" t="s">
        <v>2493</v>
      </c>
      <c r="D2595" s="75">
        <v>7891991010863</v>
      </c>
    </row>
    <row r="2596" spans="1:4">
      <c r="A2596" s="10" t="s">
        <v>3124</v>
      </c>
      <c r="B2596" s="13" t="s">
        <v>2283</v>
      </c>
      <c r="C2596" s="72" t="s">
        <v>2493</v>
      </c>
      <c r="D2596" s="75">
        <v>7891991010825</v>
      </c>
    </row>
    <row r="2597" spans="1:4">
      <c r="A2597" s="10" t="s">
        <v>3123</v>
      </c>
      <c r="B2597" s="17" t="s">
        <v>2285</v>
      </c>
      <c r="C2597" s="16" t="s">
        <v>3126</v>
      </c>
      <c r="D2597" s="13">
        <v>7898962794180</v>
      </c>
    </row>
    <row r="2598" spans="1:4">
      <c r="A2598" s="70" t="s">
        <v>3129</v>
      </c>
      <c r="B2598" s="13" t="s">
        <v>2283</v>
      </c>
      <c r="C2598" s="16" t="s">
        <v>3130</v>
      </c>
      <c r="D2598" s="13">
        <v>7891991304870</v>
      </c>
    </row>
    <row r="2599" spans="1:4">
      <c r="A2599" s="70" t="s">
        <v>3127</v>
      </c>
      <c r="B2599" s="13" t="s">
        <v>2283</v>
      </c>
      <c r="C2599" s="16" t="s">
        <v>3131</v>
      </c>
      <c r="D2599" s="13">
        <v>7898215157120</v>
      </c>
    </row>
    <row r="2600" spans="1:4">
      <c r="A2600" s="70" t="s">
        <v>3127</v>
      </c>
      <c r="B2600" s="13" t="s">
        <v>2283</v>
      </c>
      <c r="C2600" s="16" t="s">
        <v>3132</v>
      </c>
      <c r="D2600" s="13">
        <v>7898215157113</v>
      </c>
    </row>
    <row r="2601" spans="1:4">
      <c r="A2601" s="70" t="s">
        <v>3127</v>
      </c>
      <c r="B2601" s="13" t="s">
        <v>2283</v>
      </c>
      <c r="C2601" s="16" t="s">
        <v>3133</v>
      </c>
      <c r="D2601" s="13">
        <v>7898215157106</v>
      </c>
    </row>
    <row r="2602" spans="1:4">
      <c r="A2602" s="70" t="s">
        <v>3127</v>
      </c>
      <c r="B2602" s="13" t="s">
        <v>2283</v>
      </c>
      <c r="C2602" s="16" t="s">
        <v>3134</v>
      </c>
      <c r="D2602" s="13">
        <v>7898215157175</v>
      </c>
    </row>
    <row r="2603" spans="1:4">
      <c r="A2603" s="70" t="s">
        <v>3128</v>
      </c>
      <c r="B2603" s="13" t="s">
        <v>2283</v>
      </c>
      <c r="C2603" s="16" t="s">
        <v>3135</v>
      </c>
      <c r="D2603" s="13">
        <v>7898215157977</v>
      </c>
    </row>
    <row r="2604" spans="1:4">
      <c r="A2604" s="70" t="s">
        <v>3128</v>
      </c>
      <c r="B2604" s="13" t="s">
        <v>2283</v>
      </c>
      <c r="C2604" s="16" t="s">
        <v>3136</v>
      </c>
      <c r="D2604" s="13">
        <v>7898215157854</v>
      </c>
    </row>
    <row r="2605" spans="1:4">
      <c r="A2605" s="70" t="s">
        <v>3128</v>
      </c>
      <c r="B2605" s="13" t="s">
        <v>2283</v>
      </c>
      <c r="C2605" s="16" t="s">
        <v>3137</v>
      </c>
      <c r="D2605" s="13">
        <v>7898215157861</v>
      </c>
    </row>
    <row r="2606" spans="1:4">
      <c r="A2606" s="70" t="s">
        <v>3128</v>
      </c>
      <c r="B2606" s="13" t="s">
        <v>2283</v>
      </c>
      <c r="C2606" s="16" t="s">
        <v>3138</v>
      </c>
      <c r="D2606" s="13">
        <v>7898215157847</v>
      </c>
    </row>
    <row r="2607" spans="1:4">
      <c r="A2607" s="10" t="s">
        <v>3129</v>
      </c>
      <c r="B2607" s="13" t="s">
        <v>2283</v>
      </c>
      <c r="C2607" s="72" t="s">
        <v>3139</v>
      </c>
      <c r="D2607" s="75">
        <v>7891991304887</v>
      </c>
    </row>
    <row r="2608" spans="1:4">
      <c r="A2608" s="10" t="s">
        <v>3140</v>
      </c>
      <c r="B2608" s="17" t="s">
        <v>2299</v>
      </c>
      <c r="C2608" s="16" t="s">
        <v>3142</v>
      </c>
      <c r="D2608" s="13">
        <v>618341046245</v>
      </c>
    </row>
    <row r="2609" spans="1:4" ht="15" customHeight="1">
      <c r="A2609" s="70" t="s">
        <v>3141</v>
      </c>
      <c r="B2609" s="13" t="s">
        <v>2281</v>
      </c>
      <c r="C2609" s="16" t="s">
        <v>3143</v>
      </c>
      <c r="D2609" s="13">
        <v>7898920041448</v>
      </c>
    </row>
    <row r="2610" spans="1:4">
      <c r="A2610" s="10" t="s">
        <v>3140</v>
      </c>
      <c r="B2610" s="17" t="s">
        <v>2299</v>
      </c>
      <c r="C2610" s="16" t="s">
        <v>3144</v>
      </c>
      <c r="D2610" s="13">
        <v>7898951441200</v>
      </c>
    </row>
    <row r="2611" spans="1:4">
      <c r="A2611" s="70" t="s">
        <v>3146</v>
      </c>
      <c r="B2611" s="13" t="s">
        <v>2283</v>
      </c>
      <c r="C2611" s="16" t="s">
        <v>3147</v>
      </c>
      <c r="D2611" s="13">
        <v>7891050000460</v>
      </c>
    </row>
    <row r="2612" spans="1:4">
      <c r="A2612" s="10" t="s">
        <v>3150</v>
      </c>
      <c r="B2612" s="13" t="s">
        <v>2285</v>
      </c>
      <c r="C2612" s="16" t="s">
        <v>3152</v>
      </c>
      <c r="D2612" s="13">
        <v>7898962794289</v>
      </c>
    </row>
    <row r="2613" spans="1:4">
      <c r="A2613" s="70" t="s">
        <v>3149</v>
      </c>
      <c r="B2613" s="13" t="s">
        <v>2281</v>
      </c>
      <c r="C2613" s="16" t="s">
        <v>3153</v>
      </c>
      <c r="D2613" s="13">
        <v>7896005800706</v>
      </c>
    </row>
    <row r="2614" spans="1:4">
      <c r="A2614" s="70" t="s">
        <v>3149</v>
      </c>
      <c r="B2614" s="13" t="s">
        <v>2281</v>
      </c>
      <c r="C2614" s="16" t="s">
        <v>3154</v>
      </c>
      <c r="D2614" s="13">
        <v>7896005800683</v>
      </c>
    </row>
    <row r="2615" spans="1:4">
      <c r="A2615" s="70" t="s">
        <v>3149</v>
      </c>
      <c r="B2615" s="13" t="s">
        <v>2281</v>
      </c>
      <c r="C2615" s="16" t="s">
        <v>3155</v>
      </c>
      <c r="D2615" s="13">
        <v>7896005801154</v>
      </c>
    </row>
    <row r="2616" spans="1:4">
      <c r="A2616" s="70" t="s">
        <v>3156</v>
      </c>
      <c r="B2616" s="13" t="s">
        <v>2286</v>
      </c>
      <c r="C2616" s="16" t="s">
        <v>3160</v>
      </c>
      <c r="D2616" s="13">
        <v>7896085124136</v>
      </c>
    </row>
    <row r="2617" spans="1:4">
      <c r="A2617" s="70" t="s">
        <v>3156</v>
      </c>
      <c r="B2617" s="13" t="s">
        <v>2286</v>
      </c>
      <c r="C2617" s="16" t="s">
        <v>3161</v>
      </c>
      <c r="D2617" s="13">
        <v>7896085124143</v>
      </c>
    </row>
    <row r="2618" spans="1:4">
      <c r="A2618" s="70" t="s">
        <v>3156</v>
      </c>
      <c r="B2618" s="13" t="s">
        <v>2286</v>
      </c>
      <c r="C2618" s="16" t="s">
        <v>3162</v>
      </c>
      <c r="D2618" s="13">
        <v>7896183311841</v>
      </c>
    </row>
    <row r="2619" spans="1:4">
      <c r="A2619" s="70" t="s">
        <v>3156</v>
      </c>
      <c r="B2619" s="13" t="s">
        <v>2286</v>
      </c>
      <c r="C2619" s="16" t="s">
        <v>3163</v>
      </c>
      <c r="D2619" s="13">
        <v>7896085123009</v>
      </c>
    </row>
    <row r="2620" spans="1:4">
      <c r="A2620" s="70" t="s">
        <v>3156</v>
      </c>
      <c r="B2620" s="13" t="s">
        <v>2286</v>
      </c>
      <c r="C2620" s="16" t="s">
        <v>3164</v>
      </c>
      <c r="D2620" s="13">
        <v>7896085123092</v>
      </c>
    </row>
    <row r="2621" spans="1:4">
      <c r="A2621" s="70" t="s">
        <v>3157</v>
      </c>
      <c r="B2621" s="13" t="s">
        <v>2287</v>
      </c>
      <c r="C2621" s="16" t="s">
        <v>3165</v>
      </c>
      <c r="D2621" s="13">
        <v>7909937976002</v>
      </c>
    </row>
    <row r="2622" spans="1:4">
      <c r="A2622" s="70" t="s">
        <v>3157</v>
      </c>
      <c r="B2622" s="13" t="s">
        <v>2287</v>
      </c>
      <c r="C2622" s="16" t="s">
        <v>3165</v>
      </c>
      <c r="D2622" s="13">
        <v>7909937975906</v>
      </c>
    </row>
    <row r="2623" spans="1:4">
      <c r="A2623" s="70" t="s">
        <v>3158</v>
      </c>
      <c r="B2623" s="13" t="s">
        <v>2287</v>
      </c>
      <c r="C2623" s="16" t="s">
        <v>3166</v>
      </c>
      <c r="D2623" s="13">
        <v>7909937039677</v>
      </c>
    </row>
    <row r="2624" spans="1:4">
      <c r="A2624" s="70" t="s">
        <v>3159</v>
      </c>
      <c r="B2624" s="13" t="s">
        <v>2287</v>
      </c>
      <c r="C2624" s="16" t="s">
        <v>3167</v>
      </c>
      <c r="D2624" s="13">
        <v>7909806327485</v>
      </c>
    </row>
    <row r="2625" spans="1:4">
      <c r="A2625" s="10" t="s">
        <v>3169</v>
      </c>
      <c r="B2625" s="13" t="s">
        <v>2281</v>
      </c>
      <c r="C2625" s="16" t="s">
        <v>3170</v>
      </c>
      <c r="D2625" s="13">
        <v>7891330016068</v>
      </c>
    </row>
    <row r="2626" spans="1:4">
      <c r="A2626" s="10" t="s">
        <v>3169</v>
      </c>
      <c r="B2626" s="13" t="s">
        <v>2281</v>
      </c>
      <c r="C2626" s="16" t="s">
        <v>3171</v>
      </c>
      <c r="D2626" s="13">
        <v>7891330017140</v>
      </c>
    </row>
    <row r="2627" spans="1:4">
      <c r="A2627" s="10" t="s">
        <v>3168</v>
      </c>
      <c r="B2627" s="13" t="s">
        <v>2283</v>
      </c>
      <c r="C2627" s="16" t="s">
        <v>1077</v>
      </c>
      <c r="D2627" s="13">
        <v>7896855901417</v>
      </c>
    </row>
    <row r="2628" spans="1:4">
      <c r="A2628" s="70" t="s">
        <v>3172</v>
      </c>
      <c r="B2628" s="13" t="s">
        <v>2283</v>
      </c>
      <c r="C2628" s="16" t="s">
        <v>3174</v>
      </c>
      <c r="D2628" s="13">
        <v>7896097760162</v>
      </c>
    </row>
    <row r="2629" spans="1:4">
      <c r="A2629" s="70" t="s">
        <v>3172</v>
      </c>
      <c r="B2629" s="13" t="s">
        <v>2283</v>
      </c>
      <c r="C2629" s="16" t="s">
        <v>3175</v>
      </c>
      <c r="D2629" s="13">
        <v>7896097745817</v>
      </c>
    </row>
    <row r="2630" spans="1:4">
      <c r="A2630" s="10" t="s">
        <v>3173</v>
      </c>
      <c r="B2630" s="13" t="s">
        <v>2286</v>
      </c>
      <c r="C2630" s="16" t="s">
        <v>3176</v>
      </c>
      <c r="D2630" s="13">
        <v>7896098902400</v>
      </c>
    </row>
    <row r="2631" spans="1:4">
      <c r="A2631" s="10" t="s">
        <v>3173</v>
      </c>
      <c r="B2631" s="13" t="s">
        <v>2286</v>
      </c>
      <c r="C2631" s="16" t="s">
        <v>3177</v>
      </c>
      <c r="D2631" s="13">
        <v>7896098902394</v>
      </c>
    </row>
    <row r="2632" spans="1:4">
      <c r="A2632" s="10" t="s">
        <v>3173</v>
      </c>
      <c r="B2632" s="13" t="s">
        <v>2286</v>
      </c>
      <c r="C2632" s="16" t="s">
        <v>3178</v>
      </c>
      <c r="D2632" s="13">
        <v>7896098903032</v>
      </c>
    </row>
    <row r="2633" spans="1:4">
      <c r="A2633" s="10" t="s">
        <v>3173</v>
      </c>
      <c r="B2633" s="13" t="s">
        <v>2286</v>
      </c>
      <c r="C2633" s="16" t="s">
        <v>3179</v>
      </c>
      <c r="D2633" s="13">
        <v>7896098902417</v>
      </c>
    </row>
    <row r="2634" spans="1:4">
      <c r="A2634" s="70" t="s">
        <v>3180</v>
      </c>
      <c r="B2634" s="13" t="s">
        <v>2288</v>
      </c>
      <c r="C2634" s="16" t="s">
        <v>3181</v>
      </c>
      <c r="D2634" s="13">
        <v>7896625211234</v>
      </c>
    </row>
    <row r="2635" spans="1:4">
      <c r="A2635" s="70" t="s">
        <v>3180</v>
      </c>
      <c r="B2635" s="13" t="s">
        <v>2288</v>
      </c>
      <c r="C2635" s="16" t="s">
        <v>3182</v>
      </c>
      <c r="D2635" s="13">
        <v>7896625211227</v>
      </c>
    </row>
    <row r="2636" spans="1:4">
      <c r="A2636" s="70" t="s">
        <v>3127</v>
      </c>
      <c r="B2636" s="13" t="s">
        <v>2283</v>
      </c>
      <c r="C2636" s="16" t="s">
        <v>3183</v>
      </c>
      <c r="D2636" s="13">
        <v>7898215157694</v>
      </c>
    </row>
    <row r="2637" spans="1:4">
      <c r="A2637" s="70" t="s">
        <v>3185</v>
      </c>
      <c r="B2637" s="13" t="s">
        <v>2280</v>
      </c>
      <c r="C2637" s="16" t="s">
        <v>483</v>
      </c>
      <c r="D2637" s="13">
        <v>7896022200282</v>
      </c>
    </row>
    <row r="2638" spans="1:4">
      <c r="A2638" s="70" t="s">
        <v>3185</v>
      </c>
      <c r="B2638" s="13" t="s">
        <v>2280</v>
      </c>
      <c r="C2638" s="16" t="s">
        <v>482</v>
      </c>
      <c r="D2638" s="13">
        <v>7896022200275</v>
      </c>
    </row>
    <row r="2639" spans="1:4">
      <c r="A2639" s="70" t="s">
        <v>3185</v>
      </c>
      <c r="B2639" s="13" t="s">
        <v>2280</v>
      </c>
      <c r="C2639" s="16" t="s">
        <v>481</v>
      </c>
      <c r="D2639" s="13">
        <v>7896022205478</v>
      </c>
    </row>
    <row r="2640" spans="1:4">
      <c r="A2640" s="70" t="s">
        <v>3185</v>
      </c>
      <c r="B2640" s="13" t="s">
        <v>2280</v>
      </c>
      <c r="C2640" s="16" t="s">
        <v>480</v>
      </c>
      <c r="D2640" s="13">
        <v>7896022200206</v>
      </c>
    </row>
    <row r="2641" spans="1:4">
      <c r="A2641" s="70" t="s">
        <v>3185</v>
      </c>
      <c r="B2641" s="13" t="s">
        <v>2280</v>
      </c>
      <c r="C2641" s="16" t="s">
        <v>3189</v>
      </c>
      <c r="D2641" s="13">
        <v>7896022200213</v>
      </c>
    </row>
    <row r="2642" spans="1:4">
      <c r="A2642" s="70" t="s">
        <v>3186</v>
      </c>
      <c r="B2642" s="17" t="s">
        <v>2283</v>
      </c>
      <c r="C2642" s="16" t="s">
        <v>3190</v>
      </c>
      <c r="D2642" s="13">
        <v>7896097720111</v>
      </c>
    </row>
    <row r="2643" spans="1:4">
      <c r="A2643" s="70" t="s">
        <v>3186</v>
      </c>
      <c r="B2643" s="17" t="s">
        <v>2283</v>
      </c>
      <c r="C2643" s="16" t="s">
        <v>3191</v>
      </c>
      <c r="D2643" s="13">
        <v>7896097720128</v>
      </c>
    </row>
    <row r="2644" spans="1:4">
      <c r="A2644" s="70" t="s">
        <v>3187</v>
      </c>
      <c r="B2644" s="13" t="s">
        <v>2288</v>
      </c>
      <c r="C2644" s="16" t="s">
        <v>2970</v>
      </c>
      <c r="D2644" s="13">
        <v>7896074606940</v>
      </c>
    </row>
    <row r="2645" spans="1:4">
      <c r="A2645" s="70" t="s">
        <v>3188</v>
      </c>
      <c r="B2645" s="17" t="s">
        <v>2288</v>
      </c>
      <c r="C2645" s="16" t="s">
        <v>3192</v>
      </c>
      <c r="D2645" s="13">
        <v>7891999004833</v>
      </c>
    </row>
    <row r="2646" spans="1:4">
      <c r="A2646" s="70" t="s">
        <v>3184</v>
      </c>
      <c r="B2646" s="17" t="s">
        <v>2288</v>
      </c>
      <c r="C2646" s="16" t="s">
        <v>1207</v>
      </c>
      <c r="D2646" s="13">
        <v>7898553442933</v>
      </c>
    </row>
    <row r="2647" spans="1:4">
      <c r="A2647" s="70" t="s">
        <v>3193</v>
      </c>
      <c r="B2647" s="13" t="s">
        <v>2283</v>
      </c>
      <c r="C2647" s="16" t="s">
        <v>3194</v>
      </c>
      <c r="D2647" s="13">
        <v>82184038734</v>
      </c>
    </row>
    <row r="2648" spans="1:4">
      <c r="A2648" s="70" t="s">
        <v>68</v>
      </c>
      <c r="B2648" s="17" t="s">
        <v>2284</v>
      </c>
      <c r="C2648" s="16" t="s">
        <v>1071</v>
      </c>
      <c r="D2648" s="13">
        <v>7894321823096</v>
      </c>
    </row>
    <row r="2649" spans="1:4">
      <c r="A2649" s="70" t="s">
        <v>68</v>
      </c>
      <c r="B2649" s="17" t="s">
        <v>2284</v>
      </c>
      <c r="C2649" s="16" t="s">
        <v>1071</v>
      </c>
      <c r="D2649" s="13">
        <v>7896009301100</v>
      </c>
    </row>
    <row r="2650" spans="1:4">
      <c r="A2650" s="70" t="s">
        <v>3195</v>
      </c>
      <c r="B2650" s="17" t="s">
        <v>2284</v>
      </c>
      <c r="C2650" s="16" t="s">
        <v>586</v>
      </c>
      <c r="D2650" s="13">
        <v>7896009301155</v>
      </c>
    </row>
    <row r="2651" spans="1:4">
      <c r="A2651" s="70" t="s">
        <v>3195</v>
      </c>
      <c r="B2651" s="17" t="s">
        <v>2284</v>
      </c>
      <c r="C2651" s="16" t="s">
        <v>587</v>
      </c>
      <c r="D2651" s="13">
        <v>7894321824505</v>
      </c>
    </row>
    <row r="2652" spans="1:4">
      <c r="A2652" s="70" t="s">
        <v>3195</v>
      </c>
      <c r="B2652" s="17" t="s">
        <v>2284</v>
      </c>
      <c r="C2652" s="16" t="s">
        <v>588</v>
      </c>
      <c r="D2652" s="13">
        <v>7896009301148</v>
      </c>
    </row>
    <row r="2653" spans="1:4">
      <c r="A2653" s="70" t="s">
        <v>3195</v>
      </c>
      <c r="B2653" s="17" t="s">
        <v>2284</v>
      </c>
      <c r="C2653" s="16" t="s">
        <v>586</v>
      </c>
      <c r="D2653" s="13">
        <v>7894321821108</v>
      </c>
    </row>
    <row r="2654" spans="1:4">
      <c r="A2654" s="70" t="s">
        <v>3196</v>
      </c>
      <c r="B2654" s="17" t="s">
        <v>2284</v>
      </c>
      <c r="C2654" s="16" t="s">
        <v>513</v>
      </c>
      <c r="D2654" s="13">
        <v>7896114901738</v>
      </c>
    </row>
    <row r="2655" spans="1:4">
      <c r="A2655" s="70" t="s">
        <v>3196</v>
      </c>
      <c r="B2655" s="17" t="s">
        <v>2284</v>
      </c>
      <c r="C2655" s="16" t="s">
        <v>513</v>
      </c>
      <c r="D2655" s="13">
        <v>7896114900014</v>
      </c>
    </row>
    <row r="2656" spans="1:4">
      <c r="A2656" s="70" t="s">
        <v>3197</v>
      </c>
      <c r="B2656" s="17" t="s">
        <v>2283</v>
      </c>
      <c r="C2656" s="16" t="s">
        <v>162</v>
      </c>
      <c r="D2656" s="13">
        <v>78936683</v>
      </c>
    </row>
    <row r="2657" spans="1:4">
      <c r="A2657" s="70" t="s">
        <v>3197</v>
      </c>
      <c r="B2657" s="17" t="s">
        <v>2283</v>
      </c>
      <c r="C2657" s="72" t="s">
        <v>321</v>
      </c>
      <c r="D2657" s="75">
        <v>7896045505371</v>
      </c>
    </row>
    <row r="2658" spans="1:4">
      <c r="A2658" s="70" t="s">
        <v>3197</v>
      </c>
      <c r="B2658" s="17" t="s">
        <v>2283</v>
      </c>
      <c r="C2658" s="16" t="s">
        <v>162</v>
      </c>
      <c r="D2658" s="13">
        <v>7896045506040</v>
      </c>
    </row>
    <row r="2659" spans="1:4">
      <c r="A2659" s="70" t="s">
        <v>3197</v>
      </c>
      <c r="B2659" s="17" t="s">
        <v>2283</v>
      </c>
      <c r="C2659" s="72" t="s">
        <v>321</v>
      </c>
      <c r="D2659" s="75">
        <v>7896045506057</v>
      </c>
    </row>
    <row r="2660" spans="1:4">
      <c r="A2660" s="70" t="s">
        <v>3198</v>
      </c>
      <c r="B2660" s="13" t="s">
        <v>2288</v>
      </c>
      <c r="C2660" s="16" t="s">
        <v>3199</v>
      </c>
      <c r="D2660" s="13">
        <v>7896275970406</v>
      </c>
    </row>
    <row r="2661" spans="1:4">
      <c r="A2661" s="10" t="s">
        <v>3200</v>
      </c>
      <c r="B2661" s="13" t="s">
        <v>2280</v>
      </c>
      <c r="C2661" s="16" t="s">
        <v>3189</v>
      </c>
      <c r="D2661" s="13">
        <v>7896022200213</v>
      </c>
    </row>
    <row r="2662" spans="1:4">
      <c r="A2662" s="10" t="s">
        <v>3201</v>
      </c>
      <c r="B2662" s="17" t="s">
        <v>3406</v>
      </c>
      <c r="C2662" s="16" t="s">
        <v>3203</v>
      </c>
      <c r="D2662" s="13">
        <v>98526</v>
      </c>
    </row>
    <row r="2663" spans="1:4">
      <c r="A2663" s="10" t="s">
        <v>3201</v>
      </c>
      <c r="B2663" s="17" t="s">
        <v>3406</v>
      </c>
      <c r="C2663" s="16" t="s">
        <v>3204</v>
      </c>
      <c r="D2663" s="13">
        <v>98533</v>
      </c>
    </row>
    <row r="2664" spans="1:4">
      <c r="A2664" s="70" t="s">
        <v>3202</v>
      </c>
      <c r="B2664" s="13" t="s">
        <v>2282</v>
      </c>
      <c r="C2664" s="16" t="s">
        <v>3205</v>
      </c>
      <c r="D2664" s="13">
        <v>7891527062991</v>
      </c>
    </row>
    <row r="2665" spans="1:4">
      <c r="A2665" s="10" t="s">
        <v>3210</v>
      </c>
      <c r="B2665" s="13" t="s">
        <v>2281</v>
      </c>
      <c r="C2665" s="15" t="s">
        <v>3207</v>
      </c>
      <c r="D2665" s="13">
        <v>7897380000231</v>
      </c>
    </row>
    <row r="2666" spans="1:4">
      <c r="A2666" s="10" t="s">
        <v>3210</v>
      </c>
      <c r="B2666" s="13" t="s">
        <v>2281</v>
      </c>
      <c r="C2666" s="15" t="s">
        <v>3218</v>
      </c>
      <c r="D2666" s="13">
        <v>7896066767291</v>
      </c>
    </row>
    <row r="2667" spans="1:4">
      <c r="A2667" s="10" t="s">
        <v>3210</v>
      </c>
      <c r="B2667" s="13" t="s">
        <v>2281</v>
      </c>
      <c r="C2667" s="15" t="s">
        <v>3208</v>
      </c>
      <c r="D2667" s="13">
        <v>7897380000217</v>
      </c>
    </row>
    <row r="2668" spans="1:4">
      <c r="A2668" s="10" t="s">
        <v>3210</v>
      </c>
      <c r="B2668" s="13" t="s">
        <v>2281</v>
      </c>
      <c r="C2668" s="15" t="s">
        <v>3208</v>
      </c>
      <c r="D2668" s="13">
        <v>7896066767284</v>
      </c>
    </row>
    <row r="2669" spans="1:4">
      <c r="A2669" s="10" t="s">
        <v>3210</v>
      </c>
      <c r="B2669" s="13" t="s">
        <v>2281</v>
      </c>
      <c r="C2669" s="15" t="s">
        <v>3209</v>
      </c>
      <c r="D2669" s="13">
        <v>7896066767307</v>
      </c>
    </row>
    <row r="2670" spans="1:4">
      <c r="A2670" s="10" t="s">
        <v>3210</v>
      </c>
      <c r="B2670" s="13" t="s">
        <v>2281</v>
      </c>
      <c r="C2670" s="15" t="s">
        <v>3209</v>
      </c>
      <c r="D2670" s="13">
        <v>7897380000767</v>
      </c>
    </row>
    <row r="2671" spans="1:4">
      <c r="A2671" s="70" t="s">
        <v>3211</v>
      </c>
      <c r="B2671" s="13" t="s">
        <v>2288</v>
      </c>
      <c r="C2671" s="16" t="s">
        <v>2598</v>
      </c>
      <c r="D2671" s="13">
        <v>7891097011580</v>
      </c>
    </row>
    <row r="2672" spans="1:4">
      <c r="A2672" s="70" t="s">
        <v>3212</v>
      </c>
      <c r="B2672" s="17" t="s">
        <v>2288</v>
      </c>
      <c r="C2672" s="16" t="s">
        <v>787</v>
      </c>
      <c r="D2672" s="13">
        <v>7891999011039</v>
      </c>
    </row>
    <row r="2673" spans="1:4">
      <c r="A2673" s="70" t="s">
        <v>1403</v>
      </c>
      <c r="B2673" s="17" t="s">
        <v>2283</v>
      </c>
      <c r="C2673" s="16" t="s">
        <v>3213</v>
      </c>
      <c r="D2673" s="13">
        <v>7896266191001</v>
      </c>
    </row>
    <row r="2674" spans="1:4">
      <c r="A2674" s="70" t="s">
        <v>3214</v>
      </c>
      <c r="B2674" s="13" t="s">
        <v>2283</v>
      </c>
      <c r="C2674" s="16" t="s">
        <v>3133</v>
      </c>
      <c r="D2674" s="13">
        <v>7898215157106</v>
      </c>
    </row>
    <row r="2675" spans="1:4" ht="30">
      <c r="A2675" s="10" t="s">
        <v>3215</v>
      </c>
      <c r="B2675" s="17" t="s">
        <v>2286</v>
      </c>
      <c r="C2675" s="16" t="s">
        <v>2162</v>
      </c>
      <c r="D2675" s="13">
        <v>7896098900840</v>
      </c>
    </row>
    <row r="2676" spans="1:4">
      <c r="A2676" s="70" t="s">
        <v>3216</v>
      </c>
      <c r="B2676" s="13" t="s">
        <v>2286</v>
      </c>
      <c r="C2676" s="16" t="s">
        <v>2706</v>
      </c>
      <c r="D2676" s="13">
        <v>7896098909904</v>
      </c>
    </row>
    <row r="2677" spans="1:4">
      <c r="A2677" s="70" t="s">
        <v>3217</v>
      </c>
      <c r="B2677" s="17" t="s">
        <v>2282</v>
      </c>
      <c r="C2677" s="16" t="s">
        <v>645</v>
      </c>
      <c r="D2677" s="13">
        <v>7896074604496</v>
      </c>
    </row>
    <row r="2678" spans="1:4">
      <c r="A2678" s="70" t="s">
        <v>3219</v>
      </c>
      <c r="B2678" s="17" t="s">
        <v>2284</v>
      </c>
      <c r="C2678" s="16" t="s">
        <v>1273</v>
      </c>
      <c r="D2678" s="13">
        <v>7896009301193</v>
      </c>
    </row>
    <row r="2679" spans="1:4">
      <c r="A2679" s="70" t="s">
        <v>3219</v>
      </c>
      <c r="B2679" s="17" t="s">
        <v>2284</v>
      </c>
      <c r="C2679" s="16" t="s">
        <v>3220</v>
      </c>
      <c r="D2679" s="13">
        <v>7896009301179</v>
      </c>
    </row>
    <row r="2680" spans="1:4">
      <c r="A2680" s="70" t="s">
        <v>3219</v>
      </c>
      <c r="B2680" s="17" t="s">
        <v>2284</v>
      </c>
      <c r="C2680" s="16" t="s">
        <v>1498</v>
      </c>
      <c r="D2680" s="13">
        <v>7896009301186</v>
      </c>
    </row>
    <row r="2681" spans="1:4">
      <c r="A2681" s="70" t="s">
        <v>3219</v>
      </c>
      <c r="B2681" s="17" t="s">
        <v>2284</v>
      </c>
      <c r="C2681" s="16" t="s">
        <v>3221</v>
      </c>
      <c r="D2681" s="13">
        <v>7896009301162</v>
      </c>
    </row>
    <row r="2682" spans="1:4">
      <c r="A2682" s="10" t="s">
        <v>3223</v>
      </c>
      <c r="B2682" s="13" t="s">
        <v>2281</v>
      </c>
      <c r="C2682" s="16" t="s">
        <v>3224</v>
      </c>
      <c r="D2682" s="13">
        <v>7896004007618</v>
      </c>
    </row>
    <row r="2683" spans="1:4">
      <c r="A2683" s="10" t="s">
        <v>3222</v>
      </c>
      <c r="B2683" s="13" t="s">
        <v>3226</v>
      </c>
      <c r="C2683" s="16" t="s">
        <v>3225</v>
      </c>
      <c r="D2683" s="13">
        <v>7891000110430</v>
      </c>
    </row>
    <row r="2684" spans="1:4">
      <c r="A2684" s="10" t="s">
        <v>3222</v>
      </c>
      <c r="B2684" s="13" t="s">
        <v>3226</v>
      </c>
      <c r="C2684" s="16" t="s">
        <v>1964</v>
      </c>
      <c r="D2684" s="13">
        <v>7891000103937</v>
      </c>
    </row>
    <row r="2685" spans="1:4">
      <c r="A2685" s="70" t="s">
        <v>3227</v>
      </c>
      <c r="B2685" s="13" t="s">
        <v>3226</v>
      </c>
      <c r="C2685" s="16" t="s">
        <v>3228</v>
      </c>
      <c r="D2685" s="13">
        <v>7891150086906</v>
      </c>
    </row>
    <row r="2686" spans="1:4">
      <c r="A2686" s="70" t="s">
        <v>3227</v>
      </c>
      <c r="B2686" s="13" t="s">
        <v>3226</v>
      </c>
      <c r="C2686" s="16" t="s">
        <v>1820</v>
      </c>
      <c r="D2686" s="13">
        <v>7891150055957</v>
      </c>
    </row>
    <row r="2687" spans="1:4">
      <c r="A2687" s="70" t="s">
        <v>3227</v>
      </c>
      <c r="B2687" s="13" t="s">
        <v>3226</v>
      </c>
      <c r="C2687" s="16" t="s">
        <v>1818</v>
      </c>
      <c r="D2687" s="13">
        <v>7891150062115</v>
      </c>
    </row>
    <row r="2688" spans="1:4">
      <c r="A2688" s="70" t="s">
        <v>3227</v>
      </c>
      <c r="B2688" s="13" t="s">
        <v>3226</v>
      </c>
      <c r="C2688" s="16" t="s">
        <v>1821</v>
      </c>
      <c r="D2688" s="13">
        <v>7891150024571</v>
      </c>
    </row>
    <row r="2689" spans="1:4">
      <c r="A2689" s="70" t="s">
        <v>3229</v>
      </c>
      <c r="B2689" s="17" t="s">
        <v>2284</v>
      </c>
      <c r="C2689" s="16" t="s">
        <v>331</v>
      </c>
      <c r="D2689" s="13">
        <v>7896239820525</v>
      </c>
    </row>
    <row r="2690" spans="1:4">
      <c r="A2690" s="70" t="s">
        <v>3229</v>
      </c>
      <c r="B2690" s="17" t="s">
        <v>2284</v>
      </c>
      <c r="C2690" s="16" t="s">
        <v>329</v>
      </c>
      <c r="D2690" s="13">
        <v>7896239821119</v>
      </c>
    </row>
    <row r="2691" spans="1:4">
      <c r="A2691" s="10" t="s">
        <v>3230</v>
      </c>
      <c r="B2691" s="17" t="s">
        <v>2284</v>
      </c>
      <c r="C2691" s="16" t="s">
        <v>243</v>
      </c>
      <c r="D2691" s="13">
        <v>7896009301131</v>
      </c>
    </row>
    <row r="2692" spans="1:4">
      <c r="A2692" s="10" t="s">
        <v>3230</v>
      </c>
      <c r="B2692" s="17" t="s">
        <v>2284</v>
      </c>
      <c r="C2692" s="16" t="s">
        <v>243</v>
      </c>
      <c r="D2692" s="13">
        <v>7894321822020</v>
      </c>
    </row>
    <row r="2693" spans="1:4">
      <c r="A2693" s="10" t="s">
        <v>3231</v>
      </c>
      <c r="B2693" s="13" t="s">
        <v>2281</v>
      </c>
      <c r="C2693" s="16" t="s">
        <v>3233</v>
      </c>
      <c r="D2693" s="13">
        <v>7896089013634</v>
      </c>
    </row>
    <row r="2694" spans="1:4">
      <c r="A2694" s="10" t="s">
        <v>3231</v>
      </c>
      <c r="B2694" s="13" t="s">
        <v>2281</v>
      </c>
      <c r="C2694" s="16" t="s">
        <v>3234</v>
      </c>
      <c r="D2694" s="13">
        <v>7896089013658</v>
      </c>
    </row>
    <row r="2695" spans="1:4">
      <c r="A2695" s="10" t="s">
        <v>3232</v>
      </c>
      <c r="B2695" s="17" t="s">
        <v>2287</v>
      </c>
      <c r="C2695" s="16" t="s">
        <v>1214</v>
      </c>
      <c r="D2695" s="13">
        <v>7702425537859</v>
      </c>
    </row>
    <row r="2696" spans="1:4">
      <c r="A2696" s="10" t="s">
        <v>3232</v>
      </c>
      <c r="B2696" s="17" t="s">
        <v>2287</v>
      </c>
      <c r="C2696" s="16" t="s">
        <v>2612</v>
      </c>
      <c r="D2696" s="13">
        <v>7702425810969</v>
      </c>
    </row>
    <row r="2697" spans="1:4">
      <c r="A2697" s="70" t="s">
        <v>3235</v>
      </c>
      <c r="B2697" s="17" t="s">
        <v>3406</v>
      </c>
      <c r="C2697" s="16" t="s">
        <v>2495</v>
      </c>
      <c r="D2697" s="13">
        <v>98229</v>
      </c>
    </row>
    <row r="2698" spans="1:4">
      <c r="A2698" s="70" t="s">
        <v>3235</v>
      </c>
      <c r="B2698" s="17" t="s">
        <v>3406</v>
      </c>
      <c r="C2698" s="16" t="s">
        <v>3094</v>
      </c>
      <c r="D2698" s="13">
        <v>98366</v>
      </c>
    </row>
    <row r="2699" spans="1:4">
      <c r="A2699" s="70" t="s">
        <v>3236</v>
      </c>
      <c r="B2699" s="17" t="s">
        <v>2640</v>
      </c>
      <c r="C2699" s="16" t="s">
        <v>3011</v>
      </c>
      <c r="D2699" s="13">
        <v>7898152990064</v>
      </c>
    </row>
    <row r="2700" spans="1:4">
      <c r="A2700" s="70" t="s">
        <v>3237</v>
      </c>
      <c r="B2700" s="17" t="s">
        <v>2288</v>
      </c>
      <c r="C2700" s="16" t="s">
        <v>452</v>
      </c>
      <c r="D2700" s="13">
        <v>7893000394209</v>
      </c>
    </row>
    <row r="2701" spans="1:4">
      <c r="A2701" s="70" t="s">
        <v>3238</v>
      </c>
      <c r="B2701" s="17" t="s">
        <v>2285</v>
      </c>
      <c r="C2701" s="16" t="s">
        <v>3239</v>
      </c>
      <c r="D2701" s="13">
        <v>7896060402495</v>
      </c>
    </row>
    <row r="2702" spans="1:4">
      <c r="A2702" s="10" t="s">
        <v>3232</v>
      </c>
      <c r="B2702" s="17" t="s">
        <v>2287</v>
      </c>
      <c r="C2702" s="16" t="s">
        <v>1214</v>
      </c>
      <c r="D2702" s="13">
        <v>7891172523328</v>
      </c>
    </row>
    <row r="2703" spans="1:4">
      <c r="A2703" s="10" t="s">
        <v>3232</v>
      </c>
      <c r="B2703" s="17" t="s">
        <v>2287</v>
      </c>
      <c r="C2703" s="16" t="s">
        <v>2612</v>
      </c>
      <c r="D2703" s="13">
        <v>7891172523359</v>
      </c>
    </row>
    <row r="2704" spans="1:4">
      <c r="A2704" s="70" t="s">
        <v>3241</v>
      </c>
      <c r="B2704" s="13" t="s">
        <v>3226</v>
      </c>
      <c r="C2704" s="16" t="s">
        <v>3242</v>
      </c>
      <c r="D2704" s="13">
        <v>7896862002633</v>
      </c>
    </row>
    <row r="2705" spans="1:4">
      <c r="A2705" s="70" t="s">
        <v>3244</v>
      </c>
      <c r="B2705" s="13" t="s">
        <v>2287</v>
      </c>
      <c r="C2705" s="16" t="s">
        <v>3246</v>
      </c>
      <c r="D2705" s="13">
        <v>7896075036494</v>
      </c>
    </row>
    <row r="2706" spans="1:4">
      <c r="A2706" s="70" t="s">
        <v>3245</v>
      </c>
      <c r="B2706" s="13" t="s">
        <v>2281</v>
      </c>
      <c r="C2706" s="16" t="s">
        <v>3247</v>
      </c>
      <c r="D2706" s="13">
        <v>7899941202818</v>
      </c>
    </row>
    <row r="2707" spans="1:4">
      <c r="A2707" s="70" t="s">
        <v>3245</v>
      </c>
      <c r="B2707" s="13" t="s">
        <v>2281</v>
      </c>
      <c r="C2707" s="16" t="s">
        <v>3248</v>
      </c>
      <c r="D2707" s="13">
        <v>7899941202832</v>
      </c>
    </row>
    <row r="2708" spans="1:4">
      <c r="A2708" s="70" t="s">
        <v>3245</v>
      </c>
      <c r="B2708" s="13" t="s">
        <v>2281</v>
      </c>
      <c r="C2708" s="16" t="s">
        <v>3249</v>
      </c>
      <c r="D2708" s="13">
        <v>7899941202795</v>
      </c>
    </row>
    <row r="2709" spans="1:4">
      <c r="A2709" s="70" t="s">
        <v>3250</v>
      </c>
      <c r="B2709" s="13" t="s">
        <v>2281</v>
      </c>
      <c r="C2709" s="16" t="s">
        <v>3254</v>
      </c>
      <c r="D2709" s="13">
        <v>7891097018190</v>
      </c>
    </row>
    <row r="2710" spans="1:4">
      <c r="A2710" s="70" t="s">
        <v>3250</v>
      </c>
      <c r="B2710" s="13" t="s">
        <v>2281</v>
      </c>
      <c r="C2710" s="16" t="s">
        <v>3255</v>
      </c>
      <c r="D2710" s="13">
        <v>7891097018251</v>
      </c>
    </row>
    <row r="2711" spans="1:4">
      <c r="A2711" s="70" t="s">
        <v>3250</v>
      </c>
      <c r="B2711" s="13" t="s">
        <v>2281</v>
      </c>
      <c r="C2711" s="16" t="s">
        <v>3256</v>
      </c>
      <c r="D2711" s="13">
        <v>7891097018220</v>
      </c>
    </row>
    <row r="2712" spans="1:4">
      <c r="A2712" s="10" t="s">
        <v>3251</v>
      </c>
      <c r="B2712" s="17" t="s">
        <v>2285</v>
      </c>
      <c r="C2712" s="16" t="s">
        <v>3257</v>
      </c>
      <c r="D2712" s="13">
        <v>7896007553716</v>
      </c>
    </row>
    <row r="2713" spans="1:4">
      <c r="A2713" s="10" t="s">
        <v>3251</v>
      </c>
      <c r="B2713" s="17" t="s">
        <v>2285</v>
      </c>
      <c r="C2713" s="16" t="s">
        <v>3258</v>
      </c>
      <c r="D2713" s="13">
        <v>7896007553709</v>
      </c>
    </row>
    <row r="2714" spans="1:4">
      <c r="A2714" s="10" t="s">
        <v>3251</v>
      </c>
      <c r="B2714" s="17" t="s">
        <v>2285</v>
      </c>
      <c r="C2714" s="16" t="s">
        <v>3259</v>
      </c>
      <c r="D2714" s="13">
        <v>7896007553693</v>
      </c>
    </row>
    <row r="2715" spans="1:4">
      <c r="A2715" s="10" t="s">
        <v>3251</v>
      </c>
      <c r="B2715" s="17" t="s">
        <v>2285</v>
      </c>
      <c r="C2715" s="16" t="s">
        <v>3260</v>
      </c>
      <c r="D2715" s="13">
        <v>7896007553723</v>
      </c>
    </row>
    <row r="2716" spans="1:4">
      <c r="A2716" s="10" t="s">
        <v>3251</v>
      </c>
      <c r="B2716" s="17" t="s">
        <v>2285</v>
      </c>
      <c r="C2716" s="16" t="s">
        <v>3261</v>
      </c>
      <c r="D2716" s="13">
        <v>7896007553730</v>
      </c>
    </row>
    <row r="2717" spans="1:4">
      <c r="A2717" s="70" t="s">
        <v>3252</v>
      </c>
      <c r="B2717" s="17" t="s">
        <v>2285</v>
      </c>
      <c r="C2717" s="16" t="s">
        <v>3262</v>
      </c>
      <c r="D2717" s="13">
        <v>7896512959867</v>
      </c>
    </row>
    <row r="2718" spans="1:4">
      <c r="A2718" s="70" t="s">
        <v>3252</v>
      </c>
      <c r="B2718" s="17" t="s">
        <v>2285</v>
      </c>
      <c r="C2718" s="16" t="s">
        <v>3263</v>
      </c>
      <c r="D2718" s="13">
        <v>7896512954077</v>
      </c>
    </row>
    <row r="2719" spans="1:4">
      <c r="A2719" s="70" t="s">
        <v>3252</v>
      </c>
      <c r="B2719" s="17" t="s">
        <v>2285</v>
      </c>
      <c r="C2719" s="16" t="s">
        <v>3264</v>
      </c>
      <c r="D2719" s="13">
        <v>7896512911988</v>
      </c>
    </row>
    <row r="2720" spans="1:4">
      <c r="A2720" s="70" t="s">
        <v>3252</v>
      </c>
      <c r="B2720" s="17" t="s">
        <v>2285</v>
      </c>
      <c r="C2720" s="16" t="s">
        <v>3265</v>
      </c>
      <c r="D2720" s="13">
        <v>7896512911971</v>
      </c>
    </row>
    <row r="2721" spans="1:4">
      <c r="A2721" s="70" t="s">
        <v>3252</v>
      </c>
      <c r="B2721" s="17" t="s">
        <v>2285</v>
      </c>
      <c r="C2721" s="16" t="s">
        <v>3266</v>
      </c>
      <c r="D2721" s="13">
        <v>7896512911391</v>
      </c>
    </row>
    <row r="2722" spans="1:4">
      <c r="A2722" s="70" t="s">
        <v>3253</v>
      </c>
      <c r="B2722" s="17" t="s">
        <v>2285</v>
      </c>
      <c r="C2722" s="16" t="s">
        <v>3267</v>
      </c>
      <c r="D2722" s="13">
        <v>7896512959850</v>
      </c>
    </row>
    <row r="2723" spans="1:4">
      <c r="A2723" s="70" t="s">
        <v>3253</v>
      </c>
      <c r="B2723" s="17" t="s">
        <v>2285</v>
      </c>
      <c r="C2723" s="16" t="s">
        <v>3268</v>
      </c>
      <c r="D2723" s="13">
        <v>7896512954060</v>
      </c>
    </row>
    <row r="2724" spans="1:4">
      <c r="A2724" s="70" t="s">
        <v>3253</v>
      </c>
      <c r="B2724" s="17" t="s">
        <v>2285</v>
      </c>
      <c r="C2724" s="16" t="s">
        <v>3269</v>
      </c>
      <c r="D2724" s="13">
        <v>7896512914507</v>
      </c>
    </row>
    <row r="2725" spans="1:4">
      <c r="A2725" s="70" t="s">
        <v>3253</v>
      </c>
      <c r="B2725" s="17" t="s">
        <v>2285</v>
      </c>
      <c r="C2725" s="16" t="s">
        <v>3270</v>
      </c>
      <c r="D2725" s="13">
        <v>7896512914262</v>
      </c>
    </row>
    <row r="2726" spans="1:4">
      <c r="A2726" s="70" t="s">
        <v>3253</v>
      </c>
      <c r="B2726" s="17" t="s">
        <v>2285</v>
      </c>
      <c r="C2726" s="16" t="s">
        <v>3271</v>
      </c>
      <c r="D2726" s="13">
        <v>7896512907493</v>
      </c>
    </row>
    <row r="2727" spans="1:4">
      <c r="A2727" s="10" t="s">
        <v>3276</v>
      </c>
      <c r="B2727" s="13" t="s">
        <v>2281</v>
      </c>
      <c r="C2727" s="16" t="s">
        <v>3277</v>
      </c>
      <c r="D2727" s="13">
        <v>7891097106255</v>
      </c>
    </row>
    <row r="2728" spans="1:4">
      <c r="A2728" s="70" t="s">
        <v>3279</v>
      </c>
      <c r="B2728" s="13" t="s">
        <v>2287</v>
      </c>
      <c r="C2728" s="16" t="s">
        <v>2868</v>
      </c>
      <c r="D2728" s="13">
        <v>7896314707659</v>
      </c>
    </row>
    <row r="2729" spans="1:4">
      <c r="A2729" s="70" t="s">
        <v>3280</v>
      </c>
      <c r="B2729" s="13" t="s">
        <v>2283</v>
      </c>
      <c r="C2729" s="16" t="s">
        <v>3281</v>
      </c>
      <c r="D2729" s="13">
        <v>5601012002706</v>
      </c>
    </row>
    <row r="2730" spans="1:4">
      <c r="A2730" s="70" t="s">
        <v>3283</v>
      </c>
      <c r="B2730" s="13" t="s">
        <v>2640</v>
      </c>
      <c r="C2730" s="16" t="s">
        <v>3284</v>
      </c>
      <c r="D2730" s="13">
        <v>7891031412138</v>
      </c>
    </row>
    <row r="2731" spans="1:4">
      <c r="A2731" s="70" t="s">
        <v>3282</v>
      </c>
      <c r="B2731" s="13" t="s">
        <v>2281</v>
      </c>
      <c r="C2731" s="16" t="s">
        <v>3285</v>
      </c>
      <c r="D2731" s="13">
        <v>7790577043595</v>
      </c>
    </row>
    <row r="2732" spans="1:4">
      <c r="A2732" s="70" t="s">
        <v>3282</v>
      </c>
      <c r="B2732" s="13" t="s">
        <v>2281</v>
      </c>
      <c r="C2732" s="16" t="s">
        <v>3286</v>
      </c>
      <c r="D2732" s="13">
        <v>7790577001663</v>
      </c>
    </row>
    <row r="2733" spans="1:4">
      <c r="A2733" s="70" t="s">
        <v>3287</v>
      </c>
      <c r="B2733" s="13" t="s">
        <v>2285</v>
      </c>
      <c r="C2733" s="16" t="s">
        <v>3288</v>
      </c>
      <c r="D2733" s="13">
        <v>7500435226943</v>
      </c>
    </row>
    <row r="2734" spans="1:4">
      <c r="A2734" s="70" t="s">
        <v>3287</v>
      </c>
      <c r="B2734" s="13" t="s">
        <v>2285</v>
      </c>
      <c r="C2734" s="16" t="s">
        <v>3289</v>
      </c>
      <c r="D2734" s="13">
        <v>7500435226950</v>
      </c>
    </row>
    <row r="2735" spans="1:4">
      <c r="A2735" s="70" t="s">
        <v>3287</v>
      </c>
      <c r="B2735" s="13" t="s">
        <v>2285</v>
      </c>
      <c r="C2735" s="16" t="s">
        <v>3290</v>
      </c>
      <c r="D2735" s="13">
        <v>7500435239417</v>
      </c>
    </row>
    <row r="2736" spans="1:4">
      <c r="A2736" s="70" t="s">
        <v>3287</v>
      </c>
      <c r="B2736" s="13" t="s">
        <v>2285</v>
      </c>
      <c r="C2736" s="16" t="s">
        <v>3291</v>
      </c>
      <c r="D2736" s="13">
        <v>7500435244671</v>
      </c>
    </row>
    <row r="2737" spans="1:4">
      <c r="A2737" s="70" t="s">
        <v>3287</v>
      </c>
      <c r="B2737" s="13" t="s">
        <v>2285</v>
      </c>
      <c r="C2737" s="16" t="s">
        <v>3292</v>
      </c>
      <c r="D2737" s="13">
        <v>7500435244664</v>
      </c>
    </row>
    <row r="2738" spans="1:4">
      <c r="A2738" s="10" t="s">
        <v>3295</v>
      </c>
      <c r="B2738" s="13" t="s">
        <v>2283</v>
      </c>
      <c r="C2738" s="16" t="s">
        <v>3296</v>
      </c>
      <c r="D2738" s="13">
        <v>7891991001342</v>
      </c>
    </row>
    <row r="2739" spans="1:4">
      <c r="A2739" s="10" t="s">
        <v>3295</v>
      </c>
      <c r="B2739" s="13" t="s">
        <v>2283</v>
      </c>
      <c r="C2739" s="16" t="s">
        <v>3297</v>
      </c>
      <c r="D2739" s="13">
        <v>7891991001373</v>
      </c>
    </row>
    <row r="2740" spans="1:4">
      <c r="A2740" s="70" t="s">
        <v>3294</v>
      </c>
      <c r="B2740" s="13" t="s">
        <v>2283</v>
      </c>
      <c r="C2740" s="16" t="s">
        <v>3298</v>
      </c>
      <c r="D2740" s="13">
        <v>7892840813451</v>
      </c>
    </row>
    <row r="2741" spans="1:4">
      <c r="A2741" s="70" t="s">
        <v>3299</v>
      </c>
      <c r="B2741" s="13" t="s">
        <v>2283</v>
      </c>
      <c r="C2741" s="16" t="s">
        <v>1873</v>
      </c>
      <c r="D2741" s="13">
        <v>5000291020706</v>
      </c>
    </row>
    <row r="2742" spans="1:4">
      <c r="A2742" s="70" t="s">
        <v>3300</v>
      </c>
      <c r="B2742" s="13" t="s">
        <v>2283</v>
      </c>
      <c r="C2742" s="16" t="s">
        <v>3302</v>
      </c>
      <c r="D2742" s="13">
        <v>5000289020701</v>
      </c>
    </row>
    <row r="2743" spans="1:4">
      <c r="A2743" s="70" t="s">
        <v>3301</v>
      </c>
      <c r="B2743" s="13" t="s">
        <v>2283</v>
      </c>
      <c r="C2743" s="16" t="s">
        <v>1992</v>
      </c>
      <c r="D2743" s="13">
        <v>88076161863</v>
      </c>
    </row>
    <row r="2744" spans="1:4">
      <c r="A2744" s="70" t="s">
        <v>3303</v>
      </c>
      <c r="B2744" s="17" t="s">
        <v>2640</v>
      </c>
      <c r="C2744" s="16" t="s">
        <v>3011</v>
      </c>
      <c r="D2744" s="13">
        <v>7898152990064</v>
      </c>
    </row>
    <row r="2745" spans="1:4">
      <c r="A2745" s="10" t="s">
        <v>737</v>
      </c>
      <c r="B2745" s="13" t="s">
        <v>2286</v>
      </c>
      <c r="C2745" s="16" t="s">
        <v>3305</v>
      </c>
      <c r="D2745" s="13">
        <v>7891150064317</v>
      </c>
    </row>
    <row r="2746" spans="1:4">
      <c r="A2746" s="10" t="s">
        <v>3308</v>
      </c>
      <c r="B2746" s="13" t="s">
        <v>2286</v>
      </c>
      <c r="C2746" s="16" t="s">
        <v>3306</v>
      </c>
      <c r="D2746" s="13">
        <v>7896098906880</v>
      </c>
    </row>
    <row r="2747" spans="1:4">
      <c r="A2747" s="10" t="s">
        <v>3304</v>
      </c>
      <c r="B2747" s="13" t="s">
        <v>2640</v>
      </c>
      <c r="C2747" s="16" t="s">
        <v>3307</v>
      </c>
      <c r="D2747" s="13">
        <v>7804630540041</v>
      </c>
    </row>
    <row r="2748" spans="1:4">
      <c r="A2748" s="70" t="s">
        <v>3309</v>
      </c>
      <c r="B2748" s="13" t="s">
        <v>2640</v>
      </c>
      <c r="C2748" s="16" t="s">
        <v>3313</v>
      </c>
      <c r="D2748" s="13">
        <v>5601252231164</v>
      </c>
    </row>
    <row r="2749" spans="1:4">
      <c r="A2749" s="70" t="s">
        <v>3310</v>
      </c>
      <c r="B2749" s="13" t="s">
        <v>2286</v>
      </c>
      <c r="C2749" s="16" t="s">
        <v>3314</v>
      </c>
      <c r="D2749" s="13">
        <v>7896098906774</v>
      </c>
    </row>
    <row r="2750" spans="1:4">
      <c r="A2750" s="70" t="s">
        <v>3311</v>
      </c>
      <c r="B2750" s="13" t="s">
        <v>2283</v>
      </c>
      <c r="C2750" s="16" t="s">
        <v>1041</v>
      </c>
      <c r="D2750" s="13">
        <v>7896072902921</v>
      </c>
    </row>
    <row r="2751" spans="1:4">
      <c r="A2751" s="70" t="s">
        <v>3312</v>
      </c>
      <c r="B2751" s="13" t="s">
        <v>3226</v>
      </c>
      <c r="C2751" s="16" t="s">
        <v>3315</v>
      </c>
      <c r="D2751" s="13">
        <v>7891097001581</v>
      </c>
    </row>
    <row r="2752" spans="1:4">
      <c r="A2752" s="10" t="s">
        <v>3316</v>
      </c>
      <c r="B2752" s="17" t="s">
        <v>2285</v>
      </c>
      <c r="C2752" s="16" t="s">
        <v>370</v>
      </c>
      <c r="D2752" s="13">
        <v>7898327431262</v>
      </c>
    </row>
    <row r="2753" spans="1:4">
      <c r="A2753" s="70" t="s">
        <v>3319</v>
      </c>
      <c r="B2753" s="13" t="s">
        <v>2286</v>
      </c>
      <c r="C2753" s="16" t="s">
        <v>3306</v>
      </c>
      <c r="D2753" s="13">
        <v>7896098906880</v>
      </c>
    </row>
    <row r="2754" spans="1:4">
      <c r="A2754" s="70" t="s">
        <v>3317</v>
      </c>
      <c r="B2754" s="13" t="s">
        <v>2281</v>
      </c>
      <c r="C2754" s="16" t="s">
        <v>3320</v>
      </c>
      <c r="D2754" s="13">
        <v>7898215159117</v>
      </c>
    </row>
    <row r="2755" spans="1:4">
      <c r="A2755" s="70" t="s">
        <v>3387</v>
      </c>
      <c r="B2755" s="13" t="s">
        <v>2281</v>
      </c>
      <c r="C2755" s="16" t="s">
        <v>3321</v>
      </c>
      <c r="D2755" s="13">
        <v>7898215159094</v>
      </c>
    </row>
    <row r="2756" spans="1:4">
      <c r="A2756" s="70" t="s">
        <v>3387</v>
      </c>
      <c r="B2756" s="13" t="s">
        <v>2281</v>
      </c>
      <c r="C2756" s="16" t="s">
        <v>3322</v>
      </c>
      <c r="D2756" s="13">
        <v>7898215159100</v>
      </c>
    </row>
    <row r="2757" spans="1:4">
      <c r="A2757" s="70" t="s">
        <v>3318</v>
      </c>
      <c r="B2757" s="13" t="s">
        <v>2281</v>
      </c>
      <c r="C2757" s="16" t="s">
        <v>3323</v>
      </c>
      <c r="D2757" s="13">
        <v>7898215159018</v>
      </c>
    </row>
    <row r="2758" spans="1:4">
      <c r="A2758" s="10" t="s">
        <v>3324</v>
      </c>
      <c r="B2758" s="13" t="s">
        <v>2640</v>
      </c>
      <c r="C2758" s="16" t="s">
        <v>3330</v>
      </c>
      <c r="D2758" s="13">
        <v>7894904271269</v>
      </c>
    </row>
    <row r="2759" spans="1:4">
      <c r="A2759" s="10" t="s">
        <v>3325</v>
      </c>
      <c r="B2759" s="13" t="s">
        <v>2281</v>
      </c>
      <c r="C2759" s="16" t="s">
        <v>3331</v>
      </c>
      <c r="D2759" s="13">
        <v>7898215157878</v>
      </c>
    </row>
    <row r="2760" spans="1:4">
      <c r="A2760" s="10" t="s">
        <v>3325</v>
      </c>
      <c r="B2760" s="13" t="s">
        <v>2281</v>
      </c>
      <c r="C2760" s="16" t="s">
        <v>3332</v>
      </c>
      <c r="D2760" s="13">
        <v>7898215157892</v>
      </c>
    </row>
    <row r="2761" spans="1:4">
      <c r="A2761" s="10" t="s">
        <v>3326</v>
      </c>
      <c r="B2761" s="13" t="s">
        <v>2281</v>
      </c>
      <c r="C2761" s="16" t="s">
        <v>350</v>
      </c>
      <c r="D2761" s="13">
        <v>7898215152811</v>
      </c>
    </row>
    <row r="2762" spans="1:4">
      <c r="A2762" s="10" t="s">
        <v>3326</v>
      </c>
      <c r="B2762" s="13" t="s">
        <v>2281</v>
      </c>
      <c r="C2762" s="16" t="s">
        <v>3333</v>
      </c>
      <c r="D2762" s="13">
        <v>7898215157830</v>
      </c>
    </row>
    <row r="2763" spans="1:4">
      <c r="A2763" s="10" t="s">
        <v>3327</v>
      </c>
      <c r="B2763" s="13" t="s">
        <v>3226</v>
      </c>
      <c r="C2763" s="16" t="s">
        <v>1663</v>
      </c>
      <c r="D2763" s="13">
        <v>7896275960193</v>
      </c>
    </row>
    <row r="2764" spans="1:4">
      <c r="A2764" s="10" t="s">
        <v>3328</v>
      </c>
      <c r="B2764" s="13" t="s">
        <v>2283</v>
      </c>
      <c r="C2764" s="16" t="s">
        <v>3339</v>
      </c>
      <c r="D2764" s="13">
        <v>7891991301114</v>
      </c>
    </row>
    <row r="2765" spans="1:4">
      <c r="A2765" s="10" t="s">
        <v>3328</v>
      </c>
      <c r="B2765" s="13" t="s">
        <v>2283</v>
      </c>
      <c r="C2765" s="16" t="s">
        <v>3340</v>
      </c>
      <c r="D2765" s="13">
        <v>7891991307208</v>
      </c>
    </row>
    <row r="2766" spans="1:4">
      <c r="A2766" s="10" t="s">
        <v>3328</v>
      </c>
      <c r="B2766" s="13" t="s">
        <v>2283</v>
      </c>
      <c r="C2766" s="16" t="s">
        <v>3341</v>
      </c>
      <c r="D2766" s="13">
        <v>7891991301138</v>
      </c>
    </row>
    <row r="2767" spans="1:4">
      <c r="A2767" s="10" t="s">
        <v>3328</v>
      </c>
      <c r="B2767" s="13" t="s">
        <v>2283</v>
      </c>
      <c r="C2767" s="16" t="s">
        <v>3342</v>
      </c>
      <c r="D2767" s="13">
        <v>7891991306188</v>
      </c>
    </row>
    <row r="2768" spans="1:4">
      <c r="A2768" s="10" t="s">
        <v>3329</v>
      </c>
      <c r="B2768" s="13" t="s">
        <v>2283</v>
      </c>
      <c r="C2768" s="16" t="s">
        <v>3338</v>
      </c>
      <c r="D2768" s="13">
        <v>8410221110150</v>
      </c>
    </row>
    <row r="2769" spans="1:4">
      <c r="A2769" s="70" t="s">
        <v>3343</v>
      </c>
      <c r="B2769" s="13" t="s">
        <v>2283</v>
      </c>
      <c r="C2769" s="16" t="s">
        <v>3334</v>
      </c>
      <c r="D2769" s="13">
        <v>7891149840878</v>
      </c>
    </row>
    <row r="2770" spans="1:4">
      <c r="A2770" s="70" t="s">
        <v>3343</v>
      </c>
      <c r="B2770" s="13" t="s">
        <v>2283</v>
      </c>
      <c r="C2770" s="16" t="s">
        <v>3335</v>
      </c>
      <c r="D2770" s="13">
        <v>7891991307185</v>
      </c>
    </row>
    <row r="2771" spans="1:4">
      <c r="A2771" s="70" t="s">
        <v>3343</v>
      </c>
      <c r="B2771" s="13" t="s">
        <v>2283</v>
      </c>
      <c r="C2771" s="16" t="s">
        <v>3336</v>
      </c>
      <c r="D2771" s="13">
        <v>7891149105564</v>
      </c>
    </row>
    <row r="2772" spans="1:4">
      <c r="A2772" s="70" t="s">
        <v>3343</v>
      </c>
      <c r="B2772" s="13" t="s">
        <v>2283</v>
      </c>
      <c r="C2772" s="16" t="s">
        <v>3337</v>
      </c>
      <c r="D2772" s="13">
        <v>7891991306164</v>
      </c>
    </row>
    <row r="2773" spans="1:4">
      <c r="A2773" s="10" t="s">
        <v>2719</v>
      </c>
      <c r="B2773" s="13" t="s">
        <v>2281</v>
      </c>
      <c r="C2773" s="16" t="s">
        <v>3344</v>
      </c>
      <c r="D2773" s="13">
        <v>7896089012880</v>
      </c>
    </row>
    <row r="2774" spans="1:4">
      <c r="A2774" s="70" t="s">
        <v>3346</v>
      </c>
      <c r="B2774" s="13" t="s">
        <v>2286</v>
      </c>
      <c r="C2774" s="16" t="s">
        <v>3347</v>
      </c>
      <c r="D2774" s="13">
        <v>7896056405165</v>
      </c>
    </row>
    <row r="2775" spans="1:4">
      <c r="A2775" s="70" t="s">
        <v>3346</v>
      </c>
      <c r="B2775" s="13" t="s">
        <v>2286</v>
      </c>
      <c r="C2775" s="16" t="s">
        <v>3348</v>
      </c>
      <c r="D2775" s="13">
        <v>7896060401740</v>
      </c>
    </row>
    <row r="2776" spans="1:4">
      <c r="A2776" s="70" t="s">
        <v>3346</v>
      </c>
      <c r="B2776" s="13" t="s">
        <v>2286</v>
      </c>
      <c r="C2776" s="16" t="s">
        <v>3349</v>
      </c>
      <c r="D2776" s="13">
        <v>7896056405233</v>
      </c>
    </row>
    <row r="2777" spans="1:4" ht="30">
      <c r="A2777" s="70" t="s">
        <v>3345</v>
      </c>
      <c r="B2777" s="17" t="s">
        <v>2286</v>
      </c>
      <c r="C2777" s="16" t="s">
        <v>2162</v>
      </c>
      <c r="D2777" s="13">
        <v>7896098900840</v>
      </c>
    </row>
    <row r="2778" spans="1:4" ht="30">
      <c r="A2778" s="70" t="s">
        <v>3345</v>
      </c>
      <c r="B2778" s="17" t="s">
        <v>2286</v>
      </c>
      <c r="C2778" s="16" t="s">
        <v>2163</v>
      </c>
      <c r="D2778" s="13">
        <v>7896098901915</v>
      </c>
    </row>
    <row r="2779" spans="1:4">
      <c r="A2779" s="10" t="s">
        <v>3351</v>
      </c>
      <c r="B2779" s="13" t="s">
        <v>2281</v>
      </c>
      <c r="C2779" s="16" t="s">
        <v>3356</v>
      </c>
      <c r="D2779" s="13">
        <v>7898215158448</v>
      </c>
    </row>
    <row r="2780" spans="1:4">
      <c r="A2780" s="11" t="s">
        <v>2969</v>
      </c>
      <c r="B2780" s="13" t="s">
        <v>2288</v>
      </c>
      <c r="C2780" s="16" t="s">
        <v>2970</v>
      </c>
      <c r="D2780" s="13">
        <v>7896074606940</v>
      </c>
    </row>
    <row r="2781" spans="1:4">
      <c r="A2781" s="11" t="s">
        <v>2969</v>
      </c>
      <c r="B2781" s="13" t="s">
        <v>2288</v>
      </c>
      <c r="C2781" s="16" t="s">
        <v>2971</v>
      </c>
      <c r="D2781" s="13">
        <v>7896074607015</v>
      </c>
    </row>
    <row r="2782" spans="1:4">
      <c r="A2782" s="10" t="s">
        <v>3352</v>
      </c>
      <c r="B2782" s="17" t="s">
        <v>2285</v>
      </c>
      <c r="C2782" s="16" t="s">
        <v>1680</v>
      </c>
      <c r="D2782" s="13">
        <v>7500435106672</v>
      </c>
    </row>
    <row r="2783" spans="1:4">
      <c r="A2783" s="10" t="s">
        <v>3352</v>
      </c>
      <c r="B2783" s="17" t="s">
        <v>2285</v>
      </c>
      <c r="C2783" s="16" t="s">
        <v>1681</v>
      </c>
      <c r="D2783" s="13">
        <v>7500435132602</v>
      </c>
    </row>
    <row r="2784" spans="1:4">
      <c r="A2784" s="10" t="s">
        <v>3352</v>
      </c>
      <c r="B2784" s="17" t="s">
        <v>2285</v>
      </c>
      <c r="C2784" s="16" t="s">
        <v>1684</v>
      </c>
      <c r="D2784" s="13">
        <v>7500435132619</v>
      </c>
    </row>
    <row r="2785" spans="1:4">
      <c r="A2785" s="10" t="s">
        <v>3352</v>
      </c>
      <c r="B2785" s="17" t="s">
        <v>2285</v>
      </c>
      <c r="C2785" s="16" t="s">
        <v>3006</v>
      </c>
      <c r="D2785" s="13">
        <v>7500435232944</v>
      </c>
    </row>
    <row r="2786" spans="1:4">
      <c r="A2786" s="10" t="s">
        <v>3352</v>
      </c>
      <c r="B2786" s="17" t="s">
        <v>2285</v>
      </c>
      <c r="C2786" s="16" t="s">
        <v>2567</v>
      </c>
      <c r="D2786" s="13">
        <v>7500435205238</v>
      </c>
    </row>
    <row r="2787" spans="1:4">
      <c r="A2787" s="10" t="s">
        <v>3352</v>
      </c>
      <c r="B2787" s="17" t="s">
        <v>2285</v>
      </c>
      <c r="C2787" s="16" t="s">
        <v>2568</v>
      </c>
      <c r="D2787" s="13">
        <v>7500435205269</v>
      </c>
    </row>
    <row r="2788" spans="1:4">
      <c r="A2788" s="10" t="s">
        <v>3353</v>
      </c>
      <c r="B2788" s="17" t="s">
        <v>2286</v>
      </c>
      <c r="C2788" s="16" t="s">
        <v>1263</v>
      </c>
      <c r="D2788" s="13">
        <v>7897664170742</v>
      </c>
    </row>
    <row r="2789" spans="1:4">
      <c r="A2789" s="10" t="s">
        <v>3353</v>
      </c>
      <c r="B2789" s="17" t="s">
        <v>2286</v>
      </c>
      <c r="C2789" s="16" t="s">
        <v>1262</v>
      </c>
      <c r="D2789" s="13">
        <v>7897664170759</v>
      </c>
    </row>
    <row r="2790" spans="1:4">
      <c r="A2790" s="10" t="s">
        <v>3353</v>
      </c>
      <c r="B2790" s="17" t="s">
        <v>2286</v>
      </c>
      <c r="C2790" s="16" t="s">
        <v>210</v>
      </c>
      <c r="D2790" s="13">
        <v>7897664170735</v>
      </c>
    </row>
    <row r="2791" spans="1:4">
      <c r="A2791" s="10" t="s">
        <v>3353</v>
      </c>
      <c r="B2791" s="17" t="s">
        <v>2286</v>
      </c>
      <c r="C2791" s="16" t="s">
        <v>1936</v>
      </c>
      <c r="D2791" s="13">
        <v>7897664170766</v>
      </c>
    </row>
    <row r="2792" spans="1:4">
      <c r="A2792" s="10" t="s">
        <v>3357</v>
      </c>
      <c r="B2792" s="13" t="s">
        <v>2283</v>
      </c>
      <c r="C2792" s="16" t="s">
        <v>3363</v>
      </c>
      <c r="D2792" s="13">
        <v>7898063767052</v>
      </c>
    </row>
    <row r="2793" spans="1:4">
      <c r="A2793" s="10" t="s">
        <v>3358</v>
      </c>
      <c r="B2793" s="13" t="s">
        <v>2283</v>
      </c>
      <c r="C2793" s="16" t="s">
        <v>1076</v>
      </c>
      <c r="D2793" s="13">
        <v>7896855901400</v>
      </c>
    </row>
    <row r="2794" spans="1:4">
      <c r="A2794" s="10" t="s">
        <v>3358</v>
      </c>
      <c r="B2794" s="13" t="s">
        <v>2283</v>
      </c>
      <c r="C2794" s="16" t="s">
        <v>1077</v>
      </c>
      <c r="D2794" s="13">
        <v>7896855901417</v>
      </c>
    </row>
    <row r="2795" spans="1:4">
      <c r="A2795" s="70" t="s">
        <v>3359</v>
      </c>
      <c r="B2795" s="17" t="s">
        <v>2283</v>
      </c>
      <c r="C2795" s="16" t="s">
        <v>162</v>
      </c>
      <c r="D2795" s="13">
        <v>7891991014762</v>
      </c>
    </row>
    <row r="2796" spans="1:4">
      <c r="A2796" s="70" t="s">
        <v>3359</v>
      </c>
      <c r="B2796" s="17" t="s">
        <v>2283</v>
      </c>
      <c r="C2796" s="72" t="s">
        <v>163</v>
      </c>
      <c r="D2796" s="75">
        <v>7891991014779</v>
      </c>
    </row>
    <row r="2797" spans="1:4">
      <c r="A2797" s="70" t="s">
        <v>3359</v>
      </c>
      <c r="B2797" s="17" t="s">
        <v>2283</v>
      </c>
      <c r="C2797" s="16" t="s">
        <v>3361</v>
      </c>
      <c r="D2797" s="13">
        <v>7891991298421</v>
      </c>
    </row>
    <row r="2798" spans="1:4">
      <c r="A2798" s="70" t="s">
        <v>3360</v>
      </c>
      <c r="B2798" s="17" t="s">
        <v>2283</v>
      </c>
      <c r="C2798" s="16" t="s">
        <v>3362</v>
      </c>
      <c r="D2798" s="13">
        <v>7891991307338</v>
      </c>
    </row>
    <row r="2799" spans="1:4">
      <c r="A2799" s="70" t="s">
        <v>3359</v>
      </c>
      <c r="B2799" s="17" t="s">
        <v>2283</v>
      </c>
      <c r="C2799" s="72" t="s">
        <v>163</v>
      </c>
      <c r="D2799" s="75">
        <v>7891991298438</v>
      </c>
    </row>
    <row r="2800" spans="1:4">
      <c r="A2800" s="10" t="s">
        <v>3357</v>
      </c>
      <c r="B2800" s="13" t="s">
        <v>2283</v>
      </c>
      <c r="C2800" s="16" t="s">
        <v>3363</v>
      </c>
      <c r="D2800" s="13">
        <v>7896000594020</v>
      </c>
    </row>
    <row r="2801" spans="1:4">
      <c r="A2801" s="52" t="s">
        <v>3364</v>
      </c>
      <c r="B2801" s="13" t="s">
        <v>2640</v>
      </c>
      <c r="C2801" s="16" t="s">
        <v>3367</v>
      </c>
      <c r="D2801" s="13">
        <v>7896290300011</v>
      </c>
    </row>
    <row r="2802" spans="1:4">
      <c r="A2802" s="70" t="s">
        <v>3365</v>
      </c>
      <c r="B2802" s="13" t="s">
        <v>2283</v>
      </c>
      <c r="C2802" s="16" t="s">
        <v>3368</v>
      </c>
      <c r="D2802" s="13">
        <v>7891991304184</v>
      </c>
    </row>
    <row r="2803" spans="1:4">
      <c r="A2803" s="70" t="s">
        <v>3366</v>
      </c>
      <c r="B2803" s="13" t="s">
        <v>2281</v>
      </c>
      <c r="C2803" s="16" t="s">
        <v>340</v>
      </c>
      <c r="D2803" s="13">
        <v>7898215157403</v>
      </c>
    </row>
    <row r="2804" spans="1:4">
      <c r="A2804" s="70" t="s">
        <v>3366</v>
      </c>
      <c r="B2804" s="13" t="s">
        <v>2281</v>
      </c>
      <c r="C2804" s="16" t="s">
        <v>555</v>
      </c>
      <c r="D2804" s="13">
        <v>7898215157427</v>
      </c>
    </row>
    <row r="2805" spans="1:4">
      <c r="A2805" s="70" t="s">
        <v>709</v>
      </c>
      <c r="B2805" s="13" t="s">
        <v>2286</v>
      </c>
      <c r="C2805" s="16" t="s">
        <v>3369</v>
      </c>
      <c r="D2805" s="13">
        <v>7896060401887</v>
      </c>
    </row>
    <row r="2806" spans="1:4">
      <c r="A2806" s="70" t="s">
        <v>3370</v>
      </c>
      <c r="B2806" s="17" t="s">
        <v>2280</v>
      </c>
      <c r="C2806" s="16" t="s">
        <v>3374</v>
      </c>
      <c r="D2806" s="13">
        <v>7891959014612</v>
      </c>
    </row>
    <row r="2807" spans="1:4">
      <c r="A2807" s="70" t="s">
        <v>3371</v>
      </c>
      <c r="B2807" s="17" t="s">
        <v>2299</v>
      </c>
      <c r="C2807" s="16" t="s">
        <v>3375</v>
      </c>
      <c r="D2807" s="13">
        <v>7898926529582</v>
      </c>
    </row>
    <row r="2808" spans="1:4">
      <c r="A2808" s="70" t="s">
        <v>3372</v>
      </c>
      <c r="B2808" s="17" t="s">
        <v>2283</v>
      </c>
      <c r="C2808" s="16" t="s">
        <v>3376</v>
      </c>
      <c r="D2808" s="13">
        <v>8000040011044</v>
      </c>
    </row>
    <row r="2809" spans="1:4" ht="30">
      <c r="A2809" s="70" t="s">
        <v>3373</v>
      </c>
      <c r="B2809" s="17" t="s">
        <v>2283</v>
      </c>
      <c r="C2809" s="16" t="s">
        <v>3362</v>
      </c>
      <c r="D2809" s="13">
        <v>7891991307338</v>
      </c>
    </row>
    <row r="2810" spans="1:4">
      <c r="A2810" s="70" t="s">
        <v>3365</v>
      </c>
      <c r="B2810" s="13" t="s">
        <v>2283</v>
      </c>
      <c r="C2810" s="72" t="s">
        <v>3378</v>
      </c>
      <c r="D2810" s="75">
        <v>7891991304191</v>
      </c>
    </row>
    <row r="2811" spans="1:4">
      <c r="A2811" s="70" t="s">
        <v>3371</v>
      </c>
      <c r="B2811" s="17" t="s">
        <v>2299</v>
      </c>
      <c r="C2811" s="16" t="s">
        <v>3379</v>
      </c>
      <c r="D2811" s="13">
        <v>7898006120067</v>
      </c>
    </row>
    <row r="2812" spans="1:4">
      <c r="A2812" s="10" t="s">
        <v>3382</v>
      </c>
      <c r="B2812" s="17" t="s">
        <v>3407</v>
      </c>
      <c r="C2812" s="16" t="s">
        <v>3383</v>
      </c>
      <c r="D2812" s="13">
        <v>98557</v>
      </c>
    </row>
    <row r="2813" spans="1:4">
      <c r="A2813" s="70" t="s">
        <v>3381</v>
      </c>
      <c r="B2813" s="13" t="s">
        <v>2281</v>
      </c>
      <c r="C2813" s="16" t="s">
        <v>3384</v>
      </c>
      <c r="D2813" s="13">
        <v>7896005800850</v>
      </c>
    </row>
    <row r="2814" spans="1:4">
      <c r="A2814" s="70" t="s">
        <v>3381</v>
      </c>
      <c r="B2814" s="13" t="s">
        <v>2281</v>
      </c>
      <c r="C2814" s="16" t="s">
        <v>3385</v>
      </c>
      <c r="D2814" s="13">
        <v>7896045110643</v>
      </c>
    </row>
    <row r="2815" spans="1:4">
      <c r="A2815" s="70" t="s">
        <v>3381</v>
      </c>
      <c r="B2815" s="13" t="s">
        <v>2281</v>
      </c>
      <c r="C2815" s="16" t="s">
        <v>704</v>
      </c>
      <c r="D2815" s="13">
        <v>7896005800157</v>
      </c>
    </row>
    <row r="2816" spans="1:4">
      <c r="A2816" s="70" t="s">
        <v>3381</v>
      </c>
      <c r="B2816" s="13" t="s">
        <v>2281</v>
      </c>
      <c r="C2816" s="16" t="s">
        <v>705</v>
      </c>
      <c r="D2816" s="13">
        <v>7896005802892</v>
      </c>
    </row>
    <row r="2817" spans="1:4">
      <c r="A2817" s="70" t="s">
        <v>3380</v>
      </c>
      <c r="B2817" s="17" t="s">
        <v>2288</v>
      </c>
      <c r="C2817" s="16" t="s">
        <v>451</v>
      </c>
      <c r="D2817" s="13">
        <v>7893000383005</v>
      </c>
    </row>
    <row r="2818" spans="1:4">
      <c r="A2818" s="70" t="s">
        <v>3380</v>
      </c>
      <c r="B2818" s="17" t="s">
        <v>2288</v>
      </c>
      <c r="C2818" s="16" t="s">
        <v>452</v>
      </c>
      <c r="D2818" s="13">
        <v>7893000394209</v>
      </c>
    </row>
    <row r="2819" spans="1:4">
      <c r="A2819" s="70" t="s">
        <v>3391</v>
      </c>
      <c r="B2819" s="13" t="s">
        <v>2640</v>
      </c>
      <c r="C2819" s="16" t="s">
        <v>483</v>
      </c>
      <c r="D2819" s="13">
        <v>7896022200282</v>
      </c>
    </row>
    <row r="2820" spans="1:4">
      <c r="A2820" s="70" t="s">
        <v>3391</v>
      </c>
      <c r="B2820" s="13" t="s">
        <v>2640</v>
      </c>
      <c r="C2820" s="16" t="s">
        <v>3392</v>
      </c>
      <c r="D2820" s="13">
        <v>7896022203610</v>
      </c>
    </row>
    <row r="2821" spans="1:4">
      <c r="A2821" s="70" t="s">
        <v>3391</v>
      </c>
      <c r="B2821" s="13" t="s">
        <v>2640</v>
      </c>
      <c r="C2821" s="16" t="s">
        <v>480</v>
      </c>
      <c r="D2821" s="13">
        <v>7896022200206</v>
      </c>
    </row>
    <row r="2822" spans="1:4">
      <c r="A2822" s="70" t="s">
        <v>3391</v>
      </c>
      <c r="B2822" s="13" t="s">
        <v>2640</v>
      </c>
      <c r="C2822" s="16" t="s">
        <v>3189</v>
      </c>
      <c r="D2822" s="13">
        <v>7896022200213</v>
      </c>
    </row>
    <row r="2823" spans="1:4">
      <c r="A2823" s="70" t="s">
        <v>3388</v>
      </c>
      <c r="B2823" s="17" t="s">
        <v>2288</v>
      </c>
      <c r="C2823" s="16" t="s">
        <v>3393</v>
      </c>
      <c r="D2823" s="13">
        <v>7896862002916</v>
      </c>
    </row>
    <row r="2824" spans="1:4">
      <c r="A2824" s="70" t="s">
        <v>3388</v>
      </c>
      <c r="B2824" s="17" t="s">
        <v>2288</v>
      </c>
      <c r="C2824" s="16" t="s">
        <v>3394</v>
      </c>
      <c r="D2824" s="13">
        <v>7896862000202</v>
      </c>
    </row>
    <row r="2825" spans="1:4">
      <c r="A2825" s="70" t="s">
        <v>3388</v>
      </c>
      <c r="B2825" s="17" t="s">
        <v>2288</v>
      </c>
      <c r="C2825" s="16" t="s">
        <v>3395</v>
      </c>
      <c r="D2825" s="13">
        <v>7896862000424</v>
      </c>
    </row>
    <row r="2826" spans="1:4">
      <c r="A2826" s="70" t="s">
        <v>3388</v>
      </c>
      <c r="B2826" s="17" t="s">
        <v>2288</v>
      </c>
      <c r="C2826" s="16" t="s">
        <v>3396</v>
      </c>
      <c r="D2826" s="13">
        <v>7896862000868</v>
      </c>
    </row>
    <row r="2827" spans="1:4">
      <c r="A2827" s="70" t="s">
        <v>3388</v>
      </c>
      <c r="B2827" s="17" t="s">
        <v>2288</v>
      </c>
      <c r="C2827" s="16" t="s">
        <v>3397</v>
      </c>
      <c r="D2827" s="13">
        <v>7896862000875</v>
      </c>
    </row>
    <row r="2828" spans="1:4">
      <c r="A2828" s="70" t="s">
        <v>3388</v>
      </c>
      <c r="B2828" s="17" t="s">
        <v>2288</v>
      </c>
      <c r="C2828" s="16" t="s">
        <v>3398</v>
      </c>
      <c r="D2828" s="13">
        <v>7896862003289</v>
      </c>
    </row>
    <row r="2829" spans="1:4">
      <c r="A2829" s="70" t="s">
        <v>3388</v>
      </c>
      <c r="B2829" s="17" t="s">
        <v>2288</v>
      </c>
      <c r="C2829" s="16" t="s">
        <v>3399</v>
      </c>
      <c r="D2829" s="13">
        <v>7896862000684</v>
      </c>
    </row>
    <row r="2830" spans="1:4">
      <c r="A2830" s="70" t="s">
        <v>3390</v>
      </c>
      <c r="B2830" s="17" t="s">
        <v>2285</v>
      </c>
      <c r="C2830" s="16" t="s">
        <v>3400</v>
      </c>
      <c r="D2830" s="13">
        <v>7898962794166</v>
      </c>
    </row>
    <row r="2831" spans="1:4">
      <c r="A2831" s="10" t="s">
        <v>3389</v>
      </c>
      <c r="B2831" s="17" t="s">
        <v>2288</v>
      </c>
      <c r="C2831" s="16" t="s">
        <v>3144</v>
      </c>
      <c r="D2831" s="13">
        <v>7898951441200</v>
      </c>
    </row>
    <row r="2832" spans="1:4">
      <c r="A2832" s="10" t="s">
        <v>3389</v>
      </c>
      <c r="B2832" s="17" t="s">
        <v>2288</v>
      </c>
      <c r="C2832" s="16" t="s">
        <v>3093</v>
      </c>
      <c r="D2832" s="13">
        <v>618341046290</v>
      </c>
    </row>
    <row r="2833" spans="1:4">
      <c r="A2833" s="70" t="s">
        <v>1358</v>
      </c>
      <c r="B2833" s="17" t="s">
        <v>2281</v>
      </c>
      <c r="C2833" s="15" t="s">
        <v>3386</v>
      </c>
      <c r="D2833" s="13">
        <v>7896005810323</v>
      </c>
    </row>
    <row r="2834" spans="1:4">
      <c r="A2834" s="70" t="s">
        <v>3401</v>
      </c>
      <c r="B2834" s="17" t="s">
        <v>2288</v>
      </c>
      <c r="C2834" s="16" t="s">
        <v>3402</v>
      </c>
      <c r="D2834" s="13">
        <v>7898904874383</v>
      </c>
    </row>
    <row r="2835" spans="1:4">
      <c r="A2835" s="70" t="s">
        <v>3401</v>
      </c>
      <c r="B2835" s="17" t="s">
        <v>2288</v>
      </c>
      <c r="C2835" s="16" t="s">
        <v>3403</v>
      </c>
      <c r="D2835" s="13">
        <v>7898904874185</v>
      </c>
    </row>
    <row r="2836" spans="1:4">
      <c r="A2836" s="70"/>
      <c r="B2836" s="13"/>
      <c r="C2836" s="16"/>
      <c r="D2836" s="13"/>
    </row>
    <row r="2837" spans="1:4">
      <c r="A2837" s="70"/>
      <c r="B2837" s="13"/>
      <c r="C2837" s="16"/>
      <c r="D2837" s="13"/>
    </row>
    <row r="2838" spans="1:4">
      <c r="A2838" s="70"/>
      <c r="B2838" s="13"/>
      <c r="C2838" s="16"/>
      <c r="D2838" s="13"/>
    </row>
    <row r="2839" spans="1:4">
      <c r="A2839" s="70"/>
      <c r="B2839" s="13"/>
      <c r="C2839" s="16"/>
      <c r="D2839" s="13"/>
    </row>
    <row r="2840" spans="1:4">
      <c r="A2840" s="70"/>
      <c r="B2840" s="13"/>
      <c r="C2840" s="16"/>
      <c r="D2840" s="13"/>
    </row>
    <row r="2841" spans="1:4">
      <c r="A2841" s="70"/>
      <c r="B2841" s="13"/>
      <c r="C2841" s="16"/>
      <c r="D2841" s="13"/>
    </row>
    <row r="2842" spans="1:4">
      <c r="A2842" s="70"/>
      <c r="B2842" s="13"/>
      <c r="C2842" s="16"/>
      <c r="D2842" s="13"/>
    </row>
    <row r="2843" spans="1:4">
      <c r="A2843" s="70"/>
      <c r="B2843" s="13"/>
      <c r="C2843" s="16"/>
      <c r="D2843" s="13"/>
    </row>
    <row r="2844" spans="1:4">
      <c r="A2844" s="70"/>
      <c r="B2844" s="13"/>
      <c r="C2844" s="16"/>
      <c r="D2844" s="13"/>
    </row>
    <row r="2845" spans="1:4">
      <c r="A2845" s="70"/>
      <c r="B2845" s="13"/>
      <c r="C2845" s="16"/>
      <c r="D2845" s="13"/>
    </row>
    <row r="2846" spans="1:4">
      <c r="A2846" s="70"/>
      <c r="B2846" s="13"/>
      <c r="C2846" s="16"/>
      <c r="D2846" s="13"/>
    </row>
    <row r="2847" spans="1:4">
      <c r="A2847" s="70"/>
      <c r="B2847" s="13"/>
      <c r="C2847" s="16"/>
      <c r="D2847" s="13"/>
    </row>
    <row r="2848" spans="1:4">
      <c r="A2848" s="70"/>
      <c r="B2848" s="13"/>
      <c r="C2848" s="16"/>
      <c r="D2848" s="13"/>
    </row>
    <row r="2849" spans="1:4">
      <c r="A2849" s="70"/>
      <c r="B2849" s="13"/>
      <c r="C2849" s="16"/>
      <c r="D2849" s="13"/>
    </row>
    <row r="2850" spans="1:4">
      <c r="A2850" s="70"/>
      <c r="B2850" s="13"/>
      <c r="C2850" s="16"/>
      <c r="D2850" s="13"/>
    </row>
    <row r="2851" spans="1:4">
      <c r="A2851" s="70"/>
      <c r="B2851" s="13"/>
      <c r="C2851" s="16"/>
      <c r="D2851" s="13"/>
    </row>
    <row r="2852" spans="1:4">
      <c r="A2852" s="70"/>
      <c r="B2852" s="13"/>
      <c r="C2852" s="16"/>
      <c r="D2852" s="13"/>
    </row>
    <row r="2853" spans="1:4">
      <c r="A2853" s="70"/>
      <c r="B2853" s="13"/>
      <c r="C2853" s="16"/>
      <c r="D2853" s="13"/>
    </row>
    <row r="2854" spans="1:4">
      <c r="A2854" s="70"/>
      <c r="B2854" s="13"/>
      <c r="C2854" s="16"/>
      <c r="D2854" s="13"/>
    </row>
    <row r="2855" spans="1:4">
      <c r="A2855" s="70"/>
      <c r="B2855" s="13"/>
      <c r="C2855" s="16"/>
      <c r="D2855" s="13"/>
    </row>
    <row r="2856" spans="1:4">
      <c r="A2856" s="70"/>
      <c r="B2856" s="13"/>
      <c r="C2856" s="16"/>
      <c r="D2856" s="13"/>
    </row>
    <row r="2857" spans="1:4">
      <c r="A2857" s="70"/>
      <c r="B2857" s="13"/>
      <c r="C2857" s="16"/>
      <c r="D2857" s="13"/>
    </row>
    <row r="2858" spans="1:4">
      <c r="A2858" s="70"/>
      <c r="B2858" s="13"/>
      <c r="C2858" s="16"/>
      <c r="D2858" s="13"/>
    </row>
    <row r="2859" spans="1:4">
      <c r="A2859" s="70"/>
      <c r="B2859" s="13"/>
      <c r="C2859" s="16"/>
      <c r="D2859" s="13"/>
    </row>
    <row r="2860" spans="1:4">
      <c r="A2860" s="70"/>
      <c r="B2860" s="13"/>
      <c r="C2860" s="16"/>
      <c r="D2860" s="13"/>
    </row>
    <row r="2861" spans="1:4">
      <c r="A2861" s="70"/>
      <c r="B2861" s="13"/>
      <c r="C2861" s="16"/>
      <c r="D2861" s="13"/>
    </row>
    <row r="2862" spans="1:4">
      <c r="A2862" s="70"/>
      <c r="B2862" s="13"/>
      <c r="C2862" s="16"/>
      <c r="D2862" s="13"/>
    </row>
    <row r="2863" spans="1:4">
      <c r="A2863" s="70"/>
      <c r="B2863" s="13"/>
      <c r="C2863" s="16"/>
      <c r="D2863" s="13"/>
    </row>
    <row r="2864" spans="1:4">
      <c r="A2864" s="70"/>
      <c r="B2864" s="13"/>
      <c r="C2864" s="16"/>
      <c r="D2864" s="13"/>
    </row>
    <row r="2865" spans="1:4">
      <c r="A2865" s="70"/>
      <c r="B2865" s="13"/>
      <c r="C2865" s="16"/>
      <c r="D2865" s="13"/>
    </row>
    <row r="2866" spans="1:4">
      <c r="A2866" s="70"/>
      <c r="B2866" s="13"/>
      <c r="C2866" s="16"/>
      <c r="D2866" s="13"/>
    </row>
    <row r="2867" spans="1:4">
      <c r="A2867" s="70"/>
      <c r="B2867" s="13"/>
      <c r="C2867" s="16"/>
      <c r="D2867" s="13"/>
    </row>
    <row r="2868" spans="1:4">
      <c r="A2868" s="70"/>
      <c r="B2868" s="13"/>
      <c r="C2868" s="16"/>
      <c r="D2868" s="13"/>
    </row>
    <row r="2869" spans="1:4">
      <c r="A2869" s="70"/>
      <c r="B2869" s="13"/>
      <c r="C2869" s="16"/>
      <c r="D2869" s="13"/>
    </row>
    <row r="2870" spans="1:4">
      <c r="A2870" s="70"/>
      <c r="B2870" s="13"/>
      <c r="C2870" s="16"/>
      <c r="D2870" s="13"/>
    </row>
    <row r="2871" spans="1:4">
      <c r="A2871" s="70"/>
      <c r="B2871" s="13"/>
      <c r="C2871" s="16"/>
      <c r="D2871" s="13"/>
    </row>
    <row r="2872" spans="1:4">
      <c r="A2872" s="70"/>
      <c r="B2872" s="13"/>
      <c r="C2872" s="16"/>
      <c r="D2872" s="13"/>
    </row>
    <row r="2873" spans="1:4">
      <c r="A2873" s="70"/>
      <c r="B2873" s="13"/>
      <c r="C2873" s="16"/>
      <c r="D2873" s="13"/>
    </row>
    <row r="2874" spans="1:4">
      <c r="A2874" s="70"/>
      <c r="B2874" s="13"/>
      <c r="C2874" s="16"/>
      <c r="D2874" s="13"/>
    </row>
    <row r="2875" spans="1:4">
      <c r="A2875" s="70"/>
      <c r="B2875" s="13"/>
      <c r="C2875" s="16"/>
      <c r="D2875" s="13"/>
    </row>
    <row r="2876" spans="1:4">
      <c r="A2876" s="70"/>
      <c r="B2876" s="13"/>
      <c r="C2876" s="16"/>
      <c r="D2876" s="13"/>
    </row>
    <row r="2877" spans="1:4">
      <c r="A2877" s="70"/>
      <c r="B2877" s="13"/>
      <c r="C2877" s="16"/>
      <c r="D2877" s="13"/>
    </row>
    <row r="2878" spans="1:4">
      <c r="A2878" s="70"/>
      <c r="B2878" s="13"/>
      <c r="C2878" s="16"/>
      <c r="D2878" s="13"/>
    </row>
    <row r="2879" spans="1:4">
      <c r="A2879" s="70"/>
      <c r="B2879" s="13"/>
      <c r="C2879" s="16"/>
      <c r="D2879" s="13"/>
    </row>
    <row r="2880" spans="1:4">
      <c r="A2880" s="70"/>
      <c r="B2880" s="13"/>
      <c r="C2880" s="16"/>
      <c r="D2880" s="13"/>
    </row>
    <row r="2881" spans="1:4">
      <c r="A2881" s="70"/>
      <c r="B2881" s="13"/>
      <c r="C2881" s="16"/>
      <c r="D2881" s="13"/>
    </row>
    <row r="2882" spans="1:4">
      <c r="A2882" s="70"/>
      <c r="B2882" s="13"/>
      <c r="C2882" s="16"/>
      <c r="D2882" s="13"/>
    </row>
    <row r="2883" spans="1:4">
      <c r="A2883" s="70"/>
      <c r="B2883" s="13"/>
      <c r="C2883" s="16"/>
      <c r="D2883" s="13"/>
    </row>
    <row r="2884" spans="1:4">
      <c r="A2884" s="70"/>
      <c r="B2884" s="13"/>
      <c r="C2884" s="16"/>
      <c r="D2884" s="13"/>
    </row>
    <row r="2885" spans="1:4">
      <c r="A2885" s="70"/>
      <c r="B2885" s="13"/>
      <c r="C2885" s="16"/>
      <c r="D2885" s="13"/>
    </row>
    <row r="2886" spans="1:4">
      <c r="A2886" s="70"/>
      <c r="B2886" s="13"/>
      <c r="C2886" s="16"/>
      <c r="D2886" s="13"/>
    </row>
    <row r="2887" spans="1:4">
      <c r="A2887" s="70"/>
      <c r="B2887" s="13"/>
      <c r="C2887" s="16"/>
      <c r="D2887" s="13"/>
    </row>
    <row r="2888" spans="1:4">
      <c r="A2888" s="70"/>
      <c r="B2888" s="13"/>
      <c r="C2888" s="16"/>
      <c r="D2888" s="13"/>
    </row>
    <row r="2889" spans="1:4">
      <c r="A2889" s="70"/>
      <c r="B2889" s="13"/>
      <c r="C2889" s="16"/>
      <c r="D2889" s="13"/>
    </row>
    <row r="2890" spans="1:4">
      <c r="A2890" s="70"/>
      <c r="B2890" s="13"/>
      <c r="C2890" s="16"/>
      <c r="D2890" s="13"/>
    </row>
    <row r="2891" spans="1:4">
      <c r="A2891" s="70"/>
      <c r="B2891" s="13"/>
      <c r="C2891" s="16"/>
      <c r="D2891" s="13"/>
    </row>
    <row r="2892" spans="1:4">
      <c r="A2892" s="70"/>
      <c r="B2892" s="13"/>
      <c r="C2892" s="16"/>
      <c r="D2892" s="13"/>
    </row>
    <row r="2893" spans="1:4">
      <c r="A2893" s="70"/>
      <c r="B2893" s="13"/>
      <c r="C2893" s="16"/>
      <c r="D2893" s="13"/>
    </row>
    <row r="2894" spans="1:4">
      <c r="A2894" s="70"/>
      <c r="B2894" s="13"/>
      <c r="C2894" s="16"/>
      <c r="D2894" s="13"/>
    </row>
    <row r="2895" spans="1:4">
      <c r="A2895" s="70"/>
      <c r="B2895" s="13"/>
      <c r="C2895" s="16"/>
      <c r="D2895" s="13"/>
    </row>
    <row r="2896" spans="1:4">
      <c r="A2896" s="70"/>
      <c r="B2896" s="13"/>
      <c r="C2896" s="16"/>
      <c r="D2896" s="13"/>
    </row>
    <row r="2897" spans="1:4">
      <c r="A2897" s="70"/>
      <c r="B2897" s="13"/>
      <c r="C2897" s="16"/>
      <c r="D2897" s="13"/>
    </row>
    <row r="2898" spans="1:4">
      <c r="A2898" s="70"/>
      <c r="B2898" s="13"/>
      <c r="C2898" s="16"/>
      <c r="D2898" s="13"/>
    </row>
    <row r="2899" spans="1:4">
      <c r="A2899" s="70"/>
      <c r="B2899" s="13"/>
      <c r="C2899" s="16"/>
      <c r="D2899" s="13"/>
    </row>
    <row r="2900" spans="1:4">
      <c r="A2900" s="70"/>
      <c r="B2900" s="13"/>
      <c r="C2900" s="16"/>
      <c r="D2900" s="13"/>
    </row>
    <row r="2901" spans="1:4">
      <c r="A2901" s="70"/>
      <c r="B2901" s="13"/>
      <c r="C2901" s="16"/>
      <c r="D2901" s="13"/>
    </row>
    <row r="2902" spans="1:4">
      <c r="A2902" s="70"/>
      <c r="B2902" s="13"/>
      <c r="C2902" s="16"/>
      <c r="D2902" s="13"/>
    </row>
    <row r="2903" spans="1:4">
      <c r="A2903" s="70"/>
      <c r="B2903" s="13"/>
      <c r="C2903" s="16"/>
      <c r="D2903" s="13"/>
    </row>
    <row r="2904" spans="1:4">
      <c r="A2904" s="70"/>
      <c r="B2904" s="13"/>
      <c r="C2904" s="16"/>
      <c r="D2904" s="13"/>
    </row>
    <row r="2905" spans="1:4">
      <c r="A2905" s="70"/>
      <c r="B2905" s="13"/>
      <c r="C2905" s="16"/>
      <c r="D2905" s="13"/>
    </row>
    <row r="2906" spans="1:4">
      <c r="A2906" s="70"/>
      <c r="B2906" s="13"/>
      <c r="C2906" s="16"/>
      <c r="D2906" s="13"/>
    </row>
    <row r="2907" spans="1:4">
      <c r="A2907" s="70"/>
      <c r="B2907" s="13"/>
      <c r="C2907" s="16"/>
      <c r="D2907" s="13"/>
    </row>
    <row r="2908" spans="1:4">
      <c r="A2908" s="70"/>
      <c r="B2908" s="13"/>
      <c r="C2908" s="16"/>
      <c r="D2908" s="13"/>
    </row>
    <row r="2909" spans="1:4">
      <c r="A2909" s="70"/>
      <c r="B2909" s="13"/>
      <c r="C2909" s="16"/>
      <c r="D2909" s="13"/>
    </row>
    <row r="2910" spans="1:4">
      <c r="A2910" s="70"/>
      <c r="B2910" s="13"/>
      <c r="C2910" s="16"/>
      <c r="D2910" s="13"/>
    </row>
    <row r="2911" spans="1:4">
      <c r="A2911" s="70"/>
      <c r="B2911" s="13"/>
      <c r="C2911" s="16"/>
      <c r="D2911" s="13"/>
    </row>
    <row r="2912" spans="1:4">
      <c r="A2912" s="70"/>
      <c r="B2912" s="13"/>
      <c r="C2912" s="16"/>
      <c r="D2912" s="13"/>
    </row>
    <row r="2913" spans="1:4">
      <c r="A2913" s="70"/>
      <c r="B2913" s="13"/>
      <c r="C2913" s="16"/>
      <c r="D2913" s="13"/>
    </row>
    <row r="2914" spans="1:4">
      <c r="A2914" s="70"/>
      <c r="B2914" s="13"/>
      <c r="C2914" s="16"/>
      <c r="D2914" s="13"/>
    </row>
    <row r="2915" spans="1:4">
      <c r="A2915" s="70"/>
      <c r="B2915" s="13"/>
      <c r="C2915" s="16"/>
      <c r="D2915" s="13"/>
    </row>
    <row r="2916" spans="1:4">
      <c r="A2916" s="70"/>
      <c r="B2916" s="13"/>
      <c r="C2916" s="16"/>
      <c r="D2916" s="13"/>
    </row>
    <row r="2917" spans="1:4">
      <c r="A2917" s="70"/>
      <c r="B2917" s="13"/>
      <c r="C2917" s="16"/>
      <c r="D2917" s="13"/>
    </row>
    <row r="2918" spans="1:4">
      <c r="A2918" s="70"/>
      <c r="B2918" s="13"/>
      <c r="C2918" s="16"/>
      <c r="D2918" s="13"/>
    </row>
    <row r="2919" spans="1:4">
      <c r="A2919" s="70"/>
      <c r="B2919" s="13"/>
      <c r="C2919" s="16"/>
      <c r="D2919" s="13"/>
    </row>
    <row r="2920" spans="1:4">
      <c r="A2920" s="70"/>
      <c r="B2920" s="13"/>
      <c r="C2920" s="16"/>
      <c r="D2920" s="13"/>
    </row>
    <row r="2921" spans="1:4">
      <c r="A2921" s="70"/>
      <c r="B2921" s="13"/>
      <c r="C2921" s="16"/>
      <c r="D2921" s="13"/>
    </row>
    <row r="2922" spans="1:4">
      <c r="A2922" s="70"/>
      <c r="B2922" s="13"/>
      <c r="C2922" s="16"/>
      <c r="D2922" s="13"/>
    </row>
    <row r="2923" spans="1:4">
      <c r="A2923" s="70"/>
      <c r="B2923" s="13"/>
      <c r="C2923" s="16"/>
      <c r="D2923" s="13"/>
    </row>
    <row r="2924" spans="1:4">
      <c r="A2924" s="70"/>
      <c r="B2924" s="13"/>
      <c r="C2924" s="16"/>
      <c r="D2924" s="13"/>
    </row>
    <row r="2925" spans="1:4">
      <c r="A2925" s="70"/>
      <c r="B2925" s="13"/>
      <c r="C2925" s="16"/>
      <c r="D2925" s="13"/>
    </row>
    <row r="2926" spans="1:4">
      <c r="A2926" s="70"/>
      <c r="B2926" s="13"/>
      <c r="C2926" s="16"/>
      <c r="D2926" s="13"/>
    </row>
    <row r="2927" spans="1:4">
      <c r="A2927" s="70"/>
      <c r="B2927" s="13"/>
      <c r="C2927" s="16"/>
      <c r="D2927" s="13"/>
    </row>
    <row r="2928" spans="1:4">
      <c r="A2928" s="70"/>
      <c r="B2928" s="13"/>
      <c r="C2928" s="16"/>
      <c r="D2928" s="13"/>
    </row>
    <row r="2929" spans="1:4">
      <c r="A2929" s="70"/>
      <c r="B2929" s="13"/>
      <c r="C2929" s="16"/>
      <c r="D2929" s="13"/>
    </row>
    <row r="2930" spans="1:4">
      <c r="A2930" s="70"/>
      <c r="B2930" s="13"/>
      <c r="C2930" s="16"/>
      <c r="D2930" s="13"/>
    </row>
    <row r="2931" spans="1:4">
      <c r="A2931" s="70"/>
      <c r="B2931" s="13"/>
      <c r="C2931" s="16"/>
      <c r="D2931" s="13"/>
    </row>
    <row r="2932" spans="1:4">
      <c r="A2932" s="70"/>
      <c r="B2932" s="13"/>
      <c r="C2932" s="16"/>
      <c r="D2932" s="13"/>
    </row>
    <row r="2933" spans="1:4">
      <c r="A2933" s="70"/>
      <c r="B2933" s="13"/>
      <c r="C2933" s="16"/>
      <c r="D2933" s="13"/>
    </row>
    <row r="2934" spans="1:4">
      <c r="A2934" s="70"/>
      <c r="B2934" s="13"/>
      <c r="C2934" s="16"/>
      <c r="D2934" s="13"/>
    </row>
    <row r="2935" spans="1:4">
      <c r="A2935" s="70"/>
      <c r="B2935" s="13"/>
      <c r="C2935" s="16"/>
      <c r="D2935" s="13"/>
    </row>
    <row r="2936" spans="1:4">
      <c r="A2936" s="70"/>
      <c r="B2936" s="13"/>
      <c r="C2936" s="16"/>
      <c r="D2936" s="13"/>
    </row>
    <row r="2937" spans="1:4">
      <c r="A2937" s="70"/>
      <c r="B2937" s="13"/>
      <c r="C2937" s="16"/>
      <c r="D2937" s="13"/>
    </row>
    <row r="2938" spans="1:4">
      <c r="A2938" s="70"/>
      <c r="B2938" s="13"/>
      <c r="C2938" s="16"/>
      <c r="D2938" s="13"/>
    </row>
    <row r="2939" spans="1:4">
      <c r="A2939" s="70"/>
      <c r="B2939" s="13"/>
      <c r="C2939" s="16"/>
      <c r="D2939" s="13"/>
    </row>
    <row r="2940" spans="1:4">
      <c r="A2940" s="70"/>
      <c r="B2940" s="13"/>
      <c r="C2940" s="16"/>
      <c r="D2940" s="13"/>
    </row>
    <row r="2941" spans="1:4">
      <c r="A2941" s="70"/>
      <c r="B2941" s="13"/>
      <c r="C2941" s="16"/>
      <c r="D2941" s="13"/>
    </row>
    <row r="2942" spans="1:4">
      <c r="A2942" s="70"/>
      <c r="B2942" s="13"/>
      <c r="C2942" s="16"/>
      <c r="D2942" s="13"/>
    </row>
    <row r="2943" spans="1:4">
      <c r="A2943" s="70"/>
      <c r="B2943" s="13"/>
      <c r="C2943" s="16"/>
      <c r="D2943" s="13"/>
    </row>
    <row r="2944" spans="1:4">
      <c r="A2944" s="70"/>
      <c r="B2944" s="13"/>
      <c r="C2944" s="16"/>
      <c r="D2944" s="13"/>
    </row>
    <row r="2945" spans="1:4">
      <c r="A2945" s="70"/>
      <c r="B2945" s="13"/>
      <c r="C2945" s="16"/>
      <c r="D2945" s="13"/>
    </row>
    <row r="2946" spans="1:4">
      <c r="A2946" s="70"/>
      <c r="B2946" s="13"/>
      <c r="C2946" s="16"/>
      <c r="D2946" s="13"/>
    </row>
    <row r="2947" spans="1:4">
      <c r="A2947" s="70"/>
      <c r="B2947" s="13"/>
      <c r="C2947" s="16"/>
      <c r="D2947" s="13"/>
    </row>
    <row r="2948" spans="1:4">
      <c r="A2948" s="70"/>
      <c r="B2948" s="13"/>
      <c r="C2948" s="16"/>
      <c r="D2948" s="13"/>
    </row>
    <row r="2949" spans="1:4">
      <c r="A2949" s="70"/>
      <c r="B2949" s="13"/>
      <c r="C2949" s="16"/>
      <c r="D2949" s="13"/>
    </row>
    <row r="2950" spans="1:4">
      <c r="A2950" s="70"/>
      <c r="B2950" s="13"/>
      <c r="C2950" s="16"/>
      <c r="D2950" s="13"/>
    </row>
    <row r="2951" spans="1:4">
      <c r="A2951" s="70"/>
      <c r="B2951" s="13"/>
      <c r="C2951" s="16"/>
      <c r="D2951" s="13"/>
    </row>
    <row r="2952" spans="1:4">
      <c r="A2952" s="70"/>
      <c r="B2952" s="13"/>
      <c r="C2952" s="16"/>
      <c r="D2952" s="13"/>
    </row>
    <row r="2953" spans="1:4">
      <c r="A2953" s="70"/>
      <c r="B2953" s="13"/>
      <c r="C2953" s="16"/>
      <c r="D2953" s="13"/>
    </row>
    <row r="2954" spans="1:4">
      <c r="A2954" s="70"/>
      <c r="B2954" s="13"/>
      <c r="C2954" s="16"/>
      <c r="D2954" s="13"/>
    </row>
    <row r="2955" spans="1:4">
      <c r="A2955" s="70"/>
      <c r="B2955" s="13"/>
      <c r="C2955" s="16"/>
      <c r="D2955" s="13"/>
    </row>
    <row r="2956" spans="1:4">
      <c r="A2956" s="70"/>
      <c r="B2956" s="13"/>
      <c r="C2956" s="16"/>
      <c r="D2956" s="13"/>
    </row>
    <row r="2957" spans="1:4">
      <c r="A2957" s="70"/>
      <c r="B2957" s="13"/>
      <c r="C2957" s="16"/>
      <c r="D2957" s="13"/>
    </row>
    <row r="2958" spans="1:4">
      <c r="A2958" s="70"/>
      <c r="B2958" s="13"/>
      <c r="C2958" s="16"/>
      <c r="D2958" s="13"/>
    </row>
    <row r="2959" spans="1:4">
      <c r="A2959" s="70"/>
      <c r="B2959" s="13"/>
      <c r="C2959" s="16"/>
      <c r="D2959" s="13"/>
    </row>
    <row r="2960" spans="1:4">
      <c r="A2960" s="70"/>
      <c r="B2960" s="13"/>
      <c r="C2960" s="16"/>
      <c r="D2960" s="13"/>
    </row>
    <row r="2961" spans="1:4">
      <c r="A2961" s="70"/>
      <c r="B2961" s="13"/>
      <c r="C2961" s="16"/>
      <c r="D2961" s="13"/>
    </row>
    <row r="2962" spans="1:4">
      <c r="A2962" s="70"/>
      <c r="B2962" s="13"/>
      <c r="C2962" s="16"/>
      <c r="D2962" s="13"/>
    </row>
    <row r="2963" spans="1:4">
      <c r="A2963" s="70"/>
      <c r="B2963" s="13"/>
      <c r="C2963" s="16"/>
      <c r="D2963" s="13"/>
    </row>
    <row r="2964" spans="1:4">
      <c r="A2964" s="70"/>
      <c r="B2964" s="13"/>
      <c r="C2964" s="16"/>
      <c r="D2964" s="13"/>
    </row>
    <row r="2965" spans="1:4">
      <c r="A2965" s="70"/>
      <c r="B2965" s="13"/>
      <c r="C2965" s="16"/>
      <c r="D2965" s="13"/>
    </row>
    <row r="2966" spans="1:4">
      <c r="A2966" s="70"/>
      <c r="B2966" s="13"/>
      <c r="C2966" s="16"/>
      <c r="D2966" s="13"/>
    </row>
    <row r="2967" spans="1:4">
      <c r="A2967" s="70"/>
      <c r="B2967" s="13"/>
      <c r="C2967" s="16"/>
      <c r="D2967" s="13"/>
    </row>
    <row r="2968" spans="1:4">
      <c r="A2968" s="70"/>
      <c r="B2968" s="13"/>
      <c r="C2968" s="16"/>
      <c r="D2968" s="13"/>
    </row>
    <row r="2969" spans="1:4">
      <c r="A2969" s="70"/>
      <c r="B2969" s="13"/>
      <c r="C2969" s="16"/>
      <c r="D2969" s="13"/>
    </row>
    <row r="2970" spans="1:4">
      <c r="A2970" s="70"/>
      <c r="B2970" s="13"/>
      <c r="C2970" s="16"/>
      <c r="D2970" s="13"/>
    </row>
    <row r="2971" spans="1:4">
      <c r="A2971" s="70"/>
      <c r="B2971" s="13"/>
      <c r="C2971" s="16"/>
      <c r="D2971" s="13"/>
    </row>
    <row r="2972" spans="1:4">
      <c r="A2972" s="70"/>
      <c r="B2972" s="13"/>
      <c r="C2972" s="16"/>
      <c r="D2972" s="13"/>
    </row>
    <row r="2973" spans="1:4">
      <c r="A2973" s="70"/>
      <c r="B2973" s="13"/>
      <c r="C2973" s="16"/>
      <c r="D2973" s="13"/>
    </row>
    <row r="2974" spans="1:4">
      <c r="A2974" s="70"/>
      <c r="B2974" s="13"/>
      <c r="C2974" s="16"/>
      <c r="D2974" s="13"/>
    </row>
    <row r="2975" spans="1:4">
      <c r="A2975" s="70"/>
      <c r="B2975" s="13"/>
      <c r="C2975" s="16"/>
      <c r="D2975" s="13"/>
    </row>
    <row r="2976" spans="1:4">
      <c r="A2976" s="70"/>
      <c r="B2976" s="13"/>
      <c r="C2976" s="16"/>
      <c r="D2976" s="13"/>
    </row>
    <row r="2977" spans="1:4">
      <c r="A2977" s="70"/>
      <c r="B2977" s="13"/>
      <c r="C2977" s="16"/>
      <c r="D2977" s="13"/>
    </row>
    <row r="2978" spans="1:4">
      <c r="A2978" s="70"/>
      <c r="B2978" s="13"/>
      <c r="C2978" s="16"/>
      <c r="D2978" s="13"/>
    </row>
    <row r="2979" spans="1:4">
      <c r="A2979" s="70"/>
      <c r="B2979" s="13"/>
      <c r="C2979" s="16"/>
      <c r="D2979" s="13"/>
    </row>
    <row r="2980" spans="1:4">
      <c r="A2980" s="70"/>
      <c r="B2980" s="13"/>
      <c r="C2980" s="16"/>
      <c r="D2980" s="13"/>
    </row>
    <row r="2981" spans="1:4">
      <c r="A2981" s="70"/>
      <c r="B2981" s="13"/>
      <c r="C2981" s="16"/>
      <c r="D2981" s="13"/>
    </row>
  </sheetData>
  <protectedRanges>
    <protectedRange sqref="C496" name="Intervalo1_39_2"/>
    <protectedRange sqref="A1994" name="Intervalo1_6_2"/>
    <protectedRange sqref="A2011" name="Intervalo1_7_2"/>
    <protectedRange sqref="A1955" name="Intervalo1_12_1"/>
    <protectedRange sqref="A2099:A2100" name="Intervalo1_17_2"/>
    <protectedRange sqref="A2101:A2103" name="Intervalo1_18_2"/>
    <protectedRange sqref="A1980" name="Intervalo1_25_2"/>
    <protectedRange sqref="A1981 A127:A128" name="Intervalo1_26_2"/>
    <protectedRange sqref="A2136" name="Intervalo1_23_2"/>
    <protectedRange sqref="A2137" name="Intervalo1_24_2"/>
    <protectedRange sqref="A2138" name="Intervalo1_28_2"/>
    <protectedRange sqref="A2153" name="Intervalo1_27_2"/>
    <protectedRange sqref="A2090" name="Intervalo1_29_2"/>
    <protectedRange sqref="C2833:D2833 A1972" name="Intervalo1"/>
    <protectedRange sqref="A1973" name="Intervalo1_1"/>
    <protectedRange sqref="A1974" name="Intervalo1_2"/>
    <protectedRange sqref="A1975" name="Intervalo1_3"/>
    <protectedRange sqref="A1976" name="Intervalo1_4"/>
    <protectedRange sqref="A2176" name="Intervalo1_1_2"/>
    <protectedRange sqref="A2203" name="Intervalo1_2_2"/>
    <protectedRange sqref="A2205" name="Intervalo1_2_3"/>
    <protectedRange sqref="A604" name="Intervalo1_5"/>
    <protectedRange sqref="A605" name="Intervalo1_6"/>
    <protectedRange sqref="A606" name="Intervalo1_7"/>
    <protectedRange sqref="A607" name="Intervalo1_8"/>
    <protectedRange sqref="A2253" name="Intervalo1_9"/>
    <protectedRange sqref="C548:D549 C553:D553" name="Intervalo1_10"/>
    <protectedRange sqref="A2259" name="Intervalo1_11"/>
    <protectedRange sqref="C2259:D2259" name="Intervalo1_12"/>
    <protectedRange sqref="A413:A414 A2241" name="Intervalo1_15"/>
    <protectedRange sqref="C2281:D2281" name="Intervalo1_13"/>
    <protectedRange sqref="A2285" name="Intervalo1_14"/>
    <protectedRange sqref="A2286" name="Intervalo1_16"/>
    <protectedRange sqref="A2287" name="Intervalo1_17"/>
    <protectedRange sqref="A2288" name="Intervalo1_18"/>
    <protectedRange sqref="A2293 A2773" name="Intervalo1_19"/>
    <protectedRange sqref="C2282:D2282" name="Intervalo1_20"/>
    <protectedRange sqref="A2294" name="Intervalo1_21"/>
    <protectedRange sqref="A2307:A2308" name="Intervalo1_22"/>
    <protectedRange sqref="A2310" name="Intervalo1_23"/>
    <protectedRange sqref="A2316:A2317 A2328:A2332" name="Intervalo1_24"/>
    <protectedRange sqref="A2318" name="Intervalo1_25"/>
    <protectedRange sqref="A2319 A2333:A2334" name="Intervalo1_26"/>
    <protectedRange sqref="A2320" name="Intervalo1_27"/>
    <protectedRange sqref="A2321" name="Intervalo1_28"/>
    <protectedRange sqref="A2345:A2347" name="Intervalo1_31"/>
    <protectedRange sqref="A2348" name="Intervalo1_32"/>
    <protectedRange sqref="A2349" name="Intervalo1_33"/>
    <protectedRange sqref="A2355" name="Intervalo1_34"/>
    <protectedRange sqref="A2356" name="Intervalo1_35"/>
    <protectedRange sqref="A806" name="Intervalo1_36"/>
    <protectedRange sqref="A807" name="Intervalo1_37"/>
    <protectedRange sqref="A2384" name="Intervalo1_38"/>
    <protectedRange sqref="A2397:A2402" name="Intervalo1_39"/>
    <protectedRange sqref="C2399" name="Intervalo1_40"/>
    <protectedRange sqref="A84" name="Intervalo1_41"/>
    <protectedRange sqref="A85" name="Intervalo1_42"/>
    <protectedRange sqref="A86" name="Intervalo1_43"/>
    <protectedRange sqref="A2375:A2378" name="Intervalo1_44"/>
    <protectedRange sqref="D505" name="Intervalo1_45"/>
    <protectedRange sqref="A2421" name="Intervalo1_46"/>
    <protectedRange sqref="D2425" name="Intervalo1_48"/>
    <protectedRange sqref="C2424:D2424" name="Intervalo1_47"/>
    <protectedRange sqref="A2437" name="Intervalo1_49"/>
    <protectedRange sqref="A2458" name="Intervalo1_50"/>
    <protectedRange sqref="A2459:A2463" name="Intervalo1_51"/>
    <protectedRange sqref="C1885:D1885" name="Intervalo1_52"/>
    <protectedRange sqref="A2475" name="Intervalo1_53"/>
    <protectedRange sqref="A2476" name="Intervalo1_54"/>
    <protectedRange sqref="A2477" name="Intervalo1_55"/>
    <protectedRange sqref="A2481" name="Intervalo1_56"/>
    <protectedRange sqref="A2482" name="Intervalo1_57"/>
    <protectedRange sqref="C550:D552" name="Intervalo1_58"/>
    <protectedRange sqref="A428" name="Intervalo1_59"/>
    <protectedRange sqref="A429" name="Intervalo1_60"/>
    <protectedRange sqref="A2502" name="Intervalo1_61"/>
    <protectedRange sqref="A2506" name="Intervalo1_62"/>
    <protectedRange sqref="C2509" name="Intervalo1_63"/>
    <protectedRange sqref="A2519:A2523" name="Intervalo1_64"/>
    <protectedRange sqref="A2524:A2525" name="Intervalo1_65"/>
    <protectedRange sqref="A2540" name="Intervalo1_69"/>
    <protectedRange sqref="A100" name="Intervalo1_66"/>
    <protectedRange sqref="A2542" name="Intervalo1_67"/>
    <protectedRange sqref="A2543" name="Intervalo1_68"/>
    <protectedRange sqref="A2544" name="Intervalo1_70"/>
    <protectedRange sqref="C2564:D2564" name="Intervalo1_71"/>
    <protectedRange sqref="A2565:A2569" name="Intervalo1_72"/>
    <protectedRange sqref="A1802" name="Intervalo1_78"/>
    <protectedRange sqref="A2593:A2596" name="Intervalo1_73"/>
    <protectedRange sqref="A2597" name="Intervalo1_74"/>
    <protectedRange sqref="A2607" name="Intervalo1_77"/>
    <protectedRange sqref="A2608 A2610" name="Intervalo1_79"/>
    <protectedRange sqref="A2586" name="Intervalo1_80"/>
    <protectedRange sqref="A2587" name="Intervalo1_81"/>
    <protectedRange sqref="A2612" name="Intervalo1_76"/>
    <protectedRange sqref="A2625" name="Intervalo1_29"/>
    <protectedRange sqref="A2626" name="Intervalo1_75"/>
    <protectedRange sqref="A2627" name="Intervalo1_82"/>
    <protectedRange sqref="A2630:A2633" name="Intervalo1_3_2"/>
    <protectedRange sqref="A2661" name="Intervalo1_84"/>
    <protectedRange sqref="A2662:A2663" name="Intervalo1_85"/>
    <protectedRange sqref="C2665:D2665 C2667:D2670 C2666" name="Intervalo1_2_4"/>
    <protectedRange sqref="D2666" name="Intervalo1_2_5"/>
    <protectedRange sqref="A2671" name="Intervalo1_83"/>
    <protectedRange sqref="A2675" name="Intervalo1_1_1"/>
    <protectedRange sqref="A2682" name="Intervalo1_86"/>
    <protectedRange sqref="A2683:A2684" name="Intervalo1_87"/>
    <protectedRange sqref="A2691:A2692" name="Intervalo1_1_3"/>
    <protectedRange sqref="A2693:A2694" name="Intervalo1_1_4"/>
    <protectedRange sqref="A2727" name="Intervalo1_1_5"/>
    <protectedRange sqref="A2738:A2739" name="Intervalo1_30"/>
    <protectedRange sqref="A2745" name="Intervalo1_1_6"/>
    <protectedRange sqref="A2746" name="Intervalo1_1_7"/>
    <protectedRange sqref="A2747" name="Intervalo1_1_8"/>
    <protectedRange sqref="A2752" name="Intervalo1_1_9"/>
    <protectedRange sqref="A2758" name="Intervalo1_88"/>
    <protectedRange sqref="A2759:A2760" name="Intervalo1_89"/>
    <protectedRange sqref="A2761:A2762" name="Intervalo1_90"/>
    <protectedRange sqref="A2763" name="Intervalo1_91"/>
    <protectedRange sqref="A2768" name="Intervalo1_93"/>
    <protectedRange sqref="A2779" name="Intervalo1_2_1"/>
    <protectedRange sqref="A2780:A2781" name="Intervalo1_2_6"/>
    <protectedRange sqref="A2792 A2800" name="Intervalo1_92"/>
    <protectedRange sqref="A2793:A2794" name="Intervalo1_94"/>
    <protectedRange sqref="C2799:D2799" name="Intervalo1_95"/>
    <protectedRange sqref="A2801" name="Intervalo1_2_7"/>
    <protectedRange sqref="A2812" name="Intervalo1_96"/>
    <protectedRange sqref="A2831" name="Intervalo1_98"/>
    <protectedRange sqref="A2832" name="Intervalo1_99"/>
  </protectedRanges>
  <sortState xmlns:xlrd2="http://schemas.microsoft.com/office/spreadsheetml/2017/richdata2" ref="A2:D1964">
    <sortCondition ref="A2:A1964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2C2DE-595D-4B77-9448-65369C7851E3}">
  <sheetPr codeName="Planilha70">
    <tabColor rgb="FFFFC000"/>
  </sheetPr>
  <dimension ref="A1:D3102"/>
  <sheetViews>
    <sheetView showGridLines="0" tabSelected="1" zoomScale="90" zoomScaleNormal="90" workbookViewId="0">
      <pane ySplit="1" topLeftCell="A1560" activePane="bottomLeft" state="frozen"/>
      <selection pane="bottomLeft" activeCell="J1578" sqref="J1578"/>
    </sheetView>
  </sheetViews>
  <sheetFormatPr defaultRowHeight="15"/>
  <cols>
    <col min="1" max="1" width="86.7109375" customWidth="1"/>
    <col min="2" max="2" width="29" style="3" bestFit="1" customWidth="1"/>
    <col min="3" max="3" width="65.5703125" customWidth="1"/>
    <col min="4" max="4" width="29" bestFit="1" customWidth="1"/>
  </cols>
  <sheetData>
    <row r="1" spans="1:4" ht="21">
      <c r="A1" s="74" t="s">
        <v>2916</v>
      </c>
      <c r="B1" s="45" t="s">
        <v>2297</v>
      </c>
      <c r="C1" s="44" t="s">
        <v>152</v>
      </c>
      <c r="D1" s="45" t="s">
        <v>79</v>
      </c>
    </row>
    <row r="2" spans="1:4">
      <c r="A2" s="70" t="s">
        <v>2197</v>
      </c>
      <c r="B2" s="17" t="s">
        <v>2285</v>
      </c>
      <c r="C2" s="16" t="s">
        <v>280</v>
      </c>
      <c r="D2" s="13">
        <v>7500435127288</v>
      </c>
    </row>
    <row r="3" spans="1:4">
      <c r="A3" s="70" t="s">
        <v>2197</v>
      </c>
      <c r="B3" s="17" t="s">
        <v>2285</v>
      </c>
      <c r="C3" s="16" t="s">
        <v>281</v>
      </c>
      <c r="D3" s="13">
        <v>7500435126199</v>
      </c>
    </row>
    <row r="4" spans="1:4">
      <c r="A4" s="70" t="s">
        <v>1265</v>
      </c>
      <c r="B4" s="17" t="s">
        <v>2285</v>
      </c>
      <c r="C4" s="16" t="s">
        <v>1271</v>
      </c>
      <c r="D4" s="13">
        <v>7896007547685</v>
      </c>
    </row>
    <row r="5" spans="1:4">
      <c r="A5" s="70" t="s">
        <v>3433</v>
      </c>
      <c r="B5" s="17" t="s">
        <v>2285</v>
      </c>
      <c r="C5" s="16" t="s">
        <v>345</v>
      </c>
      <c r="D5" s="13">
        <v>7896007544042</v>
      </c>
    </row>
    <row r="6" spans="1:4">
      <c r="A6" s="70" t="s">
        <v>3433</v>
      </c>
      <c r="B6" s="17" t="s">
        <v>2285</v>
      </c>
      <c r="C6" s="16" t="s">
        <v>346</v>
      </c>
      <c r="D6" s="13">
        <v>7896007544059</v>
      </c>
    </row>
    <row r="7" spans="1:4">
      <c r="A7" s="70" t="s">
        <v>78</v>
      </c>
      <c r="B7" s="17" t="s">
        <v>2285</v>
      </c>
      <c r="C7" s="16" t="s">
        <v>315</v>
      </c>
      <c r="D7" s="13">
        <v>7896007547647</v>
      </c>
    </row>
    <row r="8" spans="1:4">
      <c r="A8" s="70" t="s">
        <v>78</v>
      </c>
      <c r="B8" s="17" t="s">
        <v>2285</v>
      </c>
      <c r="C8" s="16" t="s">
        <v>316</v>
      </c>
      <c r="D8" s="13">
        <v>7896007547654</v>
      </c>
    </row>
    <row r="9" spans="1:4">
      <c r="A9" s="70" t="s">
        <v>1438</v>
      </c>
      <c r="B9" s="17" t="s">
        <v>2288</v>
      </c>
      <c r="C9" s="16" t="s">
        <v>1442</v>
      </c>
      <c r="D9" s="13">
        <v>7896594971290</v>
      </c>
    </row>
    <row r="10" spans="1:4">
      <c r="A10" s="70" t="s">
        <v>1438</v>
      </c>
      <c r="B10" s="17" t="s">
        <v>2288</v>
      </c>
      <c r="C10" s="16" t="s">
        <v>1447</v>
      </c>
      <c r="D10" s="13">
        <v>7896594971559</v>
      </c>
    </row>
    <row r="11" spans="1:4">
      <c r="A11" s="70" t="s">
        <v>1438</v>
      </c>
      <c r="B11" s="17" t="s">
        <v>2288</v>
      </c>
      <c r="C11" s="16" t="s">
        <v>1485</v>
      </c>
      <c r="D11" s="13">
        <v>7896594971610</v>
      </c>
    </row>
    <row r="12" spans="1:4">
      <c r="A12" s="70" t="s">
        <v>1438</v>
      </c>
      <c r="B12" s="17" t="s">
        <v>2288</v>
      </c>
      <c r="C12" s="16" t="s">
        <v>1443</v>
      </c>
      <c r="D12" s="13">
        <v>7896594971306</v>
      </c>
    </row>
    <row r="13" spans="1:4">
      <c r="A13" s="70" t="s">
        <v>1438</v>
      </c>
      <c r="B13" s="17" t="s">
        <v>2288</v>
      </c>
      <c r="C13" s="16" t="s">
        <v>1444</v>
      </c>
      <c r="D13" s="13">
        <v>7896594971283</v>
      </c>
    </row>
    <row r="14" spans="1:4">
      <c r="A14" s="70" t="s">
        <v>126</v>
      </c>
      <c r="B14" s="17" t="s">
        <v>2281</v>
      </c>
      <c r="C14" s="16" t="s">
        <v>200</v>
      </c>
      <c r="D14" s="13">
        <v>7896224836098</v>
      </c>
    </row>
    <row r="15" spans="1:4">
      <c r="A15" s="70" t="s">
        <v>455</v>
      </c>
      <c r="B15" s="17" t="s">
        <v>2281</v>
      </c>
      <c r="C15" s="16" t="s">
        <v>475</v>
      </c>
      <c r="D15" s="13">
        <v>7896060037451</v>
      </c>
    </row>
    <row r="16" spans="1:4">
      <c r="A16" s="70" t="s">
        <v>963</v>
      </c>
      <c r="B16" s="17" t="s">
        <v>2281</v>
      </c>
      <c r="C16" s="16" t="s">
        <v>995</v>
      </c>
      <c r="D16" s="13">
        <v>7896072005080</v>
      </c>
    </row>
    <row r="17" spans="1:4">
      <c r="A17" s="70" t="s">
        <v>1139</v>
      </c>
      <c r="B17" s="17" t="s">
        <v>2281</v>
      </c>
      <c r="C17" s="16" t="s">
        <v>1759</v>
      </c>
      <c r="D17" s="13">
        <v>7891000053508</v>
      </c>
    </row>
    <row r="18" spans="1:4">
      <c r="A18" s="70" t="s">
        <v>1867</v>
      </c>
      <c r="B18" s="17" t="s">
        <v>2281</v>
      </c>
      <c r="C18" s="16" t="s">
        <v>1868</v>
      </c>
      <c r="D18" s="13">
        <v>7891000338162</v>
      </c>
    </row>
    <row r="19" spans="1:4">
      <c r="A19" s="70" t="s">
        <v>432</v>
      </c>
      <c r="B19" s="17" t="s">
        <v>2281</v>
      </c>
      <c r="C19" s="16" t="s">
        <v>427</v>
      </c>
      <c r="D19" s="13">
        <v>7891000067178</v>
      </c>
    </row>
    <row r="20" spans="1:4">
      <c r="A20" s="70" t="s">
        <v>2003</v>
      </c>
      <c r="B20" s="17" t="s">
        <v>2281</v>
      </c>
      <c r="C20" s="16" t="s">
        <v>2007</v>
      </c>
      <c r="D20" s="13">
        <v>7891000352175</v>
      </c>
    </row>
    <row r="21" spans="1:4">
      <c r="A21" s="70" t="s">
        <v>2003</v>
      </c>
      <c r="B21" s="17" t="s">
        <v>2281</v>
      </c>
      <c r="C21" s="16" t="s">
        <v>2007</v>
      </c>
      <c r="D21" s="13">
        <v>7891000355756</v>
      </c>
    </row>
    <row r="22" spans="1:4">
      <c r="A22" s="70" t="s">
        <v>2290</v>
      </c>
      <c r="B22" s="17" t="s">
        <v>2281</v>
      </c>
      <c r="C22" s="16" t="s">
        <v>2298</v>
      </c>
      <c r="D22" s="13">
        <v>7892840819507</v>
      </c>
    </row>
    <row r="23" spans="1:4">
      <c r="A23" s="70" t="s">
        <v>1297</v>
      </c>
      <c r="B23" s="17" t="s">
        <v>2281</v>
      </c>
      <c r="C23" s="16" t="s">
        <v>730</v>
      </c>
      <c r="D23" s="13">
        <v>7894321711263</v>
      </c>
    </row>
    <row r="24" spans="1:4">
      <c r="A24" s="70" t="s">
        <v>967</v>
      </c>
      <c r="B24" s="17" t="s">
        <v>2281</v>
      </c>
      <c r="C24" s="16" t="s">
        <v>991</v>
      </c>
      <c r="D24" s="13">
        <v>7891000053508</v>
      </c>
    </row>
    <row r="25" spans="1:4">
      <c r="A25" s="70" t="s">
        <v>357</v>
      </c>
      <c r="B25" s="17" t="s">
        <v>2280</v>
      </c>
      <c r="C25" s="16" t="s">
        <v>365</v>
      </c>
      <c r="D25" s="13">
        <v>7898187830052</v>
      </c>
    </row>
    <row r="26" spans="1:4">
      <c r="A26" s="70" t="s">
        <v>141</v>
      </c>
      <c r="B26" s="17" t="s">
        <v>2280</v>
      </c>
      <c r="C26" s="16" t="s">
        <v>157</v>
      </c>
      <c r="D26" s="13">
        <v>7891959009922</v>
      </c>
    </row>
    <row r="27" spans="1:4">
      <c r="A27" s="70" t="s">
        <v>1402</v>
      </c>
      <c r="B27" s="17" t="s">
        <v>2280</v>
      </c>
      <c r="C27" s="16" t="s">
        <v>1408</v>
      </c>
      <c r="D27" s="13">
        <v>7891910020065</v>
      </c>
    </row>
    <row r="28" spans="1:4">
      <c r="A28" s="70" t="s">
        <v>2156</v>
      </c>
      <c r="B28" s="17" t="s">
        <v>2281</v>
      </c>
      <c r="C28" s="16" t="s">
        <v>2161</v>
      </c>
      <c r="D28" s="13">
        <v>7896292001404</v>
      </c>
    </row>
    <row r="29" spans="1:4">
      <c r="A29" s="70" t="s">
        <v>3434</v>
      </c>
      <c r="B29" s="17" t="s">
        <v>2280</v>
      </c>
      <c r="C29" s="16" t="s">
        <v>156</v>
      </c>
      <c r="D29" s="13">
        <v>7896508200034</v>
      </c>
    </row>
    <row r="30" spans="1:4">
      <c r="A30" s="70" t="s">
        <v>3435</v>
      </c>
      <c r="B30" s="17" t="s">
        <v>2280</v>
      </c>
      <c r="C30" s="16" t="s">
        <v>312</v>
      </c>
      <c r="D30" s="13">
        <v>7891910000197</v>
      </c>
    </row>
    <row r="31" spans="1:4">
      <c r="A31" s="70" t="s">
        <v>112</v>
      </c>
      <c r="B31" s="17" t="s">
        <v>2281</v>
      </c>
      <c r="C31" s="16" t="s">
        <v>1043</v>
      </c>
      <c r="D31" s="13">
        <v>7896292001442</v>
      </c>
    </row>
    <row r="32" spans="1:4">
      <c r="A32" s="70" t="s">
        <v>70</v>
      </c>
      <c r="B32" s="17" t="s">
        <v>2283</v>
      </c>
      <c r="C32" s="16" t="s">
        <v>1228</v>
      </c>
      <c r="D32" s="13">
        <v>7898370103550</v>
      </c>
    </row>
    <row r="33" spans="1:4">
      <c r="A33" s="70" t="s">
        <v>1427</v>
      </c>
      <c r="B33" s="17" t="s">
        <v>2283</v>
      </c>
      <c r="C33" s="16" t="s">
        <v>1430</v>
      </c>
      <c r="D33" s="13">
        <v>7896288971117</v>
      </c>
    </row>
    <row r="34" spans="1:4">
      <c r="A34" s="70" t="s">
        <v>1603</v>
      </c>
      <c r="B34" s="17" t="s">
        <v>2283</v>
      </c>
      <c r="C34" s="16" t="s">
        <v>1613</v>
      </c>
      <c r="D34" s="13">
        <v>7896288988887</v>
      </c>
    </row>
    <row r="35" spans="1:4">
      <c r="A35" s="70" t="s">
        <v>1550</v>
      </c>
      <c r="B35" s="17" t="s">
        <v>2283</v>
      </c>
      <c r="C35" s="16" t="s">
        <v>1565</v>
      </c>
      <c r="D35" s="13">
        <v>7894900530032</v>
      </c>
    </row>
    <row r="36" spans="1:4">
      <c r="A36" s="70" t="s">
        <v>529</v>
      </c>
      <c r="B36" s="17" t="s">
        <v>2286</v>
      </c>
      <c r="C36" s="16" t="s">
        <v>549</v>
      </c>
      <c r="D36" s="13">
        <v>7896183310370</v>
      </c>
    </row>
    <row r="37" spans="1:4">
      <c r="A37" s="70" t="s">
        <v>105</v>
      </c>
      <c r="B37" s="17" t="s">
        <v>2286</v>
      </c>
      <c r="C37" s="16" t="s">
        <v>1106</v>
      </c>
      <c r="D37" s="13">
        <v>7896183310066</v>
      </c>
    </row>
    <row r="38" spans="1:4">
      <c r="A38" s="70" t="s">
        <v>94</v>
      </c>
      <c r="B38" s="17" t="s">
        <v>2286</v>
      </c>
      <c r="C38" s="16" t="s">
        <v>1089</v>
      </c>
      <c r="D38" s="13">
        <v>7896090703609</v>
      </c>
    </row>
    <row r="39" spans="1:4">
      <c r="A39" s="70" t="s">
        <v>1725</v>
      </c>
      <c r="B39" s="17" t="s">
        <v>2286</v>
      </c>
      <c r="C39" s="16" t="s">
        <v>1670</v>
      </c>
      <c r="D39" s="13">
        <v>7500435160803</v>
      </c>
    </row>
    <row r="40" spans="1:4">
      <c r="A40" s="70" t="s">
        <v>1725</v>
      </c>
      <c r="B40" s="17" t="s">
        <v>2286</v>
      </c>
      <c r="C40" s="16" t="s">
        <v>224</v>
      </c>
      <c r="D40" s="13">
        <v>7506195143872</v>
      </c>
    </row>
    <row r="41" spans="1:4">
      <c r="A41" s="70" t="s">
        <v>1725</v>
      </c>
      <c r="B41" s="17" t="s">
        <v>2286</v>
      </c>
      <c r="C41" s="16" t="s">
        <v>1791</v>
      </c>
      <c r="D41" s="13">
        <v>7500435160032</v>
      </c>
    </row>
    <row r="42" spans="1:4">
      <c r="A42" s="70" t="s">
        <v>1725</v>
      </c>
      <c r="B42" s="17" t="s">
        <v>2286</v>
      </c>
      <c r="C42" s="16" t="s">
        <v>1792</v>
      </c>
      <c r="D42" s="13">
        <v>7500435159975</v>
      </c>
    </row>
    <row r="43" spans="1:4">
      <c r="A43" s="70" t="s">
        <v>1725</v>
      </c>
      <c r="B43" s="17" t="s">
        <v>2286</v>
      </c>
      <c r="C43" s="16" t="s">
        <v>223</v>
      </c>
      <c r="D43" s="13">
        <v>7506195143858</v>
      </c>
    </row>
    <row r="44" spans="1:4">
      <c r="A44" s="70" t="s">
        <v>1725</v>
      </c>
      <c r="B44" s="17" t="s">
        <v>2286</v>
      </c>
      <c r="C44" s="16" t="s">
        <v>225</v>
      </c>
      <c r="D44" s="13">
        <v>7506195143834</v>
      </c>
    </row>
    <row r="45" spans="1:4">
      <c r="A45" s="70" t="s">
        <v>1725</v>
      </c>
      <c r="B45" s="17" t="s">
        <v>2286</v>
      </c>
      <c r="C45" s="16" t="s">
        <v>1667</v>
      </c>
      <c r="D45" s="13">
        <v>7500435156981</v>
      </c>
    </row>
    <row r="46" spans="1:4">
      <c r="A46" s="70" t="s">
        <v>1725</v>
      </c>
      <c r="B46" s="17" t="s">
        <v>2286</v>
      </c>
      <c r="C46" s="16" t="s">
        <v>1471</v>
      </c>
      <c r="D46" s="13">
        <v>7500435153874</v>
      </c>
    </row>
    <row r="47" spans="1:4">
      <c r="A47" s="70" t="s">
        <v>1725</v>
      </c>
      <c r="B47" s="17" t="s">
        <v>2286</v>
      </c>
      <c r="C47" s="16" t="s">
        <v>1864</v>
      </c>
      <c r="D47" s="13">
        <v>7500435160087</v>
      </c>
    </row>
    <row r="48" spans="1:4">
      <c r="A48" s="70" t="s">
        <v>1725</v>
      </c>
      <c r="B48" s="17" t="s">
        <v>2286</v>
      </c>
      <c r="C48" s="16" t="s">
        <v>2040</v>
      </c>
      <c r="D48" s="13">
        <v>7500435201292</v>
      </c>
    </row>
    <row r="49" spans="1:4">
      <c r="A49" s="70" t="s">
        <v>1725</v>
      </c>
      <c r="B49" s="17" t="s">
        <v>2286</v>
      </c>
      <c r="C49" s="16" t="s">
        <v>1885</v>
      </c>
      <c r="D49" s="13">
        <v>7500435160056</v>
      </c>
    </row>
    <row r="50" spans="1:4">
      <c r="A50" s="70" t="s">
        <v>1725</v>
      </c>
      <c r="B50" s="17" t="s">
        <v>2286</v>
      </c>
      <c r="C50" s="16" t="s">
        <v>1671</v>
      </c>
      <c r="D50" s="13">
        <v>7500435148689</v>
      </c>
    </row>
    <row r="51" spans="1:4">
      <c r="A51" s="70" t="s">
        <v>1725</v>
      </c>
      <c r="B51" s="17" t="s">
        <v>2286</v>
      </c>
      <c r="C51" s="16" t="s">
        <v>2042</v>
      </c>
      <c r="D51" s="13">
        <v>7500435159999</v>
      </c>
    </row>
    <row r="52" spans="1:4">
      <c r="A52" s="70" t="s">
        <v>1725</v>
      </c>
      <c r="B52" s="17" t="s">
        <v>2286</v>
      </c>
      <c r="C52" s="16" t="s">
        <v>1672</v>
      </c>
      <c r="D52" s="13">
        <v>7500435148719</v>
      </c>
    </row>
    <row r="53" spans="1:4" ht="30">
      <c r="A53" s="70" t="s">
        <v>1464</v>
      </c>
      <c r="B53" s="17" t="s">
        <v>2286</v>
      </c>
      <c r="C53" s="16" t="s">
        <v>1471</v>
      </c>
      <c r="D53" s="13">
        <v>7500435153874</v>
      </c>
    </row>
    <row r="54" spans="1:4" ht="30">
      <c r="A54" s="70" t="s">
        <v>1464</v>
      </c>
      <c r="B54" s="17" t="s">
        <v>2286</v>
      </c>
      <c r="C54" s="16" t="s">
        <v>224</v>
      </c>
      <c r="D54" s="13">
        <v>7506195143872</v>
      </c>
    </row>
    <row r="55" spans="1:4" ht="30">
      <c r="A55" s="70" t="s">
        <v>1464</v>
      </c>
      <c r="B55" s="17" t="s">
        <v>2286</v>
      </c>
      <c r="C55" s="16" t="s">
        <v>223</v>
      </c>
      <c r="D55" s="13">
        <v>7506195143858</v>
      </c>
    </row>
    <row r="56" spans="1:4" ht="30">
      <c r="A56" s="70" t="s">
        <v>1464</v>
      </c>
      <c r="B56" s="17" t="s">
        <v>2286</v>
      </c>
      <c r="C56" s="16" t="s">
        <v>225</v>
      </c>
      <c r="D56" s="13">
        <v>7506195143834</v>
      </c>
    </row>
    <row r="57" spans="1:4">
      <c r="A57" s="70" t="s">
        <v>1939</v>
      </c>
      <c r="B57" s="17" t="s">
        <v>2286</v>
      </c>
      <c r="C57" s="16" t="s">
        <v>1941</v>
      </c>
      <c r="D57" s="13">
        <v>7500435198240</v>
      </c>
    </row>
    <row r="58" spans="1:4">
      <c r="A58" s="70" t="s">
        <v>95</v>
      </c>
      <c r="B58" s="17" t="s">
        <v>2286</v>
      </c>
      <c r="C58" s="16" t="s">
        <v>225</v>
      </c>
      <c r="D58" s="13">
        <v>7506195143834</v>
      </c>
    </row>
    <row r="59" spans="1:4">
      <c r="A59" s="70" t="s">
        <v>95</v>
      </c>
      <c r="B59" s="17" t="s">
        <v>2286</v>
      </c>
      <c r="C59" s="16" t="s">
        <v>224</v>
      </c>
      <c r="D59" s="13">
        <v>7506195143872</v>
      </c>
    </row>
    <row r="60" spans="1:4">
      <c r="A60" s="70" t="s">
        <v>95</v>
      </c>
      <c r="B60" s="17" t="s">
        <v>2286</v>
      </c>
      <c r="C60" s="16" t="s">
        <v>1471</v>
      </c>
      <c r="D60" s="13">
        <v>7500435153874</v>
      </c>
    </row>
    <row r="61" spans="1:4">
      <c r="A61" s="70" t="s">
        <v>95</v>
      </c>
      <c r="B61" s="17" t="s">
        <v>2286</v>
      </c>
      <c r="C61" s="16" t="s">
        <v>223</v>
      </c>
      <c r="D61" s="13">
        <v>7506195143858</v>
      </c>
    </row>
    <row r="62" spans="1:4">
      <c r="A62" s="70" t="s">
        <v>604</v>
      </c>
      <c r="B62" s="17" t="s">
        <v>2286</v>
      </c>
      <c r="C62" s="16" t="s">
        <v>618</v>
      </c>
      <c r="D62" s="13">
        <v>7896183308711</v>
      </c>
    </row>
    <row r="63" spans="1:4">
      <c r="A63" s="70" t="s">
        <v>604</v>
      </c>
      <c r="B63" s="17" t="s">
        <v>2286</v>
      </c>
      <c r="C63" s="16" t="s">
        <v>619</v>
      </c>
      <c r="D63" s="13">
        <v>7896085124136</v>
      </c>
    </row>
    <row r="64" spans="1:4">
      <c r="A64" s="70" t="s">
        <v>604</v>
      </c>
      <c r="B64" s="17" t="s">
        <v>2286</v>
      </c>
      <c r="C64" s="16" t="s">
        <v>620</v>
      </c>
      <c r="D64" s="13">
        <v>7896183311841</v>
      </c>
    </row>
    <row r="65" spans="1:4">
      <c r="A65" s="70" t="s">
        <v>604</v>
      </c>
      <c r="B65" s="17" t="s">
        <v>2286</v>
      </c>
      <c r="C65" s="16" t="s">
        <v>621</v>
      </c>
      <c r="D65" s="13">
        <v>7896085124143</v>
      </c>
    </row>
    <row r="66" spans="1:4">
      <c r="A66" s="70" t="s">
        <v>604</v>
      </c>
      <c r="B66" s="17" t="s">
        <v>2286</v>
      </c>
      <c r="C66" s="16" t="s">
        <v>622</v>
      </c>
      <c r="D66" s="13">
        <v>7896085123009</v>
      </c>
    </row>
    <row r="67" spans="1:4">
      <c r="A67" s="70" t="s">
        <v>604</v>
      </c>
      <c r="B67" s="17" t="s">
        <v>2286</v>
      </c>
      <c r="C67" s="16" t="s">
        <v>623</v>
      </c>
      <c r="D67" s="13">
        <v>7896085123092</v>
      </c>
    </row>
    <row r="68" spans="1:4">
      <c r="A68" s="70" t="s">
        <v>734</v>
      </c>
      <c r="B68" s="17" t="s">
        <v>2286</v>
      </c>
      <c r="C68" s="16" t="s">
        <v>789</v>
      </c>
      <c r="D68" s="13">
        <v>7896056401112</v>
      </c>
    </row>
    <row r="69" spans="1:4">
      <c r="A69" s="70" t="s">
        <v>734</v>
      </c>
      <c r="B69" s="17" t="s">
        <v>2286</v>
      </c>
      <c r="C69" s="16" t="s">
        <v>790</v>
      </c>
      <c r="D69" s="13">
        <v>7896056401136</v>
      </c>
    </row>
    <row r="70" spans="1:4">
      <c r="A70" s="70" t="s">
        <v>734</v>
      </c>
      <c r="B70" s="17" t="s">
        <v>2286</v>
      </c>
      <c r="C70" s="16" t="s">
        <v>791</v>
      </c>
      <c r="D70" s="13">
        <v>7896056401228</v>
      </c>
    </row>
    <row r="71" spans="1:4">
      <c r="A71" s="70" t="s">
        <v>734</v>
      </c>
      <c r="B71" s="17" t="s">
        <v>2286</v>
      </c>
      <c r="C71" s="16" t="s">
        <v>792</v>
      </c>
      <c r="D71" s="13">
        <v>7896056401129</v>
      </c>
    </row>
    <row r="72" spans="1:4">
      <c r="A72" s="70" t="s">
        <v>734</v>
      </c>
      <c r="B72" s="17" t="s">
        <v>2286</v>
      </c>
      <c r="C72" s="16" t="s">
        <v>793</v>
      </c>
      <c r="D72" s="13">
        <v>7896056402607</v>
      </c>
    </row>
    <row r="73" spans="1:4">
      <c r="A73" s="70" t="s">
        <v>709</v>
      </c>
      <c r="B73" s="17" t="s">
        <v>2286</v>
      </c>
      <c r="C73" s="16" t="s">
        <v>714</v>
      </c>
      <c r="D73" s="13">
        <v>7896056402751</v>
      </c>
    </row>
    <row r="74" spans="1:4">
      <c r="A74" s="70" t="s">
        <v>2154</v>
      </c>
      <c r="B74" s="17" t="s">
        <v>2286</v>
      </c>
      <c r="C74" s="16" t="s">
        <v>2160</v>
      </c>
      <c r="D74" s="13">
        <v>7896056405318</v>
      </c>
    </row>
    <row r="75" spans="1:4">
      <c r="A75" s="70" t="s">
        <v>3436</v>
      </c>
      <c r="B75" s="17" t="s">
        <v>2286</v>
      </c>
      <c r="C75" s="16" t="s">
        <v>1905</v>
      </c>
      <c r="D75" s="13">
        <v>7891022851762</v>
      </c>
    </row>
    <row r="76" spans="1:4">
      <c r="A76" s="70" t="s">
        <v>3436</v>
      </c>
      <c r="B76" s="17" t="s">
        <v>2286</v>
      </c>
      <c r="C76" s="16" t="s">
        <v>1906</v>
      </c>
      <c r="D76" s="13">
        <v>7891022100631</v>
      </c>
    </row>
    <row r="77" spans="1:4">
      <c r="A77" s="70" t="s">
        <v>3436</v>
      </c>
      <c r="B77" s="17" t="s">
        <v>2286</v>
      </c>
      <c r="C77" s="16" t="s">
        <v>1907</v>
      </c>
      <c r="D77" s="13">
        <v>7891022861365</v>
      </c>
    </row>
    <row r="78" spans="1:4">
      <c r="A78" s="70" t="s">
        <v>3436</v>
      </c>
      <c r="B78" s="17" t="s">
        <v>2286</v>
      </c>
      <c r="C78" s="16" t="s">
        <v>1908</v>
      </c>
      <c r="D78" s="13">
        <v>7891022849028</v>
      </c>
    </row>
    <row r="79" spans="1:4">
      <c r="A79" s="70" t="s">
        <v>3436</v>
      </c>
      <c r="B79" s="17" t="s">
        <v>2286</v>
      </c>
      <c r="C79" s="16" t="s">
        <v>1909</v>
      </c>
      <c r="D79" s="13">
        <v>7891022851564</v>
      </c>
    </row>
    <row r="80" spans="1:4">
      <c r="A80" s="70" t="s">
        <v>3436</v>
      </c>
      <c r="B80" s="17" t="s">
        <v>2286</v>
      </c>
      <c r="C80" s="16" t="s">
        <v>313</v>
      </c>
      <c r="D80" s="13">
        <v>7891022100617</v>
      </c>
    </row>
    <row r="81" spans="1:4">
      <c r="A81" s="70" t="s">
        <v>64</v>
      </c>
      <c r="B81" s="17" t="s">
        <v>2286</v>
      </c>
      <c r="C81" s="16" t="s">
        <v>294</v>
      </c>
      <c r="D81" s="13">
        <v>7891022849332</v>
      </c>
    </row>
    <row r="82" spans="1:4">
      <c r="A82" s="70" t="s">
        <v>64</v>
      </c>
      <c r="B82" s="17" t="s">
        <v>2286</v>
      </c>
      <c r="C82" s="16" t="s">
        <v>313</v>
      </c>
      <c r="D82" s="13">
        <v>7891022100617</v>
      </c>
    </row>
    <row r="83" spans="1:4">
      <c r="A83" s="70" t="s">
        <v>2044</v>
      </c>
      <c r="B83" s="17" t="s">
        <v>2286</v>
      </c>
      <c r="C83" s="16" t="s">
        <v>2055</v>
      </c>
      <c r="D83" s="13">
        <v>7896056404700</v>
      </c>
    </row>
    <row r="84" spans="1:4">
      <c r="A84" s="10" t="s">
        <v>2876</v>
      </c>
      <c r="B84" s="17" t="s">
        <v>2286</v>
      </c>
      <c r="C84" s="16" t="s">
        <v>1505</v>
      </c>
      <c r="D84" s="13">
        <v>7896098901854</v>
      </c>
    </row>
    <row r="85" spans="1:4">
      <c r="A85" s="10" t="s">
        <v>2876</v>
      </c>
      <c r="B85" s="17" t="s">
        <v>2286</v>
      </c>
      <c r="C85" s="16" t="s">
        <v>1506</v>
      </c>
      <c r="D85" s="13">
        <v>7896098901861</v>
      </c>
    </row>
    <row r="86" spans="1:4">
      <c r="A86" s="10" t="s">
        <v>2876</v>
      </c>
      <c r="B86" s="17" t="s">
        <v>2286</v>
      </c>
      <c r="C86" s="16" t="s">
        <v>1507</v>
      </c>
      <c r="D86" s="13">
        <v>7896098901885</v>
      </c>
    </row>
    <row r="87" spans="1:4">
      <c r="A87" s="70" t="s">
        <v>115</v>
      </c>
      <c r="B87" s="17" t="s">
        <v>2281</v>
      </c>
      <c r="C87" s="16" t="s">
        <v>1948</v>
      </c>
      <c r="D87" s="13">
        <v>7896058505023</v>
      </c>
    </row>
    <row r="88" spans="1:4">
      <c r="A88" s="70" t="s">
        <v>3437</v>
      </c>
      <c r="B88" s="17" t="s">
        <v>2285</v>
      </c>
      <c r="C88" s="16" t="s">
        <v>1307</v>
      </c>
      <c r="D88" s="13">
        <v>7896015530457</v>
      </c>
    </row>
    <row r="89" spans="1:4">
      <c r="A89" s="70" t="s">
        <v>1540</v>
      </c>
      <c r="B89" s="17" t="s">
        <v>2283</v>
      </c>
      <c r="C89" s="16" t="s">
        <v>1541</v>
      </c>
      <c r="D89" s="13">
        <v>7891136051003</v>
      </c>
    </row>
    <row r="90" spans="1:4">
      <c r="A90" s="70" t="s">
        <v>3438</v>
      </c>
      <c r="B90" s="17" t="s">
        <v>2280</v>
      </c>
      <c r="C90" s="16" t="s">
        <v>1738</v>
      </c>
      <c r="D90" s="13">
        <v>7896086420350</v>
      </c>
    </row>
    <row r="91" spans="1:4">
      <c r="A91" s="70" t="s">
        <v>3439</v>
      </c>
      <c r="B91" s="17" t="s">
        <v>2280</v>
      </c>
      <c r="C91" s="16" t="s">
        <v>1661</v>
      </c>
      <c r="D91" s="13">
        <v>7896086420312</v>
      </c>
    </row>
    <row r="92" spans="1:4">
      <c r="A92" s="70" t="s">
        <v>1531</v>
      </c>
      <c r="B92" s="17" t="s">
        <v>2280</v>
      </c>
      <c r="C92" s="16" t="s">
        <v>1542</v>
      </c>
      <c r="D92" s="13">
        <v>7896864400314</v>
      </c>
    </row>
    <row r="93" spans="1:4">
      <c r="A93" s="70" t="s">
        <v>1531</v>
      </c>
      <c r="B93" s="17" t="s">
        <v>2280</v>
      </c>
      <c r="C93" s="16" t="s">
        <v>1542</v>
      </c>
      <c r="D93" s="13">
        <v>7896864400307</v>
      </c>
    </row>
    <row r="94" spans="1:4">
      <c r="A94" s="70" t="s">
        <v>101</v>
      </c>
      <c r="B94" s="17" t="s">
        <v>2280</v>
      </c>
      <c r="C94" s="16" t="s">
        <v>293</v>
      </c>
      <c r="D94" s="13">
        <v>7893500018483</v>
      </c>
    </row>
    <row r="95" spans="1:4">
      <c r="A95" s="70" t="s">
        <v>1219</v>
      </c>
      <c r="B95" s="17" t="s">
        <v>2280</v>
      </c>
      <c r="C95" s="16" t="s">
        <v>1227</v>
      </c>
      <c r="D95" s="13">
        <v>7898152997087</v>
      </c>
    </row>
    <row r="96" spans="1:4">
      <c r="A96" s="70" t="s">
        <v>662</v>
      </c>
      <c r="B96" s="17" t="s">
        <v>2280</v>
      </c>
      <c r="C96" s="16" t="s">
        <v>703</v>
      </c>
      <c r="D96" s="13">
        <v>7896686440291</v>
      </c>
    </row>
    <row r="97" spans="1:4">
      <c r="A97" s="70" t="s">
        <v>662</v>
      </c>
      <c r="B97" s="17" t="s">
        <v>2280</v>
      </c>
      <c r="C97" s="16" t="s">
        <v>703</v>
      </c>
      <c r="D97" s="13">
        <v>7896864400277</v>
      </c>
    </row>
    <row r="98" spans="1:4">
      <c r="A98" s="70" t="s">
        <v>1092</v>
      </c>
      <c r="B98" s="17" t="s">
        <v>2280</v>
      </c>
      <c r="C98" s="16" t="s">
        <v>402</v>
      </c>
      <c r="D98" s="13">
        <v>7893500020318</v>
      </c>
    </row>
    <row r="99" spans="1:4">
      <c r="A99" s="70" t="s">
        <v>34</v>
      </c>
      <c r="B99" s="17" t="s">
        <v>2280</v>
      </c>
      <c r="C99" s="16" t="s">
        <v>554</v>
      </c>
      <c r="D99" s="13">
        <v>7896086419774</v>
      </c>
    </row>
    <row r="100" spans="1:4">
      <c r="A100" s="52" t="s">
        <v>3085</v>
      </c>
      <c r="B100" s="17" t="s">
        <v>2280</v>
      </c>
      <c r="C100" s="16" t="s">
        <v>296</v>
      </c>
      <c r="D100" s="13">
        <v>7896864400031</v>
      </c>
    </row>
    <row r="101" spans="1:4">
      <c r="A101" s="70" t="s">
        <v>3440</v>
      </c>
      <c r="B101" s="17" t="s">
        <v>2280</v>
      </c>
      <c r="C101" s="16" t="s">
        <v>333</v>
      </c>
      <c r="D101" s="13">
        <v>7893500020158</v>
      </c>
    </row>
    <row r="102" spans="1:4">
      <c r="A102" s="70" t="s">
        <v>1054</v>
      </c>
      <c r="B102" s="17" t="s">
        <v>2284</v>
      </c>
      <c r="C102" s="16" t="s">
        <v>1070</v>
      </c>
      <c r="D102" s="13">
        <v>7896009301094</v>
      </c>
    </row>
    <row r="103" spans="1:4">
      <c r="A103" s="70" t="s">
        <v>1054</v>
      </c>
      <c r="B103" s="17" t="s">
        <v>2284</v>
      </c>
      <c r="C103" s="16" t="s">
        <v>1071</v>
      </c>
      <c r="D103" s="13">
        <v>7894321823096</v>
      </c>
    </row>
    <row r="104" spans="1:4">
      <c r="A104" s="70" t="s">
        <v>1054</v>
      </c>
      <c r="B104" s="17" t="s">
        <v>2284</v>
      </c>
      <c r="C104" s="16" t="s">
        <v>1070</v>
      </c>
      <c r="D104" s="13">
        <v>7894321823508</v>
      </c>
    </row>
    <row r="105" spans="1:4">
      <c r="A105" s="70" t="s">
        <v>1054</v>
      </c>
      <c r="B105" s="17" t="s">
        <v>2284</v>
      </c>
      <c r="C105" s="16" t="s">
        <v>1071</v>
      </c>
      <c r="D105" s="13">
        <v>7896009301100</v>
      </c>
    </row>
    <row r="106" spans="1:4">
      <c r="A106" s="70" t="s">
        <v>1559</v>
      </c>
      <c r="B106" s="17" t="s">
        <v>2284</v>
      </c>
      <c r="C106" s="16" t="s">
        <v>1558</v>
      </c>
      <c r="D106" s="13">
        <v>7896009301117</v>
      </c>
    </row>
    <row r="107" spans="1:4">
      <c r="A107" s="70" t="s">
        <v>2960</v>
      </c>
      <c r="B107" s="17" t="s">
        <v>2284</v>
      </c>
      <c r="C107" s="16" t="s">
        <v>243</v>
      </c>
      <c r="D107" s="13">
        <v>7896009301131</v>
      </c>
    </row>
    <row r="108" spans="1:4">
      <c r="A108" s="70" t="s">
        <v>2960</v>
      </c>
      <c r="B108" s="17" t="s">
        <v>2284</v>
      </c>
      <c r="C108" s="16" t="s">
        <v>244</v>
      </c>
      <c r="D108" s="13">
        <v>7896009301124</v>
      </c>
    </row>
    <row r="109" spans="1:4">
      <c r="A109" s="70" t="s">
        <v>2960</v>
      </c>
      <c r="B109" s="17" t="s">
        <v>2284</v>
      </c>
      <c r="C109" s="16" t="s">
        <v>244</v>
      </c>
      <c r="D109" s="13">
        <v>7894321826011</v>
      </c>
    </row>
    <row r="110" spans="1:4">
      <c r="A110" s="70" t="s">
        <v>2960</v>
      </c>
      <c r="B110" s="17" t="s">
        <v>2284</v>
      </c>
      <c r="C110" s="16" t="s">
        <v>243</v>
      </c>
      <c r="D110" s="13">
        <v>7894321822020</v>
      </c>
    </row>
    <row r="111" spans="1:4">
      <c r="A111" s="70" t="s">
        <v>1547</v>
      </c>
      <c r="B111" s="17" t="s">
        <v>2284</v>
      </c>
      <c r="C111" s="16" t="s">
        <v>1558</v>
      </c>
      <c r="D111" s="13">
        <v>7896009301117</v>
      </c>
    </row>
    <row r="112" spans="1:4">
      <c r="A112" s="70" t="s">
        <v>1547</v>
      </c>
      <c r="B112" s="17" t="s">
        <v>2284</v>
      </c>
      <c r="C112" s="16" t="s">
        <v>243</v>
      </c>
      <c r="D112" s="13">
        <v>7896009301131</v>
      </c>
    </row>
    <row r="113" spans="1:4">
      <c r="A113" s="70" t="s">
        <v>1547</v>
      </c>
      <c r="B113" s="17" t="s">
        <v>2284</v>
      </c>
      <c r="C113" s="16" t="s">
        <v>244</v>
      </c>
      <c r="D113" s="13">
        <v>7896009301124</v>
      </c>
    </row>
    <row r="114" spans="1:4">
      <c r="A114" s="70" t="s">
        <v>1547</v>
      </c>
      <c r="B114" s="17" t="s">
        <v>2284</v>
      </c>
      <c r="C114" s="16" t="s">
        <v>1730</v>
      </c>
      <c r="D114" s="13">
        <v>7894321822129</v>
      </c>
    </row>
    <row r="115" spans="1:4">
      <c r="A115" s="70" t="s">
        <v>1547</v>
      </c>
      <c r="B115" s="17" t="s">
        <v>2284</v>
      </c>
      <c r="C115" s="16" t="s">
        <v>244</v>
      </c>
      <c r="D115" s="13">
        <v>7894321826011</v>
      </c>
    </row>
    <row r="116" spans="1:4">
      <c r="A116" s="70" t="s">
        <v>1547</v>
      </c>
      <c r="B116" s="17" t="s">
        <v>2284</v>
      </c>
      <c r="C116" s="16" t="s">
        <v>243</v>
      </c>
      <c r="D116" s="13">
        <v>7894321822020</v>
      </c>
    </row>
    <row r="117" spans="1:4">
      <c r="A117" s="70" t="s">
        <v>1892</v>
      </c>
      <c r="B117" s="17" t="s">
        <v>2284</v>
      </c>
      <c r="C117" s="16" t="s">
        <v>586</v>
      </c>
      <c r="D117" s="13">
        <v>7896009301155</v>
      </c>
    </row>
    <row r="118" spans="1:4">
      <c r="A118" s="70" t="s">
        <v>1892</v>
      </c>
      <c r="B118" s="17" t="s">
        <v>2284</v>
      </c>
      <c r="C118" s="16" t="s">
        <v>586</v>
      </c>
      <c r="D118" s="13">
        <v>7894321821108</v>
      </c>
    </row>
    <row r="119" spans="1:4">
      <c r="A119" s="70" t="s">
        <v>69</v>
      </c>
      <c r="B119" s="17" t="s">
        <v>2284</v>
      </c>
      <c r="C119" s="16" t="s">
        <v>586</v>
      </c>
      <c r="D119" s="13">
        <v>7896009301155</v>
      </c>
    </row>
    <row r="120" spans="1:4">
      <c r="A120" s="70" t="s">
        <v>69</v>
      </c>
      <c r="B120" s="17" t="s">
        <v>2284</v>
      </c>
      <c r="C120" s="16" t="s">
        <v>587</v>
      </c>
      <c r="D120" s="13">
        <v>7894321824505</v>
      </c>
    </row>
    <row r="121" spans="1:4">
      <c r="A121" s="70" t="s">
        <v>69</v>
      </c>
      <c r="B121" s="17" t="s">
        <v>2284</v>
      </c>
      <c r="C121" s="16" t="s">
        <v>588</v>
      </c>
      <c r="D121" s="13">
        <v>7896009301148</v>
      </c>
    </row>
    <row r="122" spans="1:4">
      <c r="A122" s="70" t="s">
        <v>69</v>
      </c>
      <c r="B122" s="17" t="s">
        <v>2284</v>
      </c>
      <c r="C122" s="16" t="s">
        <v>586</v>
      </c>
      <c r="D122" s="13">
        <v>7894321821108</v>
      </c>
    </row>
    <row r="123" spans="1:4">
      <c r="A123" s="70" t="s">
        <v>2224</v>
      </c>
      <c r="B123" s="17" t="s">
        <v>2284</v>
      </c>
      <c r="C123" s="16" t="s">
        <v>509</v>
      </c>
      <c r="D123" s="13">
        <v>7896114900038</v>
      </c>
    </row>
    <row r="124" spans="1:4">
      <c r="A124" s="70" t="s">
        <v>487</v>
      </c>
      <c r="B124" s="17" t="s">
        <v>2284</v>
      </c>
      <c r="C124" s="16" t="s">
        <v>508</v>
      </c>
      <c r="D124" s="13">
        <v>7896114901301</v>
      </c>
    </row>
    <row r="125" spans="1:4">
      <c r="A125" s="70" t="s">
        <v>487</v>
      </c>
      <c r="B125" s="17" t="s">
        <v>2284</v>
      </c>
      <c r="C125" s="16" t="s">
        <v>509</v>
      </c>
      <c r="D125" s="13">
        <v>7896114900038</v>
      </c>
    </row>
    <row r="126" spans="1:4">
      <c r="A126" s="70" t="s">
        <v>487</v>
      </c>
      <c r="B126" s="17" t="s">
        <v>2284</v>
      </c>
      <c r="C126" s="16" t="s">
        <v>509</v>
      </c>
      <c r="D126" s="13">
        <v>7896114902001</v>
      </c>
    </row>
    <row r="127" spans="1:4">
      <c r="A127" s="70" t="s">
        <v>2518</v>
      </c>
      <c r="B127" s="17" t="s">
        <v>2284</v>
      </c>
      <c r="C127" s="16" t="s">
        <v>394</v>
      </c>
      <c r="D127" s="13">
        <v>7896114900274</v>
      </c>
    </row>
    <row r="128" spans="1:4">
      <c r="A128" s="70" t="s">
        <v>2518</v>
      </c>
      <c r="B128" s="17" t="s">
        <v>2284</v>
      </c>
      <c r="C128" s="16" t="s">
        <v>395</v>
      </c>
      <c r="D128" s="13">
        <v>7896114900489</v>
      </c>
    </row>
    <row r="129" spans="1:4">
      <c r="A129" s="70" t="s">
        <v>3441</v>
      </c>
      <c r="B129" s="17" t="s">
        <v>2282</v>
      </c>
      <c r="C129" s="16" t="s">
        <v>1296</v>
      </c>
      <c r="D129" s="13">
        <v>98021</v>
      </c>
    </row>
    <row r="130" spans="1:4">
      <c r="A130" s="37" t="s">
        <v>3614</v>
      </c>
      <c r="B130" s="13" t="s">
        <v>2288</v>
      </c>
      <c r="C130" s="16" t="s">
        <v>3618</v>
      </c>
      <c r="D130" s="13">
        <v>7898181474092</v>
      </c>
    </row>
    <row r="131" spans="1:4">
      <c r="A131" s="37" t="s">
        <v>3623</v>
      </c>
      <c r="B131" s="13" t="s">
        <v>2640</v>
      </c>
      <c r="C131" s="16" t="s">
        <v>3617</v>
      </c>
      <c r="D131" s="13">
        <v>5601397010167</v>
      </c>
    </row>
    <row r="132" spans="1:4">
      <c r="A132" s="70" t="s">
        <v>1605</v>
      </c>
      <c r="B132" s="17" t="s">
        <v>2284</v>
      </c>
      <c r="C132" s="16" t="s">
        <v>1606</v>
      </c>
      <c r="D132" s="13">
        <v>8410179100036</v>
      </c>
    </row>
    <row r="133" spans="1:4">
      <c r="A133" s="70" t="s">
        <v>3101</v>
      </c>
      <c r="B133" s="13" t="s">
        <v>2640</v>
      </c>
      <c r="C133" s="16" t="s">
        <v>3118</v>
      </c>
      <c r="D133" s="13">
        <v>7790070225580</v>
      </c>
    </row>
    <row r="134" spans="1:4">
      <c r="A134" s="70" t="s">
        <v>24</v>
      </c>
      <c r="B134" s="17" t="s">
        <v>2284</v>
      </c>
      <c r="C134" s="16" t="s">
        <v>259</v>
      </c>
      <c r="D134" s="13">
        <v>7790070218216</v>
      </c>
    </row>
    <row r="135" spans="1:4">
      <c r="A135" s="70" t="s">
        <v>2578</v>
      </c>
      <c r="B135" s="17" t="s">
        <v>2284</v>
      </c>
      <c r="C135" s="16" t="s">
        <v>2580</v>
      </c>
      <c r="D135" s="13">
        <v>7804633010015</v>
      </c>
    </row>
    <row r="136" spans="1:4">
      <c r="A136" s="70" t="s">
        <v>3309</v>
      </c>
      <c r="B136" s="13" t="s">
        <v>2640</v>
      </c>
      <c r="C136" s="16" t="s">
        <v>3313</v>
      </c>
      <c r="D136" s="13">
        <v>5601252231164</v>
      </c>
    </row>
    <row r="137" spans="1:4">
      <c r="A137" s="70" t="s">
        <v>2852</v>
      </c>
      <c r="B137" s="17" t="s">
        <v>2280</v>
      </c>
      <c r="C137" s="16" t="s">
        <v>2854</v>
      </c>
      <c r="D137" s="13">
        <v>7898152990026</v>
      </c>
    </row>
    <row r="138" spans="1:4">
      <c r="A138" s="37" t="s">
        <v>3304</v>
      </c>
      <c r="B138" s="13" t="s">
        <v>2640</v>
      </c>
      <c r="C138" s="16" t="s">
        <v>3307</v>
      </c>
      <c r="D138" s="13">
        <v>7804630540041</v>
      </c>
    </row>
    <row r="139" spans="1:4">
      <c r="A139" s="70" t="s">
        <v>266</v>
      </c>
      <c r="B139" s="17" t="s">
        <v>2284</v>
      </c>
      <c r="C139" s="16" t="s">
        <v>308</v>
      </c>
      <c r="D139" s="13">
        <v>7804630540041</v>
      </c>
    </row>
    <row r="140" spans="1:4">
      <c r="A140" s="70" t="s">
        <v>3502</v>
      </c>
      <c r="B140" s="17" t="s">
        <v>2284</v>
      </c>
      <c r="C140" s="16" t="s">
        <v>2838</v>
      </c>
      <c r="D140" s="13">
        <v>7896022204600</v>
      </c>
    </row>
    <row r="141" spans="1:4">
      <c r="A141" s="70" t="s">
        <v>3443</v>
      </c>
      <c r="B141" s="17" t="s">
        <v>2282</v>
      </c>
      <c r="C141" s="16" t="s">
        <v>23</v>
      </c>
      <c r="D141" s="13">
        <v>99714</v>
      </c>
    </row>
    <row r="142" spans="1:4">
      <c r="A142" s="70" t="s">
        <v>3418</v>
      </c>
      <c r="B142" s="17" t="s">
        <v>2282</v>
      </c>
      <c r="C142" s="16" t="s">
        <v>421</v>
      </c>
      <c r="D142" s="13">
        <v>99233</v>
      </c>
    </row>
    <row r="143" spans="1:4">
      <c r="A143" s="70" t="s">
        <v>123</v>
      </c>
      <c r="B143" s="17" t="s">
        <v>2281</v>
      </c>
      <c r="C143" s="16" t="s">
        <v>1029</v>
      </c>
      <c r="D143" s="13">
        <v>7891118015283</v>
      </c>
    </row>
    <row r="144" spans="1:4">
      <c r="A144" s="70" t="s">
        <v>123</v>
      </c>
      <c r="B144" s="17" t="s">
        <v>2281</v>
      </c>
      <c r="C144" s="16" t="s">
        <v>1030</v>
      </c>
      <c r="D144" s="13">
        <v>7891118015375</v>
      </c>
    </row>
    <row r="145" spans="1:4">
      <c r="A145" s="70" t="s">
        <v>123</v>
      </c>
      <c r="B145" s="17" t="s">
        <v>2281</v>
      </c>
      <c r="C145" s="16" t="s">
        <v>1031</v>
      </c>
      <c r="D145" s="13">
        <v>7891118015344</v>
      </c>
    </row>
    <row r="146" spans="1:4">
      <c r="A146" s="70" t="s">
        <v>123</v>
      </c>
      <c r="B146" s="17" t="s">
        <v>2281</v>
      </c>
      <c r="C146" s="16" t="s">
        <v>1032</v>
      </c>
      <c r="D146" s="13">
        <v>7891118015290</v>
      </c>
    </row>
    <row r="147" spans="1:4">
      <c r="A147" s="70" t="s">
        <v>123</v>
      </c>
      <c r="B147" s="17" t="s">
        <v>2281</v>
      </c>
      <c r="C147" s="16" t="s">
        <v>1033</v>
      </c>
      <c r="D147" s="13">
        <v>7891118015351</v>
      </c>
    </row>
    <row r="148" spans="1:4">
      <c r="A148" s="70" t="s">
        <v>123</v>
      </c>
      <c r="B148" s="17" t="s">
        <v>2281</v>
      </c>
      <c r="C148" s="16" t="s">
        <v>1034</v>
      </c>
      <c r="D148" s="13">
        <v>7891118015306</v>
      </c>
    </row>
    <row r="149" spans="1:4">
      <c r="A149" s="70" t="s">
        <v>123</v>
      </c>
      <c r="B149" s="17" t="s">
        <v>2281</v>
      </c>
      <c r="C149" s="16" t="s">
        <v>1035</v>
      </c>
      <c r="D149" s="13">
        <v>7891118015405</v>
      </c>
    </row>
    <row r="150" spans="1:4">
      <c r="A150" s="70" t="s">
        <v>123</v>
      </c>
      <c r="B150" s="17" t="s">
        <v>2281</v>
      </c>
      <c r="C150" s="16" t="s">
        <v>1036</v>
      </c>
      <c r="D150" s="13">
        <v>7891118015382</v>
      </c>
    </row>
    <row r="151" spans="1:4">
      <c r="A151" s="70" t="s">
        <v>123</v>
      </c>
      <c r="B151" s="17" t="s">
        <v>2281</v>
      </c>
      <c r="C151" s="16" t="s">
        <v>1037</v>
      </c>
      <c r="D151" s="13">
        <v>7891118015313</v>
      </c>
    </row>
    <row r="152" spans="1:4">
      <c r="A152" s="70" t="s">
        <v>123</v>
      </c>
      <c r="B152" s="17" t="s">
        <v>2281</v>
      </c>
      <c r="C152" s="16" t="s">
        <v>1038</v>
      </c>
      <c r="D152" s="13">
        <v>7891118015337</v>
      </c>
    </row>
    <row r="153" spans="1:4">
      <c r="A153" s="70" t="s">
        <v>123</v>
      </c>
      <c r="B153" s="17" t="s">
        <v>2281</v>
      </c>
      <c r="C153" s="16" t="s">
        <v>1039</v>
      </c>
      <c r="D153" s="13">
        <v>7891118015399</v>
      </c>
    </row>
    <row r="154" spans="1:4">
      <c r="A154" s="70" t="s">
        <v>123</v>
      </c>
      <c r="B154" s="17" t="s">
        <v>2281</v>
      </c>
      <c r="C154" s="16" t="s">
        <v>1040</v>
      </c>
      <c r="D154" s="13">
        <v>7891118015320</v>
      </c>
    </row>
    <row r="155" spans="1:4">
      <c r="A155" s="70" t="s">
        <v>1134</v>
      </c>
      <c r="B155" s="17" t="s">
        <v>2281</v>
      </c>
      <c r="C155" s="16" t="s">
        <v>1141</v>
      </c>
      <c r="D155" s="13">
        <v>7896058503326</v>
      </c>
    </row>
    <row r="156" spans="1:4">
      <c r="A156" s="70" t="s">
        <v>1134</v>
      </c>
      <c r="B156" s="17" t="s">
        <v>2281</v>
      </c>
      <c r="C156" s="16" t="s">
        <v>1142</v>
      </c>
      <c r="D156" s="13">
        <v>7896058503319</v>
      </c>
    </row>
    <row r="157" spans="1:4">
      <c r="A157" s="70" t="s">
        <v>1134</v>
      </c>
      <c r="B157" s="17" t="s">
        <v>2281</v>
      </c>
      <c r="C157" s="16" t="s">
        <v>1143</v>
      </c>
      <c r="D157" s="13">
        <v>7896058503272</v>
      </c>
    </row>
    <row r="158" spans="1:4">
      <c r="A158" s="70" t="s">
        <v>1134</v>
      </c>
      <c r="B158" s="17" t="s">
        <v>2281</v>
      </c>
      <c r="C158" s="16" t="s">
        <v>1144</v>
      </c>
      <c r="D158" s="13">
        <v>7896058504316</v>
      </c>
    </row>
    <row r="159" spans="1:4">
      <c r="A159" s="70" t="s">
        <v>1134</v>
      </c>
      <c r="B159" s="17" t="s">
        <v>2281</v>
      </c>
      <c r="C159" s="16" t="s">
        <v>1145</v>
      </c>
      <c r="D159" s="13">
        <v>7896058504361</v>
      </c>
    </row>
    <row r="160" spans="1:4">
      <c r="A160" s="70" t="s">
        <v>1134</v>
      </c>
      <c r="B160" s="17" t="s">
        <v>2281</v>
      </c>
      <c r="C160" s="16" t="s">
        <v>1146</v>
      </c>
      <c r="D160" s="13">
        <v>7896058551525</v>
      </c>
    </row>
    <row r="161" spans="1:4">
      <c r="A161" s="70" t="s">
        <v>1134</v>
      </c>
      <c r="B161" s="17" t="s">
        <v>2281</v>
      </c>
      <c r="C161" s="16" t="s">
        <v>1147</v>
      </c>
      <c r="D161" s="13">
        <v>7896058502169</v>
      </c>
    </row>
    <row r="162" spans="1:4">
      <c r="A162" s="70" t="s">
        <v>1134</v>
      </c>
      <c r="B162" s="17" t="s">
        <v>2281</v>
      </c>
      <c r="C162" s="16" t="s">
        <v>1148</v>
      </c>
      <c r="D162" s="13">
        <v>7896058503036</v>
      </c>
    </row>
    <row r="163" spans="1:4">
      <c r="A163" s="70" t="s">
        <v>1134</v>
      </c>
      <c r="B163" s="17" t="s">
        <v>2281</v>
      </c>
      <c r="C163" s="16" t="s">
        <v>1149</v>
      </c>
      <c r="D163" s="13">
        <v>7896058503081</v>
      </c>
    </row>
    <row r="164" spans="1:4">
      <c r="A164" s="70" t="s">
        <v>1134</v>
      </c>
      <c r="B164" s="17" t="s">
        <v>2281</v>
      </c>
      <c r="C164" s="16" t="s">
        <v>1181</v>
      </c>
      <c r="D164" s="13">
        <v>7896058503333</v>
      </c>
    </row>
    <row r="165" spans="1:4">
      <c r="A165" s="70" t="s">
        <v>1134</v>
      </c>
      <c r="B165" s="17" t="s">
        <v>2281</v>
      </c>
      <c r="C165" s="16" t="s">
        <v>1182</v>
      </c>
      <c r="D165" s="13">
        <v>7896058503296</v>
      </c>
    </row>
    <row r="166" spans="1:4">
      <c r="A166" s="70" t="s">
        <v>1134</v>
      </c>
      <c r="B166" s="17" t="s">
        <v>2281</v>
      </c>
      <c r="C166" s="16" t="s">
        <v>1183</v>
      </c>
      <c r="D166" s="13">
        <v>7896058503289</v>
      </c>
    </row>
    <row r="167" spans="1:4">
      <c r="A167" s="70" t="s">
        <v>1134</v>
      </c>
      <c r="B167" s="17" t="s">
        <v>2281</v>
      </c>
      <c r="C167" s="16" t="s">
        <v>1184</v>
      </c>
      <c r="D167" s="13">
        <v>7896058503340</v>
      </c>
    </row>
    <row r="168" spans="1:4">
      <c r="A168" s="70" t="s">
        <v>1134</v>
      </c>
      <c r="B168" s="17" t="s">
        <v>2281</v>
      </c>
      <c r="C168" s="16" t="s">
        <v>1185</v>
      </c>
      <c r="D168" s="13">
        <v>7896058503357</v>
      </c>
    </row>
    <row r="169" spans="1:4">
      <c r="A169" s="70" t="s">
        <v>1134</v>
      </c>
      <c r="B169" s="17" t="s">
        <v>2281</v>
      </c>
      <c r="C169" s="16" t="s">
        <v>1186</v>
      </c>
      <c r="D169" s="13">
        <v>7896058503432</v>
      </c>
    </row>
    <row r="170" spans="1:4">
      <c r="A170" s="70" t="s">
        <v>1134</v>
      </c>
      <c r="B170" s="17" t="s">
        <v>2281</v>
      </c>
      <c r="C170" s="16" t="s">
        <v>1187</v>
      </c>
      <c r="D170" s="13">
        <v>7896058502152</v>
      </c>
    </row>
    <row r="171" spans="1:4">
      <c r="A171" s="70" t="s">
        <v>1134</v>
      </c>
      <c r="B171" s="17" t="s">
        <v>2281</v>
      </c>
      <c r="C171" s="16" t="s">
        <v>1195</v>
      </c>
      <c r="D171" s="13">
        <v>7896058503135</v>
      </c>
    </row>
    <row r="172" spans="1:4">
      <c r="A172" s="70" t="s">
        <v>1134</v>
      </c>
      <c r="B172" s="17" t="s">
        <v>2281</v>
      </c>
      <c r="C172" s="16" t="s">
        <v>1188</v>
      </c>
      <c r="D172" s="13">
        <v>7896058503128</v>
      </c>
    </row>
    <row r="173" spans="1:4">
      <c r="A173" s="70" t="s">
        <v>1137</v>
      </c>
      <c r="B173" s="17" t="s">
        <v>2281</v>
      </c>
      <c r="C173" s="16" t="s">
        <v>1150</v>
      </c>
      <c r="D173" s="13">
        <v>7898591453595</v>
      </c>
    </row>
    <row r="174" spans="1:4">
      <c r="A174" s="70" t="s">
        <v>1137</v>
      </c>
      <c r="B174" s="17" t="s">
        <v>2281</v>
      </c>
      <c r="C174" s="16" t="s">
        <v>1151</v>
      </c>
      <c r="D174" s="13">
        <v>7898591451102</v>
      </c>
    </row>
    <row r="175" spans="1:4">
      <c r="A175" s="70" t="s">
        <v>1137</v>
      </c>
      <c r="B175" s="17" t="s">
        <v>2281</v>
      </c>
      <c r="C175" s="16" t="s">
        <v>1152</v>
      </c>
      <c r="D175" s="13">
        <v>8410525159619</v>
      </c>
    </row>
    <row r="176" spans="1:4">
      <c r="A176" s="70" t="s">
        <v>1137</v>
      </c>
      <c r="B176" s="17" t="s">
        <v>2281</v>
      </c>
      <c r="C176" s="16" t="s">
        <v>1153</v>
      </c>
      <c r="D176" s="13">
        <v>8410525146435</v>
      </c>
    </row>
    <row r="177" spans="1:4">
      <c r="A177" s="70" t="s">
        <v>1137</v>
      </c>
      <c r="B177" s="17" t="s">
        <v>2281</v>
      </c>
      <c r="C177" s="16" t="s">
        <v>1154</v>
      </c>
      <c r="D177" s="13">
        <v>7898279798185</v>
      </c>
    </row>
    <row r="178" spans="1:4">
      <c r="A178" s="70" t="s">
        <v>1137</v>
      </c>
      <c r="B178" s="17" t="s">
        <v>2281</v>
      </c>
      <c r="C178" s="16" t="s">
        <v>1155</v>
      </c>
      <c r="D178" s="13">
        <v>7898591450143</v>
      </c>
    </row>
    <row r="179" spans="1:4">
      <c r="A179" s="70" t="s">
        <v>1137</v>
      </c>
      <c r="B179" s="17" t="s">
        <v>2281</v>
      </c>
      <c r="C179" s="16" t="s">
        <v>1156</v>
      </c>
      <c r="D179" s="13">
        <v>7898591457807</v>
      </c>
    </row>
    <row r="180" spans="1:4">
      <c r="A180" s="70" t="s">
        <v>1137</v>
      </c>
      <c r="B180" s="17" t="s">
        <v>2281</v>
      </c>
      <c r="C180" s="16" t="s">
        <v>1157</v>
      </c>
      <c r="D180" s="13">
        <v>7898591457814</v>
      </c>
    </row>
    <row r="181" spans="1:4">
      <c r="A181" s="70" t="s">
        <v>1137</v>
      </c>
      <c r="B181" s="17" t="s">
        <v>2281</v>
      </c>
      <c r="C181" s="16" t="s">
        <v>1158</v>
      </c>
      <c r="D181" s="13">
        <v>7898591455001</v>
      </c>
    </row>
    <row r="182" spans="1:4">
      <c r="A182" s="70" t="s">
        <v>1137</v>
      </c>
      <c r="B182" s="17" t="s">
        <v>2281</v>
      </c>
      <c r="C182" s="16" t="s">
        <v>1159</v>
      </c>
      <c r="D182" s="13">
        <v>7898591455025</v>
      </c>
    </row>
    <row r="183" spans="1:4">
      <c r="A183" s="70" t="s">
        <v>1137</v>
      </c>
      <c r="B183" s="17" t="s">
        <v>2281</v>
      </c>
      <c r="C183" s="16" t="s">
        <v>1160</v>
      </c>
      <c r="D183" s="13">
        <v>7898279799298</v>
      </c>
    </row>
    <row r="184" spans="1:4">
      <c r="A184" s="70" t="s">
        <v>1137</v>
      </c>
      <c r="B184" s="17" t="s">
        <v>2281</v>
      </c>
      <c r="C184" s="16" t="s">
        <v>1161</v>
      </c>
      <c r="D184" s="13">
        <v>7898591457883</v>
      </c>
    </row>
    <row r="185" spans="1:4">
      <c r="A185" s="70" t="s">
        <v>1137</v>
      </c>
      <c r="B185" s="17" t="s">
        <v>2281</v>
      </c>
      <c r="C185" s="16" t="s">
        <v>1162</v>
      </c>
      <c r="D185" s="13">
        <v>7898591450921</v>
      </c>
    </row>
    <row r="186" spans="1:4">
      <c r="A186" s="70" t="s">
        <v>1137</v>
      </c>
      <c r="B186" s="17" t="s">
        <v>2281</v>
      </c>
      <c r="C186" s="16" t="s">
        <v>1163</v>
      </c>
      <c r="D186" s="13">
        <v>7898591451591</v>
      </c>
    </row>
    <row r="187" spans="1:4">
      <c r="A187" s="70" t="s">
        <v>1137</v>
      </c>
      <c r="B187" s="17" t="s">
        <v>2281</v>
      </c>
      <c r="C187" s="16" t="s">
        <v>1164</v>
      </c>
      <c r="D187" s="13">
        <v>7898591454530</v>
      </c>
    </row>
    <row r="188" spans="1:4">
      <c r="A188" s="70" t="s">
        <v>1137</v>
      </c>
      <c r="B188" s="17" t="s">
        <v>2281</v>
      </c>
      <c r="C188" s="16" t="s">
        <v>1165</v>
      </c>
      <c r="D188" s="13">
        <v>7898279790431</v>
      </c>
    </row>
    <row r="189" spans="1:4">
      <c r="A189" s="70" t="s">
        <v>1137</v>
      </c>
      <c r="B189" s="17" t="s">
        <v>2281</v>
      </c>
      <c r="C189" s="16" t="s">
        <v>1166</v>
      </c>
      <c r="D189" s="13">
        <v>7898279790387</v>
      </c>
    </row>
    <row r="190" spans="1:4">
      <c r="A190" s="70" t="s">
        <v>1137</v>
      </c>
      <c r="B190" s="17" t="s">
        <v>2281</v>
      </c>
      <c r="C190" s="16" t="s">
        <v>1167</v>
      </c>
      <c r="D190" s="13">
        <v>7898279790394</v>
      </c>
    </row>
    <row r="191" spans="1:4">
      <c r="A191" s="70" t="s">
        <v>1137</v>
      </c>
      <c r="B191" s="17" t="s">
        <v>2281</v>
      </c>
      <c r="C191" s="16" t="s">
        <v>1168</v>
      </c>
      <c r="D191" s="13">
        <v>7898279790400</v>
      </c>
    </row>
    <row r="192" spans="1:4">
      <c r="A192" s="70" t="s">
        <v>1137</v>
      </c>
      <c r="B192" s="17" t="s">
        <v>2281</v>
      </c>
      <c r="C192" s="16" t="s">
        <v>1169</v>
      </c>
      <c r="D192" s="13">
        <v>7898279790417</v>
      </c>
    </row>
    <row r="193" spans="1:4">
      <c r="A193" s="70" t="s">
        <v>1137</v>
      </c>
      <c r="B193" s="17" t="s">
        <v>2281</v>
      </c>
      <c r="C193" s="16" t="s">
        <v>1170</v>
      </c>
      <c r="D193" s="13">
        <v>7898279792077</v>
      </c>
    </row>
    <row r="194" spans="1:4">
      <c r="A194" s="70" t="s">
        <v>1137</v>
      </c>
      <c r="B194" s="17" t="s">
        <v>2281</v>
      </c>
      <c r="C194" s="16" t="s">
        <v>1171</v>
      </c>
      <c r="D194" s="13">
        <v>7898279790776</v>
      </c>
    </row>
    <row r="195" spans="1:4">
      <c r="A195" s="70" t="s">
        <v>1137</v>
      </c>
      <c r="B195" s="17" t="s">
        <v>2281</v>
      </c>
      <c r="C195" s="16" t="s">
        <v>1172</v>
      </c>
      <c r="D195" s="13">
        <v>7898279792039</v>
      </c>
    </row>
    <row r="196" spans="1:4">
      <c r="A196" s="70" t="s">
        <v>1137</v>
      </c>
      <c r="B196" s="17" t="s">
        <v>2281</v>
      </c>
      <c r="C196" s="16" t="s">
        <v>1173</v>
      </c>
      <c r="D196" s="13">
        <v>7898279790455</v>
      </c>
    </row>
    <row r="197" spans="1:4">
      <c r="A197" s="70" t="s">
        <v>1137</v>
      </c>
      <c r="B197" s="17" t="s">
        <v>2281</v>
      </c>
      <c r="C197" s="16" t="s">
        <v>1174</v>
      </c>
      <c r="D197" s="13">
        <v>7898279790639</v>
      </c>
    </row>
    <row r="198" spans="1:4">
      <c r="A198" s="70" t="s">
        <v>1137</v>
      </c>
      <c r="B198" s="17" t="s">
        <v>2281</v>
      </c>
      <c r="C198" s="16" t="s">
        <v>1175</v>
      </c>
      <c r="D198" s="13">
        <v>7898279791179</v>
      </c>
    </row>
    <row r="199" spans="1:4">
      <c r="A199" s="70" t="s">
        <v>1137</v>
      </c>
      <c r="B199" s="17" t="s">
        <v>2281</v>
      </c>
      <c r="C199" s="16" t="s">
        <v>1176</v>
      </c>
      <c r="D199" s="13">
        <v>7898279794521</v>
      </c>
    </row>
    <row r="200" spans="1:4">
      <c r="A200" s="70" t="s">
        <v>1137</v>
      </c>
      <c r="B200" s="17" t="s">
        <v>2281</v>
      </c>
      <c r="C200" s="16" t="s">
        <v>1177</v>
      </c>
      <c r="D200" s="13">
        <v>7898279797911</v>
      </c>
    </row>
    <row r="201" spans="1:4">
      <c r="A201" s="70" t="s">
        <v>1137</v>
      </c>
      <c r="B201" s="17" t="s">
        <v>2281</v>
      </c>
      <c r="C201" s="16" t="s">
        <v>1178</v>
      </c>
      <c r="D201" s="13">
        <v>7898279791162</v>
      </c>
    </row>
    <row r="202" spans="1:4">
      <c r="A202" s="70" t="s">
        <v>1137</v>
      </c>
      <c r="B202" s="17" t="s">
        <v>2281</v>
      </c>
      <c r="C202" s="16" t="s">
        <v>1179</v>
      </c>
      <c r="D202" s="13">
        <v>8410525190193</v>
      </c>
    </row>
    <row r="203" spans="1:4">
      <c r="A203" s="70" t="s">
        <v>1137</v>
      </c>
      <c r="B203" s="17" t="s">
        <v>2281</v>
      </c>
      <c r="C203" s="16" t="s">
        <v>1189</v>
      </c>
      <c r="D203" s="13">
        <v>7898279798307</v>
      </c>
    </row>
    <row r="204" spans="1:4">
      <c r="A204" s="70" t="s">
        <v>1137</v>
      </c>
      <c r="B204" s="17" t="s">
        <v>2281</v>
      </c>
      <c r="C204" s="16" t="s">
        <v>1190</v>
      </c>
      <c r="D204" s="13">
        <v>7898591450563</v>
      </c>
    </row>
    <row r="205" spans="1:4">
      <c r="A205" s="70" t="s">
        <v>1137</v>
      </c>
      <c r="B205" s="17" t="s">
        <v>2281</v>
      </c>
      <c r="C205" s="16" t="s">
        <v>1191</v>
      </c>
      <c r="D205" s="13">
        <v>7898279794842</v>
      </c>
    </row>
    <row r="206" spans="1:4">
      <c r="A206" s="70" t="s">
        <v>1137</v>
      </c>
      <c r="B206" s="17" t="s">
        <v>2281</v>
      </c>
      <c r="C206" s="16" t="s">
        <v>1192</v>
      </c>
      <c r="D206" s="13">
        <v>7898279795061</v>
      </c>
    </row>
    <row r="207" spans="1:4">
      <c r="A207" s="70" t="s">
        <v>1137</v>
      </c>
      <c r="B207" s="17" t="s">
        <v>2281</v>
      </c>
      <c r="C207" s="16" t="s">
        <v>1193</v>
      </c>
      <c r="D207" s="13">
        <v>7898279794859</v>
      </c>
    </row>
    <row r="208" spans="1:4">
      <c r="A208" s="70" t="s">
        <v>1767</v>
      </c>
      <c r="B208" s="17" t="s">
        <v>2281</v>
      </c>
      <c r="C208" s="16" t="s">
        <v>1770</v>
      </c>
      <c r="D208" s="13">
        <v>7891331001100</v>
      </c>
    </row>
    <row r="209" spans="1:4">
      <c r="A209" s="70" t="s">
        <v>1767</v>
      </c>
      <c r="B209" s="17" t="s">
        <v>2281</v>
      </c>
      <c r="C209" s="16" t="s">
        <v>1771</v>
      </c>
      <c r="D209" s="13">
        <v>7891331005177</v>
      </c>
    </row>
    <row r="210" spans="1:4">
      <c r="A210" s="70" t="s">
        <v>1767</v>
      </c>
      <c r="B210" s="17" t="s">
        <v>2281</v>
      </c>
      <c r="C210" s="16" t="s">
        <v>1772</v>
      </c>
      <c r="D210" s="13">
        <v>7891331010072</v>
      </c>
    </row>
    <row r="211" spans="1:4">
      <c r="A211" s="70" t="s">
        <v>1504</v>
      </c>
      <c r="B211" s="17" t="s">
        <v>2281</v>
      </c>
      <c r="C211" s="16" t="s">
        <v>1518</v>
      </c>
      <c r="D211" s="13">
        <v>7891331000752</v>
      </c>
    </row>
    <row r="212" spans="1:4">
      <c r="A212" s="70" t="s">
        <v>1504</v>
      </c>
      <c r="B212" s="17" t="s">
        <v>2281</v>
      </c>
      <c r="C212" s="16" t="s">
        <v>1519</v>
      </c>
      <c r="D212" s="13">
        <v>7891331002169</v>
      </c>
    </row>
    <row r="213" spans="1:4">
      <c r="A213" s="70" t="s">
        <v>1504</v>
      </c>
      <c r="B213" s="17" t="s">
        <v>2281</v>
      </c>
      <c r="C213" s="16" t="s">
        <v>1520</v>
      </c>
      <c r="D213" s="13">
        <v>7891331008352</v>
      </c>
    </row>
    <row r="214" spans="1:4">
      <c r="A214" s="70" t="s">
        <v>1504</v>
      </c>
      <c r="B214" s="17" t="s">
        <v>2281</v>
      </c>
      <c r="C214" s="16" t="s">
        <v>1521</v>
      </c>
      <c r="D214" s="13">
        <v>7891331008833</v>
      </c>
    </row>
    <row r="215" spans="1:4">
      <c r="A215" s="70" t="s">
        <v>1504</v>
      </c>
      <c r="B215" s="17" t="s">
        <v>2281</v>
      </c>
      <c r="C215" s="16" t="s">
        <v>1522</v>
      </c>
      <c r="D215" s="13">
        <v>7891331010546</v>
      </c>
    </row>
    <row r="216" spans="1:4">
      <c r="A216" s="70" t="s">
        <v>1504</v>
      </c>
      <c r="B216" s="17" t="s">
        <v>2281</v>
      </c>
      <c r="C216" s="16" t="s">
        <v>1523</v>
      </c>
      <c r="D216" s="13">
        <v>7891331010553</v>
      </c>
    </row>
    <row r="217" spans="1:4">
      <c r="A217" s="70" t="s">
        <v>1504</v>
      </c>
      <c r="B217" s="17" t="s">
        <v>2281</v>
      </c>
      <c r="C217" s="16" t="s">
        <v>1524</v>
      </c>
      <c r="D217" s="13">
        <v>7891331010560</v>
      </c>
    </row>
    <row r="218" spans="1:4">
      <c r="A218" s="70" t="s">
        <v>1504</v>
      </c>
      <c r="B218" s="17" t="s">
        <v>2281</v>
      </c>
      <c r="C218" s="16" t="s">
        <v>1525</v>
      </c>
      <c r="D218" s="13">
        <v>7891331014452</v>
      </c>
    </row>
    <row r="219" spans="1:4">
      <c r="A219" s="70" t="s">
        <v>1504</v>
      </c>
      <c r="B219" s="17" t="s">
        <v>2281</v>
      </c>
      <c r="C219" s="16" t="s">
        <v>1526</v>
      </c>
      <c r="D219" s="13">
        <v>7891331014476</v>
      </c>
    </row>
    <row r="220" spans="1:4">
      <c r="A220" s="70" t="s">
        <v>1504</v>
      </c>
      <c r="B220" s="17" t="s">
        <v>2281</v>
      </c>
      <c r="C220" s="16" t="s">
        <v>1527</v>
      </c>
      <c r="D220" s="13">
        <v>7891331014490</v>
      </c>
    </row>
    <row r="221" spans="1:4">
      <c r="A221" s="70" t="s">
        <v>1814</v>
      </c>
      <c r="B221" s="17" t="s">
        <v>2281</v>
      </c>
      <c r="C221" s="16" t="s">
        <v>1816</v>
      </c>
      <c r="D221" s="13">
        <v>7891331010638</v>
      </c>
    </row>
    <row r="222" spans="1:4">
      <c r="A222" s="70" t="s">
        <v>1814</v>
      </c>
      <c r="B222" s="17" t="s">
        <v>2281</v>
      </c>
      <c r="C222" s="16" t="s">
        <v>1827</v>
      </c>
      <c r="D222" s="13">
        <v>7891331014100</v>
      </c>
    </row>
    <row r="223" spans="1:4">
      <c r="A223" s="70" t="s">
        <v>1814</v>
      </c>
      <c r="B223" s="17" t="s">
        <v>2281</v>
      </c>
      <c r="C223" s="16" t="s">
        <v>1817</v>
      </c>
      <c r="D223" s="13">
        <v>7891331002831</v>
      </c>
    </row>
    <row r="224" spans="1:4">
      <c r="A224" s="70" t="s">
        <v>3444</v>
      </c>
      <c r="B224" s="17" t="s">
        <v>2288</v>
      </c>
      <c r="C224" s="16" t="s">
        <v>2066</v>
      </c>
      <c r="D224" s="13">
        <v>7896105800897</v>
      </c>
    </row>
    <row r="225" spans="1:4">
      <c r="A225" s="70" t="s">
        <v>3445</v>
      </c>
      <c r="B225" s="17" t="s">
        <v>2288</v>
      </c>
      <c r="C225" s="16" t="s">
        <v>1916</v>
      </c>
      <c r="D225" s="13">
        <v>7797906002025</v>
      </c>
    </row>
    <row r="226" spans="1:4">
      <c r="A226" s="70" t="s">
        <v>3445</v>
      </c>
      <c r="B226" s="17" t="s">
        <v>2288</v>
      </c>
      <c r="C226" s="16" t="s">
        <v>1916</v>
      </c>
      <c r="D226" s="13">
        <v>7896105800040</v>
      </c>
    </row>
    <row r="227" spans="1:4">
      <c r="A227" s="70" t="s">
        <v>1989</v>
      </c>
      <c r="B227" s="17" t="s">
        <v>2288</v>
      </c>
      <c r="C227" s="16" t="s">
        <v>1993</v>
      </c>
      <c r="D227" s="13">
        <v>7797906000892</v>
      </c>
    </row>
    <row r="228" spans="1:4">
      <c r="A228" s="70" t="s">
        <v>1790</v>
      </c>
      <c r="B228" s="17" t="s">
        <v>2281</v>
      </c>
      <c r="C228" s="16" t="s">
        <v>1796</v>
      </c>
      <c r="D228" s="13">
        <v>9557062361217</v>
      </c>
    </row>
    <row r="229" spans="1:4">
      <c r="A229" s="70" t="s">
        <v>1790</v>
      </c>
      <c r="B229" s="17" t="s">
        <v>2281</v>
      </c>
      <c r="C229" s="16" t="s">
        <v>1797</v>
      </c>
      <c r="D229" s="13">
        <v>9557062361194</v>
      </c>
    </row>
    <row r="230" spans="1:4">
      <c r="A230" s="70" t="s">
        <v>1790</v>
      </c>
      <c r="B230" s="17" t="s">
        <v>2281</v>
      </c>
      <c r="C230" s="16" t="s">
        <v>1798</v>
      </c>
      <c r="D230" s="13">
        <v>9557062361187</v>
      </c>
    </row>
    <row r="231" spans="1:4">
      <c r="A231" s="70" t="s">
        <v>1790</v>
      </c>
      <c r="B231" s="17" t="s">
        <v>2281</v>
      </c>
      <c r="C231" s="16" t="s">
        <v>1799</v>
      </c>
      <c r="D231" s="13">
        <v>9557062361491</v>
      </c>
    </row>
    <row r="232" spans="1:4">
      <c r="A232" s="70" t="s">
        <v>1790</v>
      </c>
      <c r="B232" s="17" t="s">
        <v>2281</v>
      </c>
      <c r="C232" s="16" t="s">
        <v>1800</v>
      </c>
      <c r="D232" s="13">
        <v>9557062361224</v>
      </c>
    </row>
    <row r="233" spans="1:4">
      <c r="A233" s="70" t="s">
        <v>527</v>
      </c>
      <c r="B233" s="17" t="s">
        <v>2281</v>
      </c>
      <c r="C233" s="16" t="s">
        <v>536</v>
      </c>
      <c r="D233" s="13">
        <v>9557062332439</v>
      </c>
    </row>
    <row r="234" spans="1:4">
      <c r="A234" s="70" t="s">
        <v>527</v>
      </c>
      <c r="B234" s="17" t="s">
        <v>2281</v>
      </c>
      <c r="C234" s="16" t="s">
        <v>537</v>
      </c>
      <c r="D234" s="13">
        <v>9557062332422</v>
      </c>
    </row>
    <row r="235" spans="1:4">
      <c r="A235" s="70" t="s">
        <v>527</v>
      </c>
      <c r="B235" s="17" t="s">
        <v>2281</v>
      </c>
      <c r="C235" s="16" t="s">
        <v>538</v>
      </c>
      <c r="D235" s="13">
        <v>9557062332446</v>
      </c>
    </row>
    <row r="236" spans="1:4">
      <c r="A236" s="70" t="s">
        <v>527</v>
      </c>
      <c r="B236" s="17" t="s">
        <v>2281</v>
      </c>
      <c r="C236" s="16" t="s">
        <v>539</v>
      </c>
      <c r="D236" s="13">
        <v>9557062332415</v>
      </c>
    </row>
    <row r="237" spans="1:4">
      <c r="A237" s="70" t="s">
        <v>527</v>
      </c>
      <c r="B237" s="17" t="s">
        <v>2281</v>
      </c>
      <c r="C237" s="16" t="s">
        <v>540</v>
      </c>
      <c r="D237" s="13">
        <v>9557062332484</v>
      </c>
    </row>
    <row r="238" spans="1:4">
      <c r="A238" s="70" t="s">
        <v>527</v>
      </c>
      <c r="B238" s="17" t="s">
        <v>2281</v>
      </c>
      <c r="C238" s="16" t="s">
        <v>541</v>
      </c>
      <c r="D238" s="13">
        <v>9557062332576</v>
      </c>
    </row>
    <row r="239" spans="1:4">
      <c r="A239" s="70" t="s">
        <v>99</v>
      </c>
      <c r="B239" s="17" t="s">
        <v>2284</v>
      </c>
      <c r="C239" s="16" t="s">
        <v>711</v>
      </c>
      <c r="D239" s="13">
        <v>7897517203719</v>
      </c>
    </row>
    <row r="240" spans="1:4">
      <c r="A240" s="70" t="s">
        <v>99</v>
      </c>
      <c r="B240" s="17" t="s">
        <v>2284</v>
      </c>
      <c r="C240" s="16" t="s">
        <v>710</v>
      </c>
      <c r="D240" s="13">
        <v>7897517203726</v>
      </c>
    </row>
    <row r="241" spans="1:4">
      <c r="A241" s="70" t="s">
        <v>966</v>
      </c>
      <c r="B241" s="17" t="s">
        <v>2284</v>
      </c>
      <c r="C241" s="16" t="s">
        <v>973</v>
      </c>
      <c r="D241" s="13">
        <v>7891095029709</v>
      </c>
    </row>
    <row r="242" spans="1:4">
      <c r="A242" s="70" t="s">
        <v>966</v>
      </c>
      <c r="B242" s="17" t="s">
        <v>2284</v>
      </c>
      <c r="C242" s="16" t="s">
        <v>974</v>
      </c>
      <c r="D242" s="13">
        <v>7891095011599</v>
      </c>
    </row>
    <row r="243" spans="1:4">
      <c r="A243" s="70" t="s">
        <v>966</v>
      </c>
      <c r="B243" s="17" t="s">
        <v>2284</v>
      </c>
      <c r="C243" s="16" t="s">
        <v>975</v>
      </c>
      <c r="D243" s="13">
        <v>7891095023929</v>
      </c>
    </row>
    <row r="244" spans="1:4">
      <c r="A244" s="70" t="s">
        <v>966</v>
      </c>
      <c r="B244" s="17" t="s">
        <v>2284</v>
      </c>
      <c r="C244" s="16" t="s">
        <v>976</v>
      </c>
      <c r="D244" s="13">
        <v>7891095027781</v>
      </c>
    </row>
    <row r="245" spans="1:4">
      <c r="A245" s="70" t="s">
        <v>966</v>
      </c>
      <c r="B245" s="17" t="s">
        <v>2284</v>
      </c>
      <c r="C245" s="16" t="s">
        <v>977</v>
      </c>
      <c r="D245" s="13">
        <v>7891095008919</v>
      </c>
    </row>
    <row r="246" spans="1:4">
      <c r="A246" s="70" t="s">
        <v>372</v>
      </c>
      <c r="B246" s="17" t="s">
        <v>2284</v>
      </c>
      <c r="C246" s="16" t="s">
        <v>379</v>
      </c>
      <c r="D246" s="13">
        <v>7891095030736</v>
      </c>
    </row>
    <row r="247" spans="1:4">
      <c r="A247" s="70" t="s">
        <v>2270</v>
      </c>
      <c r="B247" s="17" t="s">
        <v>2284</v>
      </c>
      <c r="C247" s="16" t="s">
        <v>1369</v>
      </c>
      <c r="D247" s="13">
        <v>7891095031122</v>
      </c>
    </row>
    <row r="248" spans="1:4">
      <c r="A248" s="70" t="s">
        <v>2270</v>
      </c>
      <c r="B248" s="17" t="s">
        <v>2284</v>
      </c>
      <c r="C248" s="16" t="s">
        <v>1433</v>
      </c>
      <c r="D248" s="13">
        <v>7891095031153</v>
      </c>
    </row>
    <row r="249" spans="1:4">
      <c r="A249" s="70" t="s">
        <v>2270</v>
      </c>
      <c r="B249" s="17" t="s">
        <v>2284</v>
      </c>
      <c r="C249" s="16" t="s">
        <v>1434</v>
      </c>
      <c r="D249" s="13">
        <v>7891095031160</v>
      </c>
    </row>
    <row r="250" spans="1:4">
      <c r="A250" s="70" t="s">
        <v>2270</v>
      </c>
      <c r="B250" s="17" t="s">
        <v>2284</v>
      </c>
      <c r="C250" s="16" t="s">
        <v>1435</v>
      </c>
      <c r="D250" s="13">
        <v>7891095031177</v>
      </c>
    </row>
    <row r="251" spans="1:4">
      <c r="A251" s="70" t="s">
        <v>1312</v>
      </c>
      <c r="B251" s="17" t="s">
        <v>2284</v>
      </c>
      <c r="C251" s="16" t="s">
        <v>1354</v>
      </c>
      <c r="D251" s="13">
        <v>7891095031115</v>
      </c>
    </row>
    <row r="252" spans="1:4">
      <c r="A252" s="70" t="s">
        <v>1925</v>
      </c>
      <c r="B252" s="17" t="s">
        <v>2284</v>
      </c>
      <c r="C252" s="16" t="s">
        <v>1934</v>
      </c>
      <c r="D252" s="13">
        <v>7891095031696</v>
      </c>
    </row>
    <row r="253" spans="1:4">
      <c r="A253" s="70" t="s">
        <v>1360</v>
      </c>
      <c r="B253" s="17" t="s">
        <v>2284</v>
      </c>
      <c r="C253" s="16" t="s">
        <v>1369</v>
      </c>
      <c r="D253" s="13">
        <v>7891095031122</v>
      </c>
    </row>
    <row r="254" spans="1:4">
      <c r="A254" s="70" t="s">
        <v>1360</v>
      </c>
      <c r="B254" s="17" t="s">
        <v>2284</v>
      </c>
      <c r="C254" s="16" t="s">
        <v>1354</v>
      </c>
      <c r="D254" s="13">
        <v>7891095031115</v>
      </c>
    </row>
    <row r="255" spans="1:4">
      <c r="A255" s="70" t="s">
        <v>1428</v>
      </c>
      <c r="B255" s="17" t="s">
        <v>2284</v>
      </c>
      <c r="C255" s="16" t="s">
        <v>1369</v>
      </c>
      <c r="D255" s="13">
        <v>7891095031122</v>
      </c>
    </row>
    <row r="256" spans="1:4">
      <c r="A256" s="70" t="s">
        <v>1428</v>
      </c>
      <c r="B256" s="17" t="s">
        <v>2284</v>
      </c>
      <c r="C256" s="16" t="s">
        <v>1354</v>
      </c>
      <c r="D256" s="13">
        <v>7891095031115</v>
      </c>
    </row>
    <row r="257" spans="1:4">
      <c r="A257" s="70" t="s">
        <v>1428</v>
      </c>
      <c r="B257" s="17" t="s">
        <v>2284</v>
      </c>
      <c r="C257" s="16" t="s">
        <v>1433</v>
      </c>
      <c r="D257" s="13">
        <v>7891095031153</v>
      </c>
    </row>
    <row r="258" spans="1:4">
      <c r="A258" s="70" t="s">
        <v>1428</v>
      </c>
      <c r="B258" s="17" t="s">
        <v>2284</v>
      </c>
      <c r="C258" s="16" t="s">
        <v>1434</v>
      </c>
      <c r="D258" s="13">
        <v>7891095031160</v>
      </c>
    </row>
    <row r="259" spans="1:4">
      <c r="A259" s="70" t="s">
        <v>1428</v>
      </c>
      <c r="B259" s="17" t="s">
        <v>2284</v>
      </c>
      <c r="C259" s="16" t="s">
        <v>1435</v>
      </c>
      <c r="D259" s="13">
        <v>7891095031177</v>
      </c>
    </row>
    <row r="260" spans="1:4">
      <c r="A260" s="70" t="s">
        <v>2429</v>
      </c>
      <c r="B260" s="17" t="s">
        <v>2284</v>
      </c>
      <c r="C260" s="16" t="s">
        <v>996</v>
      </c>
      <c r="D260" s="13">
        <v>7898921567121</v>
      </c>
    </row>
    <row r="261" spans="1:4">
      <c r="A261" s="70" t="s">
        <v>2327</v>
      </c>
      <c r="B261" s="17" t="s">
        <v>2284</v>
      </c>
      <c r="C261" s="16" t="s">
        <v>996</v>
      </c>
      <c r="D261" s="13">
        <v>7898921567121</v>
      </c>
    </row>
    <row r="262" spans="1:4">
      <c r="A262" s="70" t="s">
        <v>2300</v>
      </c>
      <c r="B262" s="17" t="s">
        <v>2283</v>
      </c>
      <c r="C262" s="16" t="s">
        <v>2308</v>
      </c>
      <c r="D262" s="13">
        <v>7893218003610</v>
      </c>
    </row>
    <row r="263" spans="1:4">
      <c r="A263" s="70" t="s">
        <v>3446</v>
      </c>
      <c r="B263" s="17" t="s">
        <v>2288</v>
      </c>
      <c r="C263" s="16" t="s">
        <v>381</v>
      </c>
      <c r="D263" s="13">
        <v>7892999160000</v>
      </c>
    </row>
    <row r="264" spans="1:4">
      <c r="A264" s="70" t="s">
        <v>2291</v>
      </c>
      <c r="B264" s="17" t="s">
        <v>2288</v>
      </c>
      <c r="C264" s="16" t="s">
        <v>2294</v>
      </c>
      <c r="D264" s="13">
        <v>7891025121633</v>
      </c>
    </row>
    <row r="265" spans="1:4">
      <c r="A265" s="70" t="s">
        <v>2291</v>
      </c>
      <c r="B265" s="17" t="s">
        <v>2288</v>
      </c>
      <c r="C265" s="16" t="s">
        <v>2295</v>
      </c>
      <c r="D265" s="13">
        <v>7891025121626</v>
      </c>
    </row>
    <row r="266" spans="1:4">
      <c r="A266" s="70" t="s">
        <v>882</v>
      </c>
      <c r="B266" s="17" t="s">
        <v>2288</v>
      </c>
      <c r="C266" s="16" t="s">
        <v>896</v>
      </c>
      <c r="D266" s="13">
        <v>7891025105435</v>
      </c>
    </row>
    <row r="267" spans="1:4">
      <c r="A267" s="70" t="s">
        <v>882</v>
      </c>
      <c r="B267" s="17" t="s">
        <v>2288</v>
      </c>
      <c r="C267" s="16" t="s">
        <v>897</v>
      </c>
      <c r="D267" s="13">
        <v>7891025105428</v>
      </c>
    </row>
    <row r="268" spans="1:4">
      <c r="A268" s="70" t="s">
        <v>882</v>
      </c>
      <c r="B268" s="17" t="s">
        <v>2288</v>
      </c>
      <c r="C268" s="16" t="s">
        <v>898</v>
      </c>
      <c r="D268" s="13">
        <v>7891025105411</v>
      </c>
    </row>
    <row r="269" spans="1:4">
      <c r="A269" s="70" t="s">
        <v>882</v>
      </c>
      <c r="B269" s="17" t="s">
        <v>2288</v>
      </c>
      <c r="C269" s="16" t="s">
        <v>936</v>
      </c>
      <c r="D269" s="13">
        <v>7891025401650</v>
      </c>
    </row>
    <row r="270" spans="1:4">
      <c r="A270" s="70" t="s">
        <v>882</v>
      </c>
      <c r="B270" s="17" t="s">
        <v>2288</v>
      </c>
      <c r="C270" s="16" t="s">
        <v>937</v>
      </c>
      <c r="D270" s="13">
        <v>7891025401667</v>
      </c>
    </row>
    <row r="271" spans="1:4">
      <c r="A271" s="70" t="s">
        <v>15</v>
      </c>
      <c r="B271" s="17" t="s">
        <v>2288</v>
      </c>
      <c r="C271" s="16" t="s">
        <v>970</v>
      </c>
      <c r="D271" s="13">
        <v>7891999000576</v>
      </c>
    </row>
    <row r="272" spans="1:4">
      <c r="A272" s="70" t="s">
        <v>15</v>
      </c>
      <c r="B272" s="17" t="s">
        <v>2288</v>
      </c>
      <c r="C272" s="16" t="s">
        <v>1418</v>
      </c>
      <c r="D272" s="13">
        <v>7891999933263</v>
      </c>
    </row>
    <row r="273" spans="1:4">
      <c r="A273" s="70" t="s">
        <v>15</v>
      </c>
      <c r="B273" s="17" t="s">
        <v>2288</v>
      </c>
      <c r="C273" s="16" t="s">
        <v>1419</v>
      </c>
      <c r="D273" s="13">
        <v>7891999932006</v>
      </c>
    </row>
    <row r="274" spans="1:4">
      <c r="A274" s="70" t="s">
        <v>15</v>
      </c>
      <c r="B274" s="17" t="s">
        <v>2288</v>
      </c>
      <c r="C274" s="16" t="s">
        <v>971</v>
      </c>
      <c r="D274" s="13">
        <v>7891999000521</v>
      </c>
    </row>
    <row r="275" spans="1:4">
      <c r="A275" s="70" t="s">
        <v>15</v>
      </c>
      <c r="B275" s="17" t="s">
        <v>2288</v>
      </c>
      <c r="C275" s="16" t="s">
        <v>972</v>
      </c>
      <c r="D275" s="13">
        <v>7891999000507</v>
      </c>
    </row>
    <row r="276" spans="1:4">
      <c r="A276" s="70" t="s">
        <v>1658</v>
      </c>
      <c r="B276" s="17" t="s">
        <v>2288</v>
      </c>
      <c r="C276" s="16" t="s">
        <v>1665</v>
      </c>
      <c r="D276" s="13">
        <v>7896238105180</v>
      </c>
    </row>
    <row r="277" spans="1:4">
      <c r="A277" s="70" t="s">
        <v>2637</v>
      </c>
      <c r="B277" s="17" t="s">
        <v>2288</v>
      </c>
      <c r="C277" s="16" t="s">
        <v>2136</v>
      </c>
      <c r="D277" s="13">
        <v>7891999014962</v>
      </c>
    </row>
    <row r="278" spans="1:4">
      <c r="A278" s="70" t="s">
        <v>97</v>
      </c>
      <c r="B278" s="17" t="s">
        <v>2288</v>
      </c>
      <c r="C278" s="16" t="s">
        <v>1239</v>
      </c>
      <c r="D278" s="13">
        <v>7891999941879</v>
      </c>
    </row>
    <row r="279" spans="1:4">
      <c r="A279" s="70" t="s">
        <v>97</v>
      </c>
      <c r="B279" s="17" t="s">
        <v>2288</v>
      </c>
      <c r="C279" s="16" t="s">
        <v>1235</v>
      </c>
      <c r="D279" s="13">
        <v>7891999100047</v>
      </c>
    </row>
    <row r="280" spans="1:4">
      <c r="A280" s="70" t="s">
        <v>97</v>
      </c>
      <c r="B280" s="17" t="s">
        <v>2288</v>
      </c>
      <c r="C280" s="16" t="s">
        <v>1236</v>
      </c>
      <c r="D280" s="13">
        <v>7891999340108</v>
      </c>
    </row>
    <row r="281" spans="1:4">
      <c r="A281" s="70" t="s">
        <v>97</v>
      </c>
      <c r="B281" s="17" t="s">
        <v>2288</v>
      </c>
      <c r="C281" s="16" t="s">
        <v>1237</v>
      </c>
      <c r="D281" s="13">
        <v>7891999100023</v>
      </c>
    </row>
    <row r="282" spans="1:4">
      <c r="A282" s="70" t="s">
        <v>97</v>
      </c>
      <c r="B282" s="17" t="s">
        <v>2288</v>
      </c>
      <c r="C282" s="16" t="s">
        <v>1238</v>
      </c>
      <c r="D282" s="13">
        <v>7891999100016</v>
      </c>
    </row>
    <row r="283" spans="1:4">
      <c r="A283" s="70" t="s">
        <v>1091</v>
      </c>
      <c r="B283" s="17" t="s">
        <v>2283</v>
      </c>
      <c r="C283" s="16" t="s">
        <v>1098</v>
      </c>
      <c r="D283" s="13">
        <v>7898192039914</v>
      </c>
    </row>
    <row r="284" spans="1:4">
      <c r="A284" s="70" t="s">
        <v>1091</v>
      </c>
      <c r="B284" s="17" t="s">
        <v>2283</v>
      </c>
      <c r="C284" s="16" t="s">
        <v>1099</v>
      </c>
      <c r="D284" s="13">
        <v>7898192030485</v>
      </c>
    </row>
    <row r="285" spans="1:4">
      <c r="A285" s="70" t="s">
        <v>1091</v>
      </c>
      <c r="B285" s="17" t="s">
        <v>2283</v>
      </c>
      <c r="C285" s="16" t="s">
        <v>1100</v>
      </c>
      <c r="D285" s="13">
        <v>7898192030539</v>
      </c>
    </row>
    <row r="286" spans="1:4">
      <c r="A286" s="70" t="s">
        <v>1091</v>
      </c>
      <c r="B286" s="17" t="s">
        <v>2283</v>
      </c>
      <c r="C286" s="16" t="s">
        <v>1101</v>
      </c>
      <c r="D286" s="13">
        <v>7898192030072</v>
      </c>
    </row>
    <row r="287" spans="1:4">
      <c r="A287" s="70" t="s">
        <v>1091</v>
      </c>
      <c r="B287" s="17" t="s">
        <v>2283</v>
      </c>
      <c r="C287" s="16" t="s">
        <v>1102</v>
      </c>
      <c r="D287" s="13">
        <v>7898192030010</v>
      </c>
    </row>
    <row r="288" spans="1:4">
      <c r="A288" s="70" t="s">
        <v>1091</v>
      </c>
      <c r="B288" s="17" t="s">
        <v>2283</v>
      </c>
      <c r="C288" s="16" t="s">
        <v>1103</v>
      </c>
      <c r="D288" s="13">
        <v>7898192030577</v>
      </c>
    </row>
    <row r="289" spans="1:4">
      <c r="A289" s="70" t="s">
        <v>1091</v>
      </c>
      <c r="B289" s="17" t="s">
        <v>2283</v>
      </c>
      <c r="C289" s="16" t="s">
        <v>1104</v>
      </c>
      <c r="D289" s="13">
        <v>7898192030065</v>
      </c>
    </row>
    <row r="290" spans="1:4">
      <c r="A290" s="70" t="s">
        <v>1091</v>
      </c>
      <c r="B290" s="17" t="s">
        <v>2283</v>
      </c>
      <c r="C290" s="16" t="s">
        <v>1105</v>
      </c>
      <c r="D290" s="13">
        <v>7898192030140</v>
      </c>
    </row>
    <row r="291" spans="1:4">
      <c r="A291" s="70" t="s">
        <v>385</v>
      </c>
      <c r="B291" s="17" t="s">
        <v>2282</v>
      </c>
      <c r="C291" s="16" t="s">
        <v>403</v>
      </c>
      <c r="D291" s="13">
        <v>7891515791179</v>
      </c>
    </row>
    <row r="292" spans="1:4">
      <c r="A292" s="70" t="s">
        <v>385</v>
      </c>
      <c r="B292" s="17" t="s">
        <v>2282</v>
      </c>
      <c r="C292" s="16" t="s">
        <v>404</v>
      </c>
      <c r="D292" s="13">
        <v>7891515786298</v>
      </c>
    </row>
    <row r="293" spans="1:4">
      <c r="A293" s="70" t="s">
        <v>3447</v>
      </c>
      <c r="B293" s="17" t="s">
        <v>2281</v>
      </c>
      <c r="C293" s="16" t="s">
        <v>1969</v>
      </c>
      <c r="D293" s="13">
        <v>7896003738636</v>
      </c>
    </row>
    <row r="294" spans="1:4">
      <c r="A294" s="70" t="s">
        <v>3447</v>
      </c>
      <c r="B294" s="17" t="s">
        <v>2281</v>
      </c>
      <c r="C294" s="16" t="s">
        <v>1970</v>
      </c>
      <c r="D294" s="13">
        <v>7896003738605</v>
      </c>
    </row>
    <row r="295" spans="1:4">
      <c r="A295" s="70" t="s">
        <v>3447</v>
      </c>
      <c r="B295" s="17" t="s">
        <v>2281</v>
      </c>
      <c r="C295" s="16" t="s">
        <v>1971</v>
      </c>
      <c r="D295" s="13">
        <v>7896003738582</v>
      </c>
    </row>
    <row r="296" spans="1:4">
      <c r="A296" s="70" t="s">
        <v>3447</v>
      </c>
      <c r="B296" s="17" t="s">
        <v>2281</v>
      </c>
      <c r="C296" s="16" t="s">
        <v>2028</v>
      </c>
      <c r="D296" s="13">
        <v>7896003738551</v>
      </c>
    </row>
    <row r="297" spans="1:4">
      <c r="A297" s="70" t="s">
        <v>3447</v>
      </c>
      <c r="B297" s="17" t="s">
        <v>2281</v>
      </c>
      <c r="C297" s="16" t="s">
        <v>2029</v>
      </c>
      <c r="D297" s="13">
        <v>7896003738612</v>
      </c>
    </row>
    <row r="298" spans="1:4">
      <c r="A298" s="70" t="s">
        <v>3447</v>
      </c>
      <c r="B298" s="17" t="s">
        <v>2281</v>
      </c>
      <c r="C298" s="16" t="s">
        <v>1976</v>
      </c>
      <c r="D298" s="13">
        <v>7896003738520</v>
      </c>
    </row>
    <row r="299" spans="1:4">
      <c r="A299" s="70" t="s">
        <v>3447</v>
      </c>
      <c r="B299" s="17" t="s">
        <v>2281</v>
      </c>
      <c r="C299" s="16" t="s">
        <v>1972</v>
      </c>
      <c r="D299" s="13">
        <v>7896003738575</v>
      </c>
    </row>
    <row r="300" spans="1:4">
      <c r="A300" s="70" t="s">
        <v>92</v>
      </c>
      <c r="B300" s="17" t="s">
        <v>2281</v>
      </c>
      <c r="C300" s="16" t="s">
        <v>170</v>
      </c>
      <c r="D300" s="13">
        <v>7896003703245</v>
      </c>
    </row>
    <row r="301" spans="1:4">
      <c r="A301" s="70" t="s">
        <v>92</v>
      </c>
      <c r="B301" s="17" t="s">
        <v>2281</v>
      </c>
      <c r="C301" s="16" t="s">
        <v>171</v>
      </c>
      <c r="D301" s="13">
        <v>7896003703214</v>
      </c>
    </row>
    <row r="302" spans="1:4">
      <c r="A302" s="70" t="s">
        <v>92</v>
      </c>
      <c r="B302" s="17" t="s">
        <v>2281</v>
      </c>
      <c r="C302" s="16" t="s">
        <v>172</v>
      </c>
      <c r="D302" s="13">
        <v>7896003703047</v>
      </c>
    </row>
    <row r="303" spans="1:4">
      <c r="A303" s="70" t="s">
        <v>92</v>
      </c>
      <c r="B303" s="17" t="s">
        <v>2281</v>
      </c>
      <c r="C303" s="16" t="s">
        <v>173</v>
      </c>
      <c r="D303" s="13">
        <v>7896003703061</v>
      </c>
    </row>
    <row r="304" spans="1:4">
      <c r="A304" s="70" t="s">
        <v>92</v>
      </c>
      <c r="B304" s="17" t="s">
        <v>2281</v>
      </c>
      <c r="C304" s="16" t="s">
        <v>174</v>
      </c>
      <c r="D304" s="13">
        <v>7896003703078</v>
      </c>
    </row>
    <row r="305" spans="1:4">
      <c r="A305" s="70" t="s">
        <v>92</v>
      </c>
      <c r="B305" s="17" t="s">
        <v>2281</v>
      </c>
      <c r="C305" s="16" t="s">
        <v>175</v>
      </c>
      <c r="D305" s="13">
        <v>7896003703085</v>
      </c>
    </row>
    <row r="306" spans="1:4">
      <c r="A306" s="70" t="s">
        <v>92</v>
      </c>
      <c r="B306" s="17" t="s">
        <v>2281</v>
      </c>
      <c r="C306" s="16" t="s">
        <v>176</v>
      </c>
      <c r="D306" s="13">
        <v>7896003703054</v>
      </c>
    </row>
    <row r="307" spans="1:4">
      <c r="A307" s="70" t="s">
        <v>2273</v>
      </c>
      <c r="B307" s="17" t="s">
        <v>2281</v>
      </c>
      <c r="C307" s="16" t="s">
        <v>2277</v>
      </c>
      <c r="D307" s="13">
        <v>7896412802621</v>
      </c>
    </row>
    <row r="308" spans="1:4">
      <c r="A308" s="70" t="s">
        <v>2045</v>
      </c>
      <c r="B308" s="17" t="s">
        <v>2281</v>
      </c>
      <c r="C308" s="16" t="s">
        <v>2056</v>
      </c>
      <c r="D308" s="13">
        <v>7896003706536</v>
      </c>
    </row>
    <row r="309" spans="1:4">
      <c r="A309" s="70" t="s">
        <v>2045</v>
      </c>
      <c r="B309" s="17" t="s">
        <v>2281</v>
      </c>
      <c r="C309" s="16" t="s">
        <v>2057</v>
      </c>
      <c r="D309" s="13">
        <v>7896003706598</v>
      </c>
    </row>
    <row r="310" spans="1:4">
      <c r="A310" s="70" t="s">
        <v>2045</v>
      </c>
      <c r="B310" s="17" t="s">
        <v>2281</v>
      </c>
      <c r="C310" s="16" t="s">
        <v>2058</v>
      </c>
      <c r="D310" s="13">
        <v>7896003702880</v>
      </c>
    </row>
    <row r="311" spans="1:4">
      <c r="A311" s="70" t="s">
        <v>2045</v>
      </c>
      <c r="B311" s="17" t="s">
        <v>2281</v>
      </c>
      <c r="C311" s="16" t="s">
        <v>2059</v>
      </c>
      <c r="D311" s="13">
        <v>7896003702866</v>
      </c>
    </row>
    <row r="312" spans="1:4">
      <c r="A312" s="70" t="s">
        <v>2045</v>
      </c>
      <c r="B312" s="17" t="s">
        <v>2281</v>
      </c>
      <c r="C312" s="16" t="s">
        <v>2060</v>
      </c>
      <c r="D312" s="13">
        <v>7896003706581</v>
      </c>
    </row>
    <row r="313" spans="1:4">
      <c r="A313" s="70" t="s">
        <v>2045</v>
      </c>
      <c r="B313" s="17" t="s">
        <v>2281</v>
      </c>
      <c r="C313" s="16" t="s">
        <v>2061</v>
      </c>
      <c r="D313" s="13">
        <v>7896003706246</v>
      </c>
    </row>
    <row r="314" spans="1:4">
      <c r="A314" s="70" t="s">
        <v>2045</v>
      </c>
      <c r="B314" s="17" t="s">
        <v>2281</v>
      </c>
      <c r="C314" s="16" t="s">
        <v>2062</v>
      </c>
      <c r="D314" s="13">
        <v>7896003706550</v>
      </c>
    </row>
    <row r="315" spans="1:4">
      <c r="A315" s="70" t="s">
        <v>2045</v>
      </c>
      <c r="B315" s="17" t="s">
        <v>2281</v>
      </c>
      <c r="C315" s="16" t="s">
        <v>2063</v>
      </c>
      <c r="D315" s="13">
        <v>7896003706086</v>
      </c>
    </row>
    <row r="316" spans="1:4">
      <c r="A316" s="70" t="s">
        <v>881</v>
      </c>
      <c r="B316" s="17" t="s">
        <v>2281</v>
      </c>
      <c r="C316" s="16" t="s">
        <v>895</v>
      </c>
      <c r="D316" s="13">
        <v>7891000241356</v>
      </c>
    </row>
    <row r="317" spans="1:4">
      <c r="A317" s="70" t="s">
        <v>835</v>
      </c>
      <c r="B317" s="17" t="s">
        <v>2281</v>
      </c>
      <c r="C317" s="16" t="s">
        <v>853</v>
      </c>
      <c r="D317" s="13">
        <v>7896058256239</v>
      </c>
    </row>
    <row r="318" spans="1:4">
      <c r="A318" s="70" t="s">
        <v>835</v>
      </c>
      <c r="B318" s="17" t="s">
        <v>2281</v>
      </c>
      <c r="C318" s="16" t="s">
        <v>854</v>
      </c>
      <c r="D318" s="13">
        <v>7896058256215</v>
      </c>
    </row>
    <row r="319" spans="1:4">
      <c r="A319" s="70" t="s">
        <v>835</v>
      </c>
      <c r="B319" s="17" t="s">
        <v>2281</v>
      </c>
      <c r="C319" s="16" t="s">
        <v>855</v>
      </c>
      <c r="D319" s="13">
        <v>7896058256222</v>
      </c>
    </row>
    <row r="320" spans="1:4">
      <c r="A320" s="70" t="s">
        <v>835</v>
      </c>
      <c r="B320" s="17" t="s">
        <v>2281</v>
      </c>
      <c r="C320" s="16" t="s">
        <v>856</v>
      </c>
      <c r="D320" s="13">
        <v>7896058256246</v>
      </c>
    </row>
    <row r="321" spans="1:4">
      <c r="A321" s="70" t="s">
        <v>122</v>
      </c>
      <c r="B321" s="17" t="s">
        <v>2281</v>
      </c>
      <c r="C321" s="16" t="s">
        <v>1509</v>
      </c>
      <c r="D321" s="13">
        <v>7896003700992</v>
      </c>
    </row>
    <row r="322" spans="1:4">
      <c r="A322" s="70" t="s">
        <v>122</v>
      </c>
      <c r="B322" s="17" t="s">
        <v>2281</v>
      </c>
      <c r="C322" s="16" t="s">
        <v>1510</v>
      </c>
      <c r="D322" s="13">
        <v>7896003702538</v>
      </c>
    </row>
    <row r="323" spans="1:4">
      <c r="A323" s="70" t="s">
        <v>122</v>
      </c>
      <c r="B323" s="17" t="s">
        <v>2281</v>
      </c>
      <c r="C323" s="16" t="s">
        <v>1511</v>
      </c>
      <c r="D323" s="13">
        <v>7896003700657</v>
      </c>
    </row>
    <row r="324" spans="1:4">
      <c r="A324" s="70" t="s">
        <v>122</v>
      </c>
      <c r="B324" s="17" t="s">
        <v>2281</v>
      </c>
      <c r="C324" s="16" t="s">
        <v>1512</v>
      </c>
      <c r="D324" s="13">
        <v>7896003703399</v>
      </c>
    </row>
    <row r="325" spans="1:4">
      <c r="A325" s="70" t="s">
        <v>122</v>
      </c>
      <c r="B325" s="17" t="s">
        <v>2281</v>
      </c>
      <c r="C325" s="16" t="s">
        <v>1513</v>
      </c>
      <c r="D325" s="13">
        <v>7896003701425</v>
      </c>
    </row>
    <row r="326" spans="1:4">
      <c r="A326" s="70" t="s">
        <v>122</v>
      </c>
      <c r="B326" s="17" t="s">
        <v>2281</v>
      </c>
      <c r="C326" s="16" t="s">
        <v>1514</v>
      </c>
      <c r="D326" s="13">
        <v>7896003700978</v>
      </c>
    </row>
    <row r="327" spans="1:4">
      <c r="A327" s="70" t="s">
        <v>122</v>
      </c>
      <c r="B327" s="17" t="s">
        <v>2281</v>
      </c>
      <c r="C327" s="16" t="s">
        <v>1515</v>
      </c>
      <c r="D327" s="13">
        <v>7896003702545</v>
      </c>
    </row>
    <row r="328" spans="1:4">
      <c r="A328" s="70" t="s">
        <v>964</v>
      </c>
      <c r="B328" s="17" t="s">
        <v>2288</v>
      </c>
      <c r="C328" s="16" t="s">
        <v>978</v>
      </c>
      <c r="D328" s="13">
        <v>7896002360234</v>
      </c>
    </row>
    <row r="329" spans="1:4">
      <c r="A329" s="70" t="s">
        <v>1475</v>
      </c>
      <c r="B329" s="17" t="s">
        <v>2288</v>
      </c>
      <c r="C329" s="16" t="s">
        <v>1476</v>
      </c>
      <c r="D329" s="13">
        <v>7898904874246</v>
      </c>
    </row>
    <row r="330" spans="1:4">
      <c r="A330" s="70" t="s">
        <v>3448</v>
      </c>
      <c r="B330" s="17" t="s">
        <v>2288</v>
      </c>
      <c r="C330" s="16" t="s">
        <v>1123</v>
      </c>
      <c r="D330" s="13">
        <v>7896002361002</v>
      </c>
    </row>
    <row r="331" spans="1:4">
      <c r="A331" s="70" t="s">
        <v>3448</v>
      </c>
      <c r="B331" s="17" t="s">
        <v>2288</v>
      </c>
      <c r="C331" s="16" t="s">
        <v>1124</v>
      </c>
      <c r="D331" s="13">
        <v>7896002361019</v>
      </c>
    </row>
    <row r="332" spans="1:4">
      <c r="A332" s="70" t="s">
        <v>3448</v>
      </c>
      <c r="B332" s="17" t="s">
        <v>2288</v>
      </c>
      <c r="C332" s="16" t="s">
        <v>1125</v>
      </c>
      <c r="D332" s="13">
        <v>7896002361026</v>
      </c>
    </row>
    <row r="333" spans="1:4">
      <c r="A333" s="70" t="s">
        <v>3448</v>
      </c>
      <c r="B333" s="17" t="s">
        <v>2288</v>
      </c>
      <c r="C333" s="16" t="s">
        <v>1126</v>
      </c>
      <c r="D333" s="13">
        <v>7896002360982</v>
      </c>
    </row>
    <row r="334" spans="1:4">
      <c r="A334" s="70" t="s">
        <v>3448</v>
      </c>
      <c r="B334" s="17" t="s">
        <v>2288</v>
      </c>
      <c r="C334" s="16" t="s">
        <v>1127</v>
      </c>
      <c r="D334" s="13">
        <v>7896002362146</v>
      </c>
    </row>
    <row r="335" spans="1:4">
      <c r="A335" s="70" t="s">
        <v>3448</v>
      </c>
      <c r="B335" s="17" t="s">
        <v>2288</v>
      </c>
      <c r="C335" s="16" t="s">
        <v>1128</v>
      </c>
      <c r="D335" s="13">
        <v>7896002361033</v>
      </c>
    </row>
    <row r="336" spans="1:4">
      <c r="A336" s="70" t="s">
        <v>2130</v>
      </c>
      <c r="B336" s="17" t="s">
        <v>2281</v>
      </c>
      <c r="C336" s="16" t="s">
        <v>2065</v>
      </c>
      <c r="D336" s="13">
        <v>7898142859173</v>
      </c>
    </row>
    <row r="337" spans="1:4">
      <c r="A337" s="70" t="s">
        <v>2425</v>
      </c>
      <c r="B337" s="17" t="s">
        <v>2281</v>
      </c>
      <c r="C337" s="16" t="s">
        <v>1982</v>
      </c>
      <c r="D337" s="13">
        <v>7898142865143</v>
      </c>
    </row>
    <row r="338" spans="1:4">
      <c r="A338" s="70" t="s">
        <v>1829</v>
      </c>
      <c r="B338" s="17" t="s">
        <v>2281</v>
      </c>
      <c r="C338" s="16" t="s">
        <v>1831</v>
      </c>
      <c r="D338" s="13">
        <v>7898142862104</v>
      </c>
    </row>
    <row r="339" spans="1:4">
      <c r="A339" s="70" t="s">
        <v>3449</v>
      </c>
      <c r="B339" s="17" t="s">
        <v>2281</v>
      </c>
      <c r="C339" s="16" t="s">
        <v>493</v>
      </c>
      <c r="D339" s="13">
        <v>7891000295304</v>
      </c>
    </row>
    <row r="340" spans="1:4">
      <c r="A340" s="70" t="s">
        <v>3449</v>
      </c>
      <c r="B340" s="17" t="s">
        <v>2281</v>
      </c>
      <c r="C340" s="16" t="s">
        <v>493</v>
      </c>
      <c r="D340" s="13">
        <v>7891000325131</v>
      </c>
    </row>
    <row r="341" spans="1:4">
      <c r="A341" s="70" t="s">
        <v>660</v>
      </c>
      <c r="B341" s="17" t="s">
        <v>2281</v>
      </c>
      <c r="C341" s="16" t="s">
        <v>696</v>
      </c>
      <c r="D341" s="13">
        <v>7622210596413</v>
      </c>
    </row>
    <row r="342" spans="1:4">
      <c r="A342" s="70" t="s">
        <v>125</v>
      </c>
      <c r="B342" s="17" t="s">
        <v>2281</v>
      </c>
      <c r="C342" s="16" t="s">
        <v>158</v>
      </c>
      <c r="D342" s="13">
        <v>7896019602006</v>
      </c>
    </row>
    <row r="343" spans="1:4">
      <c r="A343" s="70" t="s">
        <v>125</v>
      </c>
      <c r="B343" s="17" t="s">
        <v>2281</v>
      </c>
      <c r="C343" s="16" t="s">
        <v>159</v>
      </c>
      <c r="D343" s="13">
        <v>7896019602105</v>
      </c>
    </row>
    <row r="344" spans="1:4">
      <c r="A344" s="70" t="s">
        <v>3450</v>
      </c>
      <c r="B344" s="17" t="s">
        <v>2281</v>
      </c>
      <c r="C344" s="16" t="s">
        <v>1746</v>
      </c>
      <c r="D344" s="13">
        <v>7896079820037</v>
      </c>
    </row>
    <row r="345" spans="1:4">
      <c r="A345" s="70" t="s">
        <v>3450</v>
      </c>
      <c r="B345" s="17" t="s">
        <v>2281</v>
      </c>
      <c r="C345" s="16" t="s">
        <v>1747</v>
      </c>
      <c r="D345" s="13">
        <v>7896079820532</v>
      </c>
    </row>
    <row r="346" spans="1:4">
      <c r="A346" s="70" t="s">
        <v>3450</v>
      </c>
      <c r="B346" s="17" t="s">
        <v>2281</v>
      </c>
      <c r="C346" s="16" t="s">
        <v>1748</v>
      </c>
      <c r="D346" s="13">
        <v>7896079820631</v>
      </c>
    </row>
    <row r="347" spans="1:4">
      <c r="A347" s="70" t="s">
        <v>2260</v>
      </c>
      <c r="B347" s="17" t="s">
        <v>2283</v>
      </c>
      <c r="C347" s="16" t="s">
        <v>2265</v>
      </c>
      <c r="D347" s="13">
        <v>7896383700681</v>
      </c>
    </row>
    <row r="348" spans="1:4">
      <c r="A348" s="70" t="s">
        <v>4</v>
      </c>
      <c r="B348" s="17" t="s">
        <v>2281</v>
      </c>
      <c r="C348" s="16" t="s">
        <v>454</v>
      </c>
      <c r="D348" s="13">
        <v>7896005800010</v>
      </c>
    </row>
    <row r="349" spans="1:4">
      <c r="A349" s="70" t="s">
        <v>4</v>
      </c>
      <c r="B349" s="17" t="s">
        <v>2281</v>
      </c>
      <c r="C349" s="16" t="s">
        <v>448</v>
      </c>
      <c r="D349" s="13">
        <v>7896005801529</v>
      </c>
    </row>
    <row r="350" spans="1:4">
      <c r="A350" s="70" t="s">
        <v>1248</v>
      </c>
      <c r="B350" s="17" t="s">
        <v>2281</v>
      </c>
      <c r="C350" s="16" t="s">
        <v>449</v>
      </c>
      <c r="D350" s="13">
        <v>7896005800188</v>
      </c>
    </row>
    <row r="351" spans="1:4">
      <c r="A351" s="70" t="s">
        <v>1248</v>
      </c>
      <c r="B351" s="17" t="s">
        <v>2281</v>
      </c>
      <c r="C351" s="16" t="s">
        <v>450</v>
      </c>
      <c r="D351" s="13">
        <v>7896045102396</v>
      </c>
    </row>
    <row r="352" spans="1:4">
      <c r="A352" s="70" t="s">
        <v>1248</v>
      </c>
      <c r="B352" s="17" t="s">
        <v>2281</v>
      </c>
      <c r="C352" s="16" t="s">
        <v>449</v>
      </c>
      <c r="D352" s="13">
        <v>7896045102440</v>
      </c>
    </row>
    <row r="353" spans="1:4">
      <c r="A353" s="70" t="s">
        <v>1248</v>
      </c>
      <c r="B353" s="17" t="s">
        <v>2281</v>
      </c>
      <c r="C353" s="16" t="s">
        <v>450</v>
      </c>
      <c r="D353" s="13">
        <v>7896005801826</v>
      </c>
    </row>
    <row r="354" spans="1:4">
      <c r="A354" s="70" t="s">
        <v>136</v>
      </c>
      <c r="B354" s="17" t="s">
        <v>2281</v>
      </c>
      <c r="C354" s="16" t="s">
        <v>448</v>
      </c>
      <c r="D354" s="13">
        <v>7896005801529</v>
      </c>
    </row>
    <row r="355" spans="1:4">
      <c r="A355" s="70" t="s">
        <v>136</v>
      </c>
      <c r="B355" s="17" t="s">
        <v>2281</v>
      </c>
      <c r="C355" s="16" t="s">
        <v>450</v>
      </c>
      <c r="D355" s="13">
        <v>7896005801826</v>
      </c>
    </row>
    <row r="356" spans="1:4">
      <c r="A356" s="70" t="s">
        <v>136</v>
      </c>
      <c r="B356" s="17" t="s">
        <v>2281</v>
      </c>
      <c r="C356" s="16" t="s">
        <v>2691</v>
      </c>
      <c r="D356" s="13">
        <v>7896045102396</v>
      </c>
    </row>
    <row r="357" spans="1:4">
      <c r="A357" s="70" t="s">
        <v>136</v>
      </c>
      <c r="B357" s="17" t="s">
        <v>2281</v>
      </c>
      <c r="C357" s="16" t="s">
        <v>449</v>
      </c>
      <c r="D357" s="13">
        <v>7896005800188</v>
      </c>
    </row>
    <row r="358" spans="1:4">
      <c r="A358" s="70" t="s">
        <v>136</v>
      </c>
      <c r="B358" s="17" t="s">
        <v>2281</v>
      </c>
      <c r="C358" s="16" t="s">
        <v>454</v>
      </c>
      <c r="D358" s="13">
        <v>7896005800010</v>
      </c>
    </row>
    <row r="359" spans="1:4">
      <c r="A359" s="70" t="s">
        <v>136</v>
      </c>
      <c r="B359" s="17" t="s">
        <v>2281</v>
      </c>
      <c r="C359" s="16" t="s">
        <v>2690</v>
      </c>
      <c r="D359" s="13">
        <v>7896045102440</v>
      </c>
    </row>
    <row r="360" spans="1:4">
      <c r="A360" s="70" t="s">
        <v>1437</v>
      </c>
      <c r="B360" s="17" t="s">
        <v>2281</v>
      </c>
      <c r="C360" s="16" t="s">
        <v>1440</v>
      </c>
      <c r="D360" s="13">
        <v>7896035731438</v>
      </c>
    </row>
    <row r="361" spans="1:4">
      <c r="A361" s="70" t="s">
        <v>1437</v>
      </c>
      <c r="B361" s="17" t="s">
        <v>2281</v>
      </c>
      <c r="C361" s="16" t="s">
        <v>1441</v>
      </c>
      <c r="D361" s="13">
        <v>7896035731384</v>
      </c>
    </row>
    <row r="362" spans="1:4">
      <c r="A362" s="70" t="s">
        <v>1696</v>
      </c>
      <c r="B362" s="17" t="s">
        <v>2281</v>
      </c>
      <c r="C362" s="16" t="s">
        <v>802</v>
      </c>
      <c r="D362" s="13">
        <v>7896089016215</v>
      </c>
    </row>
    <row r="363" spans="1:4">
      <c r="A363" s="70" t="s">
        <v>10</v>
      </c>
      <c r="B363" s="17" t="s">
        <v>2281</v>
      </c>
      <c r="C363" s="16" t="s">
        <v>785</v>
      </c>
      <c r="D363" s="13">
        <v>7896089010916</v>
      </c>
    </row>
    <row r="364" spans="1:4">
      <c r="A364" s="70" t="s">
        <v>134</v>
      </c>
      <c r="B364" s="17" t="s">
        <v>2281</v>
      </c>
      <c r="C364" s="16" t="s">
        <v>371</v>
      </c>
      <c r="D364" s="13">
        <v>7896469101319</v>
      </c>
    </row>
    <row r="365" spans="1:4">
      <c r="A365" s="70" t="s">
        <v>2166</v>
      </c>
      <c r="B365" s="17" t="s">
        <v>2281</v>
      </c>
      <c r="C365" s="16" t="s">
        <v>2171</v>
      </c>
      <c r="D365" s="13">
        <v>7891021060769</v>
      </c>
    </row>
    <row r="366" spans="1:4">
      <c r="A366" s="70" t="s">
        <v>47</v>
      </c>
      <c r="B366" s="17" t="s">
        <v>2281</v>
      </c>
      <c r="C366" s="16" t="s">
        <v>439</v>
      </c>
      <c r="D366" s="13">
        <v>7891021006125</v>
      </c>
    </row>
    <row r="367" spans="1:4">
      <c r="A367" s="70" t="s">
        <v>47</v>
      </c>
      <c r="B367" s="17" t="s">
        <v>2281</v>
      </c>
      <c r="C367" s="16" t="s">
        <v>440</v>
      </c>
      <c r="D367" s="13">
        <v>7891021006934</v>
      </c>
    </row>
    <row r="368" spans="1:4">
      <c r="A368" s="70" t="s">
        <v>116</v>
      </c>
      <c r="B368" s="17" t="s">
        <v>2281</v>
      </c>
      <c r="C368" s="16" t="s">
        <v>212</v>
      </c>
      <c r="D368" s="13">
        <v>7892222300500</v>
      </c>
    </row>
    <row r="369" spans="1:4">
      <c r="A369" s="70" t="s">
        <v>116</v>
      </c>
      <c r="B369" s="17" t="s">
        <v>2281</v>
      </c>
      <c r="C369" s="16" t="s">
        <v>213</v>
      </c>
      <c r="D369" s="13">
        <v>7892222310547</v>
      </c>
    </row>
    <row r="370" spans="1:4">
      <c r="A370" s="70" t="s">
        <v>1217</v>
      </c>
      <c r="B370" s="17" t="s">
        <v>2281</v>
      </c>
      <c r="C370" s="16" t="s">
        <v>1221</v>
      </c>
      <c r="D370" s="13">
        <v>7896089011357</v>
      </c>
    </row>
    <row r="371" spans="1:4">
      <c r="A371" s="70" t="s">
        <v>1020</v>
      </c>
      <c r="B371" s="17" t="s">
        <v>2287</v>
      </c>
      <c r="C371" s="16" t="s">
        <v>1028</v>
      </c>
      <c r="D371" s="13">
        <v>7896005808573</v>
      </c>
    </row>
    <row r="372" spans="1:4">
      <c r="A372" s="70" t="s">
        <v>72</v>
      </c>
      <c r="B372" s="17" t="s">
        <v>2281</v>
      </c>
      <c r="C372" s="16" t="s">
        <v>704</v>
      </c>
      <c r="D372" s="13">
        <v>7896005800157</v>
      </c>
    </row>
    <row r="373" spans="1:4">
      <c r="A373" s="70" t="s">
        <v>72</v>
      </c>
      <c r="B373" s="17" t="s">
        <v>2281</v>
      </c>
      <c r="C373" s="16" t="s">
        <v>705</v>
      </c>
      <c r="D373" s="13">
        <v>7896005802892</v>
      </c>
    </row>
    <row r="374" spans="1:4">
      <c r="A374" s="70" t="s">
        <v>2662</v>
      </c>
      <c r="B374" s="17" t="s">
        <v>2281</v>
      </c>
      <c r="C374" s="16" t="s">
        <v>1787</v>
      </c>
      <c r="D374" s="13">
        <v>7891021007078</v>
      </c>
    </row>
    <row r="375" spans="1:4">
      <c r="A375" s="70" t="s">
        <v>2662</v>
      </c>
      <c r="B375" s="17" t="s">
        <v>2281</v>
      </c>
      <c r="C375" s="16" t="s">
        <v>1788</v>
      </c>
      <c r="D375" s="13">
        <v>7891021007290</v>
      </c>
    </row>
    <row r="376" spans="1:4">
      <c r="A376" s="70" t="s">
        <v>65</v>
      </c>
      <c r="B376" s="17" t="s">
        <v>2281</v>
      </c>
      <c r="C376" s="16" t="s">
        <v>178</v>
      </c>
      <c r="D376" s="13">
        <v>7896005805121</v>
      </c>
    </row>
    <row r="377" spans="1:4">
      <c r="A377" s="70" t="s">
        <v>65</v>
      </c>
      <c r="B377" s="17" t="s">
        <v>2281</v>
      </c>
      <c r="C377" s="16" t="s">
        <v>179</v>
      </c>
      <c r="D377" s="13">
        <v>7896005805107</v>
      </c>
    </row>
    <row r="378" spans="1:4">
      <c r="A378" s="70" t="s">
        <v>65</v>
      </c>
      <c r="B378" s="17" t="s">
        <v>2281</v>
      </c>
      <c r="C378" s="16" t="s">
        <v>180</v>
      </c>
      <c r="D378" s="13">
        <v>7896005805114</v>
      </c>
    </row>
    <row r="379" spans="1:4">
      <c r="A379" s="70" t="s">
        <v>65</v>
      </c>
      <c r="B379" s="17" t="s">
        <v>2281</v>
      </c>
      <c r="C379" s="16" t="s">
        <v>181</v>
      </c>
      <c r="D379" s="13">
        <v>7896005805077</v>
      </c>
    </row>
    <row r="380" spans="1:4">
      <c r="A380" s="70" t="s">
        <v>65</v>
      </c>
      <c r="B380" s="17" t="s">
        <v>2281</v>
      </c>
      <c r="C380" s="16" t="s">
        <v>182</v>
      </c>
      <c r="D380" s="13">
        <v>7896005806463</v>
      </c>
    </row>
    <row r="381" spans="1:4">
      <c r="A381" s="70" t="s">
        <v>65</v>
      </c>
      <c r="B381" s="17" t="s">
        <v>2281</v>
      </c>
      <c r="C381" s="16" t="s">
        <v>183</v>
      </c>
      <c r="D381" s="13">
        <v>7896005805039</v>
      </c>
    </row>
    <row r="382" spans="1:4">
      <c r="A382" s="70" t="s">
        <v>65</v>
      </c>
      <c r="B382" s="17" t="s">
        <v>2281</v>
      </c>
      <c r="C382" s="16" t="s">
        <v>184</v>
      </c>
      <c r="D382" s="13">
        <v>7896005805046</v>
      </c>
    </row>
    <row r="383" spans="1:4">
      <c r="A383" s="70" t="s">
        <v>65</v>
      </c>
      <c r="B383" s="17" t="s">
        <v>2281</v>
      </c>
      <c r="C383" s="16" t="s">
        <v>185</v>
      </c>
      <c r="D383" s="13">
        <v>7896005805053</v>
      </c>
    </row>
    <row r="384" spans="1:4">
      <c r="A384" s="70" t="s">
        <v>65</v>
      </c>
      <c r="B384" s="17" t="s">
        <v>2281</v>
      </c>
      <c r="C384" s="16" t="s">
        <v>186</v>
      </c>
      <c r="D384" s="13">
        <v>7896005805695</v>
      </c>
    </row>
    <row r="385" spans="1:4">
      <c r="A385" s="70" t="s">
        <v>65</v>
      </c>
      <c r="B385" s="17" t="s">
        <v>2281</v>
      </c>
      <c r="C385" s="16" t="s">
        <v>187</v>
      </c>
      <c r="D385" s="13">
        <v>7896005806210</v>
      </c>
    </row>
    <row r="386" spans="1:4">
      <c r="A386" s="70" t="s">
        <v>65</v>
      </c>
      <c r="B386" s="17" t="s">
        <v>2281</v>
      </c>
      <c r="C386" s="16" t="s">
        <v>188</v>
      </c>
      <c r="D386" s="13">
        <v>7896005806203</v>
      </c>
    </row>
    <row r="387" spans="1:4">
      <c r="A387" s="70" t="s">
        <v>65</v>
      </c>
      <c r="B387" s="17" t="s">
        <v>2281</v>
      </c>
      <c r="C387" s="16" t="s">
        <v>189</v>
      </c>
      <c r="D387" s="13">
        <v>7896005805138</v>
      </c>
    </row>
    <row r="388" spans="1:4">
      <c r="A388" s="70" t="s">
        <v>65</v>
      </c>
      <c r="B388" s="17" t="s">
        <v>2281</v>
      </c>
      <c r="C388" s="16" t="s">
        <v>190</v>
      </c>
      <c r="D388" s="13">
        <v>7896005805701</v>
      </c>
    </row>
    <row r="389" spans="1:4">
      <c r="A389" s="70" t="s">
        <v>65</v>
      </c>
      <c r="B389" s="17" t="s">
        <v>2281</v>
      </c>
      <c r="C389" s="16" t="s">
        <v>191</v>
      </c>
      <c r="D389" s="13">
        <v>7896005805718</v>
      </c>
    </row>
    <row r="390" spans="1:4">
      <c r="A390" s="70" t="s">
        <v>65</v>
      </c>
      <c r="B390" s="17" t="s">
        <v>2281</v>
      </c>
      <c r="C390" s="16" t="s">
        <v>192</v>
      </c>
      <c r="D390" s="13">
        <v>7896005806340</v>
      </c>
    </row>
    <row r="391" spans="1:4">
      <c r="A391" s="70" t="s">
        <v>65</v>
      </c>
      <c r="B391" s="17" t="s">
        <v>2281</v>
      </c>
      <c r="C391" s="16" t="s">
        <v>193</v>
      </c>
      <c r="D391" s="13">
        <v>7896005805022</v>
      </c>
    </row>
    <row r="392" spans="1:4">
      <c r="A392" s="70" t="s">
        <v>65</v>
      </c>
      <c r="B392" s="17" t="s">
        <v>2281</v>
      </c>
      <c r="C392" s="16" t="s">
        <v>194</v>
      </c>
      <c r="D392" s="13">
        <v>7896005804995</v>
      </c>
    </row>
    <row r="393" spans="1:4">
      <c r="A393" s="70" t="s">
        <v>65</v>
      </c>
      <c r="B393" s="17" t="s">
        <v>2281</v>
      </c>
      <c r="C393" s="16" t="s">
        <v>195</v>
      </c>
      <c r="D393" s="13">
        <v>7896005805008</v>
      </c>
    </row>
    <row r="394" spans="1:4">
      <c r="A394" s="70" t="s">
        <v>65</v>
      </c>
      <c r="B394" s="17" t="s">
        <v>2281</v>
      </c>
      <c r="C394" s="16" t="s">
        <v>196</v>
      </c>
      <c r="D394" s="13">
        <v>7896005805015</v>
      </c>
    </row>
    <row r="395" spans="1:4">
      <c r="A395" s="70" t="s">
        <v>1058</v>
      </c>
      <c r="B395" s="17" t="s">
        <v>2281</v>
      </c>
      <c r="C395" s="16" t="s">
        <v>185</v>
      </c>
      <c r="D395" s="13">
        <v>789600580505</v>
      </c>
    </row>
    <row r="396" spans="1:4">
      <c r="A396" s="70" t="s">
        <v>1058</v>
      </c>
      <c r="B396" s="17" t="s">
        <v>2281</v>
      </c>
      <c r="C396" s="16" t="s">
        <v>1261</v>
      </c>
      <c r="D396" s="13">
        <v>7896045101733</v>
      </c>
    </row>
    <row r="397" spans="1:4">
      <c r="A397" s="70" t="s">
        <v>1058</v>
      </c>
      <c r="B397" s="17" t="s">
        <v>2281</v>
      </c>
      <c r="C397" s="16" t="s">
        <v>2384</v>
      </c>
      <c r="D397" s="13">
        <v>7896045105199</v>
      </c>
    </row>
    <row r="398" spans="1:4">
      <c r="A398" s="70" t="s">
        <v>1058</v>
      </c>
      <c r="B398" s="17" t="s">
        <v>2281</v>
      </c>
      <c r="C398" s="16" t="s">
        <v>2385</v>
      </c>
      <c r="D398" s="13">
        <v>7896045104871</v>
      </c>
    </row>
    <row r="399" spans="1:4">
      <c r="A399" s="70" t="s">
        <v>1058</v>
      </c>
      <c r="B399" s="17" t="s">
        <v>2281</v>
      </c>
      <c r="C399" s="16" t="s">
        <v>2386</v>
      </c>
      <c r="D399" s="13">
        <v>7896045100545</v>
      </c>
    </row>
    <row r="400" spans="1:4">
      <c r="A400" s="70" t="s">
        <v>1058</v>
      </c>
      <c r="B400" s="17" t="s">
        <v>2281</v>
      </c>
      <c r="C400" s="16" t="s">
        <v>2387</v>
      </c>
      <c r="D400" s="13">
        <v>7896045105274</v>
      </c>
    </row>
    <row r="401" spans="1:4">
      <c r="A401" s="70" t="s">
        <v>1058</v>
      </c>
      <c r="B401" s="17" t="s">
        <v>2281</v>
      </c>
      <c r="C401" s="16" t="s">
        <v>2388</v>
      </c>
      <c r="D401" s="13">
        <v>7896045104734</v>
      </c>
    </row>
    <row r="402" spans="1:4">
      <c r="A402" s="70" t="s">
        <v>1058</v>
      </c>
      <c r="B402" s="17" t="s">
        <v>2281</v>
      </c>
      <c r="C402" s="16" t="s">
        <v>2389</v>
      </c>
      <c r="D402" s="13">
        <v>7896045100552</v>
      </c>
    </row>
    <row r="403" spans="1:4">
      <c r="A403" s="70" t="s">
        <v>1358</v>
      </c>
      <c r="B403" s="17" t="s">
        <v>2281</v>
      </c>
      <c r="C403" s="16" t="s">
        <v>1389</v>
      </c>
      <c r="D403" s="13">
        <v>7896045102570</v>
      </c>
    </row>
    <row r="404" spans="1:4">
      <c r="A404" s="70" t="s">
        <v>1740</v>
      </c>
      <c r="B404" s="17" t="s">
        <v>2281</v>
      </c>
      <c r="C404" s="16" t="s">
        <v>1750</v>
      </c>
      <c r="D404" s="13">
        <v>7896089088441</v>
      </c>
    </row>
    <row r="405" spans="1:4">
      <c r="A405" s="70" t="s">
        <v>1740</v>
      </c>
      <c r="B405" s="17" t="s">
        <v>2281</v>
      </c>
      <c r="C405" s="16" t="s">
        <v>1751</v>
      </c>
      <c r="D405" s="13">
        <v>7896089088373</v>
      </c>
    </row>
    <row r="406" spans="1:4">
      <c r="A406" s="70" t="s">
        <v>1740</v>
      </c>
      <c r="B406" s="17" t="s">
        <v>2281</v>
      </c>
      <c r="C406" s="16" t="s">
        <v>1752</v>
      </c>
      <c r="D406" s="13">
        <v>7896089088380</v>
      </c>
    </row>
    <row r="407" spans="1:4">
      <c r="A407" s="70" t="s">
        <v>1740</v>
      </c>
      <c r="B407" s="17" t="s">
        <v>2281</v>
      </c>
      <c r="C407" s="16" t="s">
        <v>1753</v>
      </c>
      <c r="D407" s="13">
        <v>7896089088410</v>
      </c>
    </row>
    <row r="408" spans="1:4">
      <c r="A408" s="70" t="s">
        <v>1740</v>
      </c>
      <c r="B408" s="17" t="s">
        <v>2281</v>
      </c>
      <c r="C408" s="16" t="s">
        <v>1754</v>
      </c>
      <c r="D408" s="13">
        <v>7896089088427</v>
      </c>
    </row>
    <row r="409" spans="1:4">
      <c r="A409" s="70" t="s">
        <v>1740</v>
      </c>
      <c r="B409" s="17" t="s">
        <v>2281</v>
      </c>
      <c r="C409" s="16" t="s">
        <v>1755</v>
      </c>
      <c r="D409" s="13">
        <v>7896089088403</v>
      </c>
    </row>
    <row r="410" spans="1:4">
      <c r="A410" s="70" t="s">
        <v>1726</v>
      </c>
      <c r="B410" s="17" t="s">
        <v>2282</v>
      </c>
      <c r="C410" s="16" t="s">
        <v>1727</v>
      </c>
      <c r="D410" s="13">
        <v>99189</v>
      </c>
    </row>
    <row r="411" spans="1:4">
      <c r="A411" s="70" t="s">
        <v>3417</v>
      </c>
      <c r="B411" s="17" t="s">
        <v>2282</v>
      </c>
      <c r="C411" s="16" t="s">
        <v>1758</v>
      </c>
      <c r="D411" s="13">
        <v>98311</v>
      </c>
    </row>
    <row r="412" spans="1:4">
      <c r="A412" s="70" t="s">
        <v>1409</v>
      </c>
      <c r="B412" s="17" t="s">
        <v>2282</v>
      </c>
      <c r="C412" s="16" t="s">
        <v>1409</v>
      </c>
      <c r="D412" s="13">
        <v>98182</v>
      </c>
    </row>
    <row r="413" spans="1:4">
      <c r="A413" s="10" t="s">
        <v>2695</v>
      </c>
      <c r="B413" s="17" t="s">
        <v>2281</v>
      </c>
      <c r="C413" s="16" t="s">
        <v>2020</v>
      </c>
      <c r="D413" s="13">
        <v>7896004007427</v>
      </c>
    </row>
    <row r="414" spans="1:4">
      <c r="A414" s="10" t="s">
        <v>2695</v>
      </c>
      <c r="B414" s="17" t="s">
        <v>2281</v>
      </c>
      <c r="C414" s="16" t="s">
        <v>2021</v>
      </c>
      <c r="D414" s="13">
        <v>7896004007366</v>
      </c>
    </row>
    <row r="415" spans="1:4">
      <c r="A415" s="70" t="s">
        <v>1602</v>
      </c>
      <c r="B415" s="17" t="s">
        <v>2283</v>
      </c>
      <c r="C415" s="16" t="s">
        <v>2896</v>
      </c>
      <c r="D415" s="13">
        <v>7896045504831</v>
      </c>
    </row>
    <row r="416" spans="1:4">
      <c r="A416" s="70" t="s">
        <v>1602</v>
      </c>
      <c r="B416" s="17" t="s">
        <v>2283</v>
      </c>
      <c r="C416" s="16" t="s">
        <v>2896</v>
      </c>
      <c r="D416" s="13">
        <v>7896045506934</v>
      </c>
    </row>
    <row r="417" spans="1:4">
      <c r="A417" s="70" t="s">
        <v>1602</v>
      </c>
      <c r="B417" s="17" t="s">
        <v>2283</v>
      </c>
      <c r="C417" s="72" t="s">
        <v>3590</v>
      </c>
      <c r="D417" s="75">
        <v>7896045506941</v>
      </c>
    </row>
    <row r="418" spans="1:4">
      <c r="A418" s="70" t="s">
        <v>1602</v>
      </c>
      <c r="B418" s="17" t="s">
        <v>2283</v>
      </c>
      <c r="C418" s="72" t="s">
        <v>3591</v>
      </c>
      <c r="D418" s="75">
        <v>7896045504848</v>
      </c>
    </row>
    <row r="419" spans="1:4">
      <c r="A419" s="70" t="s">
        <v>2263</v>
      </c>
      <c r="B419" s="17" t="s">
        <v>2283</v>
      </c>
      <c r="C419" s="16" t="s">
        <v>2264</v>
      </c>
      <c r="D419" s="13">
        <v>7891991000796</v>
      </c>
    </row>
    <row r="420" spans="1:4">
      <c r="A420" s="70" t="s">
        <v>2263</v>
      </c>
      <c r="B420" s="17" t="s">
        <v>2283</v>
      </c>
      <c r="C420" s="16" t="s">
        <v>2267</v>
      </c>
      <c r="D420" s="13">
        <v>7891991002141</v>
      </c>
    </row>
    <row r="421" spans="1:4">
      <c r="A421" s="70" t="s">
        <v>121</v>
      </c>
      <c r="B421" s="17" t="s">
        <v>2283</v>
      </c>
      <c r="C421" s="16" t="s">
        <v>164</v>
      </c>
      <c r="D421" s="13">
        <v>7891991010023</v>
      </c>
    </row>
    <row r="422" spans="1:4">
      <c r="A422" s="70" t="s">
        <v>121</v>
      </c>
      <c r="B422" s="17" t="s">
        <v>2283</v>
      </c>
      <c r="C422" s="16" t="s">
        <v>165</v>
      </c>
      <c r="D422" s="13">
        <v>7891991010030</v>
      </c>
    </row>
    <row r="423" spans="1:4">
      <c r="A423" s="70" t="s">
        <v>3451</v>
      </c>
      <c r="B423" s="17" t="s">
        <v>2283</v>
      </c>
      <c r="C423" s="16" t="s">
        <v>2321</v>
      </c>
      <c r="D423" s="13">
        <v>7898230710102</v>
      </c>
    </row>
    <row r="424" spans="1:4">
      <c r="A424" s="70" t="s">
        <v>3452</v>
      </c>
      <c r="B424" s="17" t="s">
        <v>2283</v>
      </c>
      <c r="C424" s="16" t="s">
        <v>2320</v>
      </c>
      <c r="D424" s="13">
        <v>7898230716616</v>
      </c>
    </row>
    <row r="425" spans="1:4">
      <c r="A425" s="70" t="s">
        <v>3452</v>
      </c>
      <c r="B425" s="17" t="s">
        <v>2283</v>
      </c>
      <c r="C425" s="73" t="s">
        <v>321</v>
      </c>
      <c r="D425" s="75">
        <v>7898230716623</v>
      </c>
    </row>
    <row r="426" spans="1:4">
      <c r="A426" s="70" t="s">
        <v>1204</v>
      </c>
      <c r="B426" s="17" t="s">
        <v>2283</v>
      </c>
      <c r="C426" s="16" t="s">
        <v>164</v>
      </c>
      <c r="D426" s="13">
        <v>7891991294942</v>
      </c>
    </row>
    <row r="427" spans="1:4">
      <c r="A427" s="70" t="s">
        <v>1204</v>
      </c>
      <c r="B427" s="17" t="s">
        <v>2283</v>
      </c>
      <c r="C427" s="16" t="s">
        <v>247</v>
      </c>
      <c r="D427" s="13">
        <v>7891991294959</v>
      </c>
    </row>
    <row r="428" spans="1:4">
      <c r="A428" s="10" t="s">
        <v>3009</v>
      </c>
      <c r="B428" s="17" t="s">
        <v>2283</v>
      </c>
      <c r="C428" s="16" t="s">
        <v>164</v>
      </c>
      <c r="D428" s="13">
        <v>7891149010509</v>
      </c>
    </row>
    <row r="429" spans="1:4">
      <c r="A429" s="10" t="s">
        <v>3009</v>
      </c>
      <c r="B429" s="17" t="s">
        <v>2283</v>
      </c>
      <c r="C429" s="72" t="s">
        <v>197</v>
      </c>
      <c r="D429" s="77">
        <v>7891149100019</v>
      </c>
    </row>
    <row r="430" spans="1:4">
      <c r="A430" s="70" t="s">
        <v>21</v>
      </c>
      <c r="B430" s="17" t="s">
        <v>2283</v>
      </c>
      <c r="C430" s="16" t="s">
        <v>162</v>
      </c>
      <c r="D430" s="13">
        <v>7891991014762</v>
      </c>
    </row>
    <row r="431" spans="1:4">
      <c r="A431" s="70" t="s">
        <v>21</v>
      </c>
      <c r="B431" s="17" t="s">
        <v>2283</v>
      </c>
      <c r="C431" s="16" t="s">
        <v>163</v>
      </c>
      <c r="D431" s="13">
        <v>7891991014779</v>
      </c>
    </row>
    <row r="432" spans="1:4">
      <c r="A432" s="70" t="s">
        <v>1404</v>
      </c>
      <c r="B432" s="17" t="s">
        <v>2283</v>
      </c>
      <c r="C432" s="16" t="s">
        <v>164</v>
      </c>
      <c r="D432" s="13">
        <v>7898295301352</v>
      </c>
    </row>
    <row r="433" spans="1:4">
      <c r="A433" s="70" t="s">
        <v>1404</v>
      </c>
      <c r="B433" s="17" t="s">
        <v>2283</v>
      </c>
      <c r="C433" s="16" t="s">
        <v>197</v>
      </c>
      <c r="D433" s="13">
        <v>7898295301376</v>
      </c>
    </row>
    <row r="434" spans="1:4">
      <c r="A434" s="70" t="s">
        <v>1407</v>
      </c>
      <c r="B434" s="17" t="s">
        <v>2283</v>
      </c>
      <c r="C434" s="16" t="s">
        <v>164</v>
      </c>
      <c r="D434" s="13">
        <v>7898295300850</v>
      </c>
    </row>
    <row r="435" spans="1:4">
      <c r="A435" s="70" t="s">
        <v>1407</v>
      </c>
      <c r="B435" s="17" t="s">
        <v>2283</v>
      </c>
      <c r="C435" s="16" t="s">
        <v>247</v>
      </c>
      <c r="D435" s="13">
        <v>7898295301383</v>
      </c>
    </row>
    <row r="436" spans="1:4" ht="30">
      <c r="A436" s="70" t="s">
        <v>2393</v>
      </c>
      <c r="B436" s="17" t="s">
        <v>2283</v>
      </c>
      <c r="C436" s="16" t="s">
        <v>2159</v>
      </c>
      <c r="D436" s="13">
        <v>7898295303226</v>
      </c>
    </row>
    <row r="437" spans="1:4">
      <c r="A437" s="70" t="s">
        <v>1501</v>
      </c>
      <c r="B437" s="17" t="s">
        <v>2283</v>
      </c>
      <c r="C437" s="16" t="s">
        <v>164</v>
      </c>
      <c r="D437" s="13">
        <v>7897395060107</v>
      </c>
    </row>
    <row r="438" spans="1:4">
      <c r="A438" s="70" t="s">
        <v>1501</v>
      </c>
      <c r="B438" s="17" t="s">
        <v>2283</v>
      </c>
      <c r="C438" s="16" t="s">
        <v>1502</v>
      </c>
      <c r="D438" s="13">
        <v>7897395060138</v>
      </c>
    </row>
    <row r="439" spans="1:4">
      <c r="A439" s="70" t="s">
        <v>461</v>
      </c>
      <c r="B439" s="17" t="s">
        <v>2283</v>
      </c>
      <c r="C439" s="16" t="s">
        <v>164</v>
      </c>
      <c r="D439" s="13">
        <v>7898904771606</v>
      </c>
    </row>
    <row r="440" spans="1:4">
      <c r="A440" s="70" t="s">
        <v>461</v>
      </c>
      <c r="B440" s="17" t="s">
        <v>2283</v>
      </c>
      <c r="C440" s="16" t="s">
        <v>247</v>
      </c>
      <c r="D440" s="13">
        <v>7898904771613</v>
      </c>
    </row>
    <row r="441" spans="1:4">
      <c r="A441" s="70" t="s">
        <v>1660</v>
      </c>
      <c r="B441" s="17" t="s">
        <v>2283</v>
      </c>
      <c r="C441" s="16" t="s">
        <v>1410</v>
      </c>
      <c r="D441" s="13">
        <v>7898367983639</v>
      </c>
    </row>
    <row r="442" spans="1:4">
      <c r="A442" s="70" t="s">
        <v>1660</v>
      </c>
      <c r="B442" s="17" t="s">
        <v>2283</v>
      </c>
      <c r="C442" s="16" t="s">
        <v>1411</v>
      </c>
      <c r="D442" s="13">
        <v>7898367983615</v>
      </c>
    </row>
    <row r="443" spans="1:4">
      <c r="A443" s="70" t="s">
        <v>962</v>
      </c>
      <c r="B443" s="17" t="s">
        <v>2283</v>
      </c>
      <c r="C443" s="16" t="s">
        <v>164</v>
      </c>
      <c r="D443" s="13">
        <v>7898367983790</v>
      </c>
    </row>
    <row r="444" spans="1:4">
      <c r="A444" s="70" t="s">
        <v>962</v>
      </c>
      <c r="B444" s="17" t="s">
        <v>2283</v>
      </c>
      <c r="C444" s="16" t="s">
        <v>165</v>
      </c>
      <c r="D444" s="13">
        <v>7898367984018</v>
      </c>
    </row>
    <row r="445" spans="1:4">
      <c r="A445" s="70" t="s">
        <v>129</v>
      </c>
      <c r="B445" s="17" t="s">
        <v>2283</v>
      </c>
      <c r="C445" s="16" t="s">
        <v>162</v>
      </c>
      <c r="D445" s="13">
        <v>7898367980010</v>
      </c>
    </row>
    <row r="446" spans="1:4">
      <c r="A446" s="70" t="s">
        <v>129</v>
      </c>
      <c r="B446" s="17" t="s">
        <v>2283</v>
      </c>
      <c r="C446" s="16" t="s">
        <v>291</v>
      </c>
      <c r="D446" s="13">
        <v>7898367980058</v>
      </c>
    </row>
    <row r="447" spans="1:4">
      <c r="A447" s="70" t="s">
        <v>420</v>
      </c>
      <c r="B447" s="17" t="s">
        <v>2283</v>
      </c>
      <c r="C447" s="16" t="s">
        <v>164</v>
      </c>
      <c r="D447" s="13">
        <v>7896052601882</v>
      </c>
    </row>
    <row r="448" spans="1:4">
      <c r="A448" s="70" t="s">
        <v>420</v>
      </c>
      <c r="B448" s="17" t="s">
        <v>2283</v>
      </c>
      <c r="C448" s="16" t="s">
        <v>165</v>
      </c>
      <c r="D448" s="13">
        <v>7896052601899</v>
      </c>
    </row>
    <row r="449" spans="1:4">
      <c r="A449" s="70" t="s">
        <v>1966</v>
      </c>
      <c r="B449" s="17" t="s">
        <v>2283</v>
      </c>
      <c r="C449" s="16" t="s">
        <v>1945</v>
      </c>
      <c r="D449" s="13">
        <v>8712000025649</v>
      </c>
    </row>
    <row r="450" spans="1:4">
      <c r="A450" s="70" t="s">
        <v>1388</v>
      </c>
      <c r="B450" s="17" t="s">
        <v>2283</v>
      </c>
      <c r="C450" s="16" t="s">
        <v>164</v>
      </c>
      <c r="D450" s="13">
        <v>7896045523412</v>
      </c>
    </row>
    <row r="451" spans="1:4">
      <c r="A451" s="70" t="s">
        <v>1388</v>
      </c>
      <c r="B451" s="17" t="s">
        <v>2283</v>
      </c>
      <c r="C451" s="72" t="s">
        <v>216</v>
      </c>
      <c r="D451" s="75">
        <v>7896045501038</v>
      </c>
    </row>
    <row r="452" spans="1:4">
      <c r="A452" s="70" t="s">
        <v>1388</v>
      </c>
      <c r="B452" s="17" t="s">
        <v>2283</v>
      </c>
      <c r="C452" s="16" t="s">
        <v>2847</v>
      </c>
      <c r="D452" s="13">
        <v>7896045506873</v>
      </c>
    </row>
    <row r="453" spans="1:4">
      <c r="A453" s="70" t="s">
        <v>1388</v>
      </c>
      <c r="B453" s="17" t="s">
        <v>2283</v>
      </c>
      <c r="C453" s="72" t="s">
        <v>2848</v>
      </c>
      <c r="D453" s="75">
        <v>7896045506880</v>
      </c>
    </row>
    <row r="454" spans="1:4">
      <c r="A454" s="70" t="s">
        <v>1704</v>
      </c>
      <c r="B454" s="17" t="s">
        <v>2283</v>
      </c>
      <c r="C454" s="16" t="s">
        <v>162</v>
      </c>
      <c r="D454" s="13">
        <v>78936683</v>
      </c>
    </row>
    <row r="455" spans="1:4">
      <c r="A455" s="70" t="s">
        <v>1704</v>
      </c>
      <c r="B455" s="17" t="s">
        <v>2283</v>
      </c>
      <c r="C455" s="72" t="s">
        <v>321</v>
      </c>
      <c r="D455" s="75">
        <v>7896045505371</v>
      </c>
    </row>
    <row r="456" spans="1:4">
      <c r="A456" s="70" t="s">
        <v>1951</v>
      </c>
      <c r="B456" s="17" t="s">
        <v>2283</v>
      </c>
      <c r="C456" s="16" t="s">
        <v>162</v>
      </c>
      <c r="D456" s="13">
        <v>7896045506040</v>
      </c>
    </row>
    <row r="457" spans="1:4">
      <c r="A457" s="70" t="s">
        <v>1951</v>
      </c>
      <c r="B457" s="17" t="s">
        <v>2283</v>
      </c>
      <c r="C457" s="72" t="s">
        <v>321</v>
      </c>
      <c r="D457" s="75">
        <v>7896045506057</v>
      </c>
    </row>
    <row r="458" spans="1:4">
      <c r="A458" s="70" t="s">
        <v>292</v>
      </c>
      <c r="B458" s="17" t="s">
        <v>2283</v>
      </c>
      <c r="C458" s="16" t="s">
        <v>162</v>
      </c>
      <c r="D458" s="13">
        <v>7897395010164</v>
      </c>
    </row>
    <row r="459" spans="1:4">
      <c r="A459" s="70" t="s">
        <v>292</v>
      </c>
      <c r="B459" s="17" t="s">
        <v>2283</v>
      </c>
      <c r="C459" s="16" t="s">
        <v>291</v>
      </c>
      <c r="D459" s="13">
        <v>7897395010171</v>
      </c>
    </row>
    <row r="460" spans="1:4">
      <c r="A460" s="70" t="s">
        <v>3453</v>
      </c>
      <c r="B460" s="17" t="s">
        <v>2283</v>
      </c>
      <c r="C460" s="16" t="s">
        <v>164</v>
      </c>
      <c r="D460" s="13">
        <v>7897395020101</v>
      </c>
    </row>
    <row r="461" spans="1:4">
      <c r="A461" s="70" t="s">
        <v>3453</v>
      </c>
      <c r="B461" s="17" t="s">
        <v>2283</v>
      </c>
      <c r="C461" s="16" t="s">
        <v>216</v>
      </c>
      <c r="D461" s="13">
        <v>7897395020132</v>
      </c>
    </row>
    <row r="462" spans="1:4">
      <c r="A462" s="70" t="s">
        <v>1406</v>
      </c>
      <c r="B462" s="17" t="s">
        <v>2283</v>
      </c>
      <c r="C462" s="72" t="s">
        <v>216</v>
      </c>
      <c r="D462" s="75">
        <v>7897395020132</v>
      </c>
    </row>
    <row r="463" spans="1:4">
      <c r="A463" s="70" t="s">
        <v>1406</v>
      </c>
      <c r="B463" s="17" t="s">
        <v>2283</v>
      </c>
      <c r="C463" s="16" t="s">
        <v>164</v>
      </c>
      <c r="D463" s="13">
        <v>7897395020101</v>
      </c>
    </row>
    <row r="464" spans="1:4">
      <c r="A464" s="70" t="s">
        <v>1405</v>
      </c>
      <c r="B464" s="17" t="s">
        <v>2283</v>
      </c>
      <c r="C464" s="16" t="s">
        <v>164</v>
      </c>
      <c r="D464" s="13">
        <v>7897395040390</v>
      </c>
    </row>
    <row r="465" spans="1:4">
      <c r="A465" s="70" t="s">
        <v>1405</v>
      </c>
      <c r="B465" s="17" t="s">
        <v>2283</v>
      </c>
      <c r="C465" s="16" t="s">
        <v>197</v>
      </c>
      <c r="D465" s="13">
        <v>7897395040406</v>
      </c>
    </row>
    <row r="466" spans="1:4">
      <c r="A466" s="70" t="s">
        <v>19</v>
      </c>
      <c r="B466" s="17" t="s">
        <v>2283</v>
      </c>
      <c r="C466" s="16" t="s">
        <v>3519</v>
      </c>
      <c r="D466" s="13">
        <v>7897395099329</v>
      </c>
    </row>
    <row r="467" spans="1:4">
      <c r="A467" s="70" t="s">
        <v>19</v>
      </c>
      <c r="B467" s="17" t="s">
        <v>2283</v>
      </c>
      <c r="C467" s="72" t="s">
        <v>3520</v>
      </c>
      <c r="D467" s="75">
        <v>7897395099336</v>
      </c>
    </row>
    <row r="468" spans="1:4">
      <c r="A468" s="70" t="s">
        <v>117</v>
      </c>
      <c r="B468" s="17" t="s">
        <v>2283</v>
      </c>
      <c r="C468" s="16" t="s">
        <v>217</v>
      </c>
      <c r="D468" s="13">
        <v>7897395099350</v>
      </c>
    </row>
    <row r="469" spans="1:4">
      <c r="A469" s="70" t="s">
        <v>117</v>
      </c>
      <c r="B469" s="17" t="s">
        <v>2283</v>
      </c>
      <c r="C469" s="16" t="s">
        <v>164</v>
      </c>
      <c r="D469" s="13">
        <v>7897395099343</v>
      </c>
    </row>
    <row r="470" spans="1:4">
      <c r="A470" s="70" t="s">
        <v>264</v>
      </c>
      <c r="B470" s="17" t="s">
        <v>2283</v>
      </c>
      <c r="C470" s="16" t="s">
        <v>164</v>
      </c>
      <c r="D470" s="13">
        <v>7891149108466</v>
      </c>
    </row>
    <row r="471" spans="1:4">
      <c r="A471" s="70" t="s">
        <v>264</v>
      </c>
      <c r="B471" s="17" t="s">
        <v>2283</v>
      </c>
      <c r="C471" s="16" t="s">
        <v>164</v>
      </c>
      <c r="D471" s="13">
        <v>7891149109746</v>
      </c>
    </row>
    <row r="472" spans="1:4">
      <c r="A472" s="70" t="s">
        <v>264</v>
      </c>
      <c r="B472" s="17" t="s">
        <v>2283</v>
      </c>
      <c r="C472" s="16" t="s">
        <v>251</v>
      </c>
      <c r="D472" s="13">
        <v>7891149109005</v>
      </c>
    </row>
    <row r="473" spans="1:4">
      <c r="A473" s="70" t="s">
        <v>264</v>
      </c>
      <c r="B473" s="17" t="s">
        <v>2283</v>
      </c>
      <c r="C473" s="16" t="s">
        <v>216</v>
      </c>
      <c r="D473" s="13">
        <v>7891149109753</v>
      </c>
    </row>
    <row r="474" spans="1:4">
      <c r="A474" s="70" t="s">
        <v>264</v>
      </c>
      <c r="B474" s="17" t="s">
        <v>2283</v>
      </c>
      <c r="C474" s="16" t="s">
        <v>216</v>
      </c>
      <c r="D474" s="13">
        <v>7891149108473</v>
      </c>
    </row>
    <row r="475" spans="1:4">
      <c r="A475" s="70" t="s">
        <v>295</v>
      </c>
      <c r="B475" s="17" t="s">
        <v>2283</v>
      </c>
      <c r="C475" s="16" t="s">
        <v>162</v>
      </c>
      <c r="D475" s="13">
        <v>7891149101900</v>
      </c>
    </row>
    <row r="476" spans="1:4">
      <c r="A476" s="70" t="s">
        <v>295</v>
      </c>
      <c r="B476" s="17" t="s">
        <v>2283</v>
      </c>
      <c r="C476" s="16" t="s">
        <v>217</v>
      </c>
      <c r="D476" s="13">
        <v>7891149101917</v>
      </c>
    </row>
    <row r="477" spans="1:4">
      <c r="A477" s="70" t="s">
        <v>708</v>
      </c>
      <c r="B477" s="17" t="s">
        <v>2281</v>
      </c>
      <c r="C477" s="16" t="s">
        <v>712</v>
      </c>
      <c r="D477" s="13">
        <v>7896045000197</v>
      </c>
    </row>
    <row r="478" spans="1:4">
      <c r="A478" s="70" t="s">
        <v>1315</v>
      </c>
      <c r="B478" s="17" t="s">
        <v>2282</v>
      </c>
      <c r="C478" s="16" t="s">
        <v>1343</v>
      </c>
      <c r="D478" s="13">
        <v>98137</v>
      </c>
    </row>
    <row r="479" spans="1:4">
      <c r="A479" s="70" t="s">
        <v>2229</v>
      </c>
      <c r="B479" s="17" t="s">
        <v>2287</v>
      </c>
      <c r="C479" s="16" t="str">
        <f>UPPER(A479)</f>
        <v>CHINELO CARTAGO ATLANTA ADULTO MASCULINO – (REF:11840)</v>
      </c>
      <c r="D479" s="13">
        <v>7891261670445</v>
      </c>
    </row>
    <row r="480" spans="1:4">
      <c r="A480" s="70" t="s">
        <v>2229</v>
      </c>
      <c r="B480" s="17" t="s">
        <v>2287</v>
      </c>
      <c r="C480" s="16" t="s">
        <v>2240</v>
      </c>
      <c r="D480" s="13">
        <v>7891261671190</v>
      </c>
    </row>
    <row r="481" spans="1:4">
      <c r="A481" s="70" t="s">
        <v>3454</v>
      </c>
      <c r="B481" s="17" t="s">
        <v>2287</v>
      </c>
      <c r="C481" s="16" t="s">
        <v>1832</v>
      </c>
      <c r="D481" s="13">
        <v>7909006187889</v>
      </c>
    </row>
    <row r="482" spans="1:4">
      <c r="A482" s="70" t="s">
        <v>2201</v>
      </c>
      <c r="B482" s="17" t="s">
        <v>2287</v>
      </c>
      <c r="C482" s="16" t="s">
        <v>2209</v>
      </c>
      <c r="D482" s="13">
        <v>7890875033561</v>
      </c>
    </row>
    <row r="483" spans="1:4">
      <c r="A483" s="70" t="s">
        <v>2201</v>
      </c>
      <c r="B483" s="17" t="s">
        <v>2287</v>
      </c>
      <c r="C483" s="16" t="s">
        <v>2210</v>
      </c>
      <c r="D483" s="13">
        <v>7890875124245</v>
      </c>
    </row>
    <row r="484" spans="1:4">
      <c r="A484" s="70" t="s">
        <v>2202</v>
      </c>
      <c r="B484" s="17" t="s">
        <v>2287</v>
      </c>
      <c r="C484" s="16" t="s">
        <v>2211</v>
      </c>
      <c r="D484" s="13">
        <v>7890875227601</v>
      </c>
    </row>
    <row r="485" spans="1:4">
      <c r="A485" s="70" t="s">
        <v>2230</v>
      </c>
      <c r="B485" s="17" t="s">
        <v>2287</v>
      </c>
      <c r="C485" s="16" t="str">
        <f>UPPER(A485)</f>
        <v>CHINELO IPANEMA ELO PRINT ADULTO FEMININO CORES - (REF: 26468)</v>
      </c>
      <c r="D485" s="13">
        <v>7909510464902</v>
      </c>
    </row>
    <row r="486" spans="1:4">
      <c r="A486" s="70" t="s">
        <v>2142</v>
      </c>
      <c r="B486" s="17" t="s">
        <v>2287</v>
      </c>
      <c r="C486" s="16" t="s">
        <v>2150</v>
      </c>
      <c r="D486" s="13">
        <v>7909806391929</v>
      </c>
    </row>
    <row r="487" spans="1:4">
      <c r="A487" s="70" t="s">
        <v>2142</v>
      </c>
      <c r="B487" s="17" t="s">
        <v>2287</v>
      </c>
      <c r="C487" s="16" t="s">
        <v>2152</v>
      </c>
      <c r="D487" s="13">
        <v>7909806392124</v>
      </c>
    </row>
    <row r="488" spans="1:4">
      <c r="A488" s="70" t="s">
        <v>2142</v>
      </c>
      <c r="B488" s="17" t="s">
        <v>2287</v>
      </c>
      <c r="C488" s="16" t="s">
        <v>2153</v>
      </c>
      <c r="D488" s="13">
        <v>7909806391875</v>
      </c>
    </row>
    <row r="489" spans="1:4">
      <c r="A489" s="70" t="s">
        <v>2143</v>
      </c>
      <c r="B489" s="17" t="s">
        <v>2287</v>
      </c>
      <c r="C489" s="16" t="s">
        <v>2151</v>
      </c>
      <c r="D489" s="13">
        <v>7909510862418</v>
      </c>
    </row>
    <row r="490" spans="1:4">
      <c r="A490" s="70" t="s">
        <v>1532</v>
      </c>
      <c r="B490" s="17" t="s">
        <v>2287</v>
      </c>
      <c r="C490" s="16" t="s">
        <v>1544</v>
      </c>
      <c r="D490" s="13">
        <v>7909510751170</v>
      </c>
    </row>
    <row r="491" spans="1:4">
      <c r="A491" s="70" t="s">
        <v>1532</v>
      </c>
      <c r="B491" s="17" t="s">
        <v>2287</v>
      </c>
      <c r="C491" s="16" t="s">
        <v>1543</v>
      </c>
      <c r="D491" s="13">
        <v>7909510751194</v>
      </c>
    </row>
    <row r="492" spans="1:4">
      <c r="A492" s="70" t="s">
        <v>2198</v>
      </c>
      <c r="B492" s="17" t="s">
        <v>2281</v>
      </c>
      <c r="C492" s="16" t="s">
        <v>284</v>
      </c>
      <c r="D492" s="13">
        <v>7898142863842</v>
      </c>
    </row>
    <row r="493" spans="1:4">
      <c r="A493" s="70" t="s">
        <v>2198</v>
      </c>
      <c r="B493" s="17" t="s">
        <v>2281</v>
      </c>
      <c r="C493" s="16" t="s">
        <v>285</v>
      </c>
      <c r="D493" s="13">
        <v>7898142863804</v>
      </c>
    </row>
    <row r="494" spans="1:4">
      <c r="A494" s="70" t="s">
        <v>2198</v>
      </c>
      <c r="B494" s="17" t="s">
        <v>2281</v>
      </c>
      <c r="C494" s="16" t="s">
        <v>286</v>
      </c>
      <c r="D494" s="13">
        <v>7898142863965</v>
      </c>
    </row>
    <row r="495" spans="1:4">
      <c r="A495" s="70" t="s">
        <v>2198</v>
      </c>
      <c r="B495" s="17" t="s">
        <v>2281</v>
      </c>
      <c r="C495" s="16" t="s">
        <v>287</v>
      </c>
      <c r="D495" s="13">
        <v>7898142863927</v>
      </c>
    </row>
    <row r="496" spans="1:4">
      <c r="A496" s="70" t="s">
        <v>2198</v>
      </c>
      <c r="B496" s="17" t="s">
        <v>2281</v>
      </c>
      <c r="C496" s="16" t="s">
        <v>288</v>
      </c>
      <c r="D496" s="13">
        <v>7898142863941</v>
      </c>
    </row>
    <row r="497" spans="1:4">
      <c r="A497" s="70" t="s">
        <v>2198</v>
      </c>
      <c r="B497" s="17" t="s">
        <v>2281</v>
      </c>
      <c r="C497" s="16" t="s">
        <v>289</v>
      </c>
      <c r="D497" s="13">
        <v>7898142863880</v>
      </c>
    </row>
    <row r="498" spans="1:4">
      <c r="A498" s="70" t="s">
        <v>2198</v>
      </c>
      <c r="B498" s="17" t="s">
        <v>2281</v>
      </c>
      <c r="C498" s="16" t="s">
        <v>290</v>
      </c>
      <c r="D498" s="13">
        <v>7898142863989</v>
      </c>
    </row>
    <row r="499" spans="1:4">
      <c r="A499" s="70" t="s">
        <v>2198</v>
      </c>
      <c r="B499" s="17" t="s">
        <v>2281</v>
      </c>
      <c r="C499" s="16" t="s">
        <v>652</v>
      </c>
      <c r="D499" s="13">
        <v>7898142863798</v>
      </c>
    </row>
    <row r="500" spans="1:4">
      <c r="A500" s="70" t="s">
        <v>2198</v>
      </c>
      <c r="B500" s="17" t="s">
        <v>2281</v>
      </c>
      <c r="C500" s="16" t="s">
        <v>653</v>
      </c>
      <c r="D500" s="13">
        <v>7898142863958</v>
      </c>
    </row>
    <row r="501" spans="1:4">
      <c r="A501" s="70" t="s">
        <v>2198</v>
      </c>
      <c r="B501" s="17" t="s">
        <v>2281</v>
      </c>
      <c r="C501" s="16" t="s">
        <v>654</v>
      </c>
      <c r="D501" s="13">
        <v>7898142863910</v>
      </c>
    </row>
    <row r="502" spans="1:4">
      <c r="A502" s="70" t="s">
        <v>2198</v>
      </c>
      <c r="B502" s="17" t="s">
        <v>2281</v>
      </c>
      <c r="C502" s="16" t="s">
        <v>655</v>
      </c>
      <c r="D502" s="13">
        <v>7898142863835</v>
      </c>
    </row>
    <row r="503" spans="1:4">
      <c r="A503" s="70" t="s">
        <v>2198</v>
      </c>
      <c r="B503" s="17" t="s">
        <v>2281</v>
      </c>
      <c r="C503" s="16" t="s">
        <v>2311</v>
      </c>
      <c r="D503" s="13">
        <v>7898142865464</v>
      </c>
    </row>
    <row r="504" spans="1:4">
      <c r="A504" s="70" t="s">
        <v>2198</v>
      </c>
      <c r="B504" s="17" t="s">
        <v>2281</v>
      </c>
      <c r="C504" s="16" t="s">
        <v>656</v>
      </c>
      <c r="D504" s="13">
        <v>7898142863972</v>
      </c>
    </row>
    <row r="505" spans="1:4">
      <c r="A505" s="70" t="s">
        <v>2198</v>
      </c>
      <c r="B505" s="17" t="s">
        <v>2281</v>
      </c>
      <c r="C505" s="16" t="s">
        <v>2899</v>
      </c>
      <c r="D505" s="13">
        <v>7898142864962</v>
      </c>
    </row>
    <row r="506" spans="1:4">
      <c r="A506" s="70" t="s">
        <v>2198</v>
      </c>
      <c r="B506" s="17" t="s">
        <v>2281</v>
      </c>
      <c r="C506" s="16" t="s">
        <v>657</v>
      </c>
      <c r="D506" s="13">
        <v>7898142863873</v>
      </c>
    </row>
    <row r="507" spans="1:4">
      <c r="A507" s="70" t="s">
        <v>2198</v>
      </c>
      <c r="B507" s="17" t="s">
        <v>2281</v>
      </c>
      <c r="C507" s="16" t="s">
        <v>658</v>
      </c>
      <c r="D507" s="13">
        <v>7898142863934</v>
      </c>
    </row>
    <row r="508" spans="1:4" ht="30">
      <c r="A508" s="70" t="s">
        <v>1627</v>
      </c>
      <c r="B508" s="17" t="s">
        <v>2281</v>
      </c>
      <c r="C508" s="16" t="s">
        <v>284</v>
      </c>
      <c r="D508" s="13">
        <v>7898142863842</v>
      </c>
    </row>
    <row r="509" spans="1:4" ht="30">
      <c r="A509" s="70" t="s">
        <v>1627</v>
      </c>
      <c r="B509" s="17" t="s">
        <v>2281</v>
      </c>
      <c r="C509" s="16" t="s">
        <v>285</v>
      </c>
      <c r="D509" s="13">
        <v>7898142863804</v>
      </c>
    </row>
    <row r="510" spans="1:4" ht="30">
      <c r="A510" s="70" t="s">
        <v>1627</v>
      </c>
      <c r="B510" s="17" t="s">
        <v>2281</v>
      </c>
      <c r="C510" s="16" t="s">
        <v>286</v>
      </c>
      <c r="D510" s="13">
        <v>7898142863965</v>
      </c>
    </row>
    <row r="511" spans="1:4" ht="30">
      <c r="A511" s="70" t="s">
        <v>1627</v>
      </c>
      <c r="B511" s="17" t="s">
        <v>2281</v>
      </c>
      <c r="C511" s="16" t="s">
        <v>287</v>
      </c>
      <c r="D511" s="13">
        <v>7898142863927</v>
      </c>
    </row>
    <row r="512" spans="1:4" ht="30">
      <c r="A512" s="70" t="s">
        <v>1627</v>
      </c>
      <c r="B512" s="17" t="s">
        <v>2281</v>
      </c>
      <c r="C512" s="16" t="s">
        <v>288</v>
      </c>
      <c r="D512" s="13">
        <v>7898142863941</v>
      </c>
    </row>
    <row r="513" spans="1:4" ht="30">
      <c r="A513" s="70" t="s">
        <v>1627</v>
      </c>
      <c r="B513" s="17" t="s">
        <v>2281</v>
      </c>
      <c r="C513" s="16" t="s">
        <v>289</v>
      </c>
      <c r="D513" s="13">
        <v>7898142863880</v>
      </c>
    </row>
    <row r="514" spans="1:4" ht="30">
      <c r="A514" s="70" t="s">
        <v>1627</v>
      </c>
      <c r="B514" s="17" t="s">
        <v>2281</v>
      </c>
      <c r="C514" s="16" t="s">
        <v>290</v>
      </c>
      <c r="D514" s="13">
        <v>7898142863989</v>
      </c>
    </row>
    <row r="515" spans="1:4" ht="30">
      <c r="A515" s="70" t="s">
        <v>1627</v>
      </c>
      <c r="B515" s="17" t="s">
        <v>2281</v>
      </c>
      <c r="C515" s="16" t="s">
        <v>652</v>
      </c>
      <c r="D515" s="13">
        <v>7898142863798</v>
      </c>
    </row>
    <row r="516" spans="1:4" ht="30">
      <c r="A516" s="70" t="s">
        <v>1627</v>
      </c>
      <c r="B516" s="17" t="s">
        <v>2281</v>
      </c>
      <c r="C516" s="16" t="s">
        <v>653</v>
      </c>
      <c r="D516" s="13">
        <v>7898142863958</v>
      </c>
    </row>
    <row r="517" spans="1:4" ht="30">
      <c r="A517" s="70" t="s">
        <v>1627</v>
      </c>
      <c r="B517" s="17" t="s">
        <v>2281</v>
      </c>
      <c r="C517" s="16" t="s">
        <v>654</v>
      </c>
      <c r="D517" s="13">
        <v>7898142863910</v>
      </c>
    </row>
    <row r="518" spans="1:4" ht="30">
      <c r="A518" s="70" t="s">
        <v>1627</v>
      </c>
      <c r="B518" s="17" t="s">
        <v>2281</v>
      </c>
      <c r="C518" s="16" t="s">
        <v>655</v>
      </c>
      <c r="D518" s="13">
        <v>7898142863835</v>
      </c>
    </row>
    <row r="519" spans="1:4" ht="30">
      <c r="A519" s="70" t="s">
        <v>1627</v>
      </c>
      <c r="B519" s="17" t="s">
        <v>2281</v>
      </c>
      <c r="C519" s="16" t="s">
        <v>656</v>
      </c>
      <c r="D519" s="13">
        <v>7898142863972</v>
      </c>
    </row>
    <row r="520" spans="1:4" ht="30">
      <c r="A520" s="70" t="s">
        <v>1627</v>
      </c>
      <c r="B520" s="17" t="s">
        <v>2281</v>
      </c>
      <c r="C520" s="16" t="s">
        <v>657</v>
      </c>
      <c r="D520" s="13">
        <v>7898142863873</v>
      </c>
    </row>
    <row r="521" spans="1:4" ht="30">
      <c r="A521" s="70" t="s">
        <v>1627</v>
      </c>
      <c r="B521" s="17" t="s">
        <v>2281</v>
      </c>
      <c r="C521" s="16" t="s">
        <v>658</v>
      </c>
      <c r="D521" s="13">
        <v>7898142863934</v>
      </c>
    </row>
    <row r="522" spans="1:4">
      <c r="A522" s="70" t="s">
        <v>732</v>
      </c>
      <c r="B522" s="17" t="s">
        <v>2281</v>
      </c>
      <c r="C522" s="16" t="s">
        <v>738</v>
      </c>
      <c r="D522" s="13">
        <v>7622210961716</v>
      </c>
    </row>
    <row r="523" spans="1:4">
      <c r="A523" s="70" t="s">
        <v>732</v>
      </c>
      <c r="B523" s="17" t="s">
        <v>2281</v>
      </c>
      <c r="C523" s="16" t="s">
        <v>801</v>
      </c>
      <c r="D523" s="13">
        <v>7622300991456</v>
      </c>
    </row>
    <row r="524" spans="1:4">
      <c r="A524" s="70" t="s">
        <v>732</v>
      </c>
      <c r="B524" s="17" t="s">
        <v>2281</v>
      </c>
      <c r="C524" s="16" t="s">
        <v>739</v>
      </c>
      <c r="D524" s="13">
        <v>7622210961679</v>
      </c>
    </row>
    <row r="525" spans="1:4">
      <c r="A525" s="70" t="s">
        <v>732</v>
      </c>
      <c r="B525" s="17" t="s">
        <v>2281</v>
      </c>
      <c r="C525" s="16" t="s">
        <v>740</v>
      </c>
      <c r="D525" s="13">
        <v>7622210936707</v>
      </c>
    </row>
    <row r="526" spans="1:4">
      <c r="A526" s="70" t="s">
        <v>732</v>
      </c>
      <c r="B526" s="17" t="s">
        <v>2281</v>
      </c>
      <c r="C526" s="16" t="s">
        <v>741</v>
      </c>
      <c r="D526" s="13">
        <v>7622300991500</v>
      </c>
    </row>
    <row r="527" spans="1:4">
      <c r="A527" s="70" t="s">
        <v>732</v>
      </c>
      <c r="B527" s="17" t="s">
        <v>2281</v>
      </c>
      <c r="C527" s="16" t="s">
        <v>742</v>
      </c>
      <c r="D527" s="13">
        <v>7622300991418</v>
      </c>
    </row>
    <row r="528" spans="1:4">
      <c r="A528" s="70" t="s">
        <v>732</v>
      </c>
      <c r="B528" s="17" t="s">
        <v>2281</v>
      </c>
      <c r="C528" s="16" t="s">
        <v>1096</v>
      </c>
      <c r="D528" s="13">
        <v>7622300991470</v>
      </c>
    </row>
    <row r="529" spans="1:4">
      <c r="A529" s="70" t="s">
        <v>732</v>
      </c>
      <c r="B529" s="17" t="s">
        <v>2281</v>
      </c>
      <c r="C529" s="16" t="s">
        <v>743</v>
      </c>
      <c r="D529" s="13">
        <v>7622300991371</v>
      </c>
    </row>
    <row r="530" spans="1:4">
      <c r="A530" s="70" t="s">
        <v>732</v>
      </c>
      <c r="B530" s="17" t="s">
        <v>2281</v>
      </c>
      <c r="C530" s="16" t="s">
        <v>2289</v>
      </c>
      <c r="D530" s="13">
        <v>7622210567567</v>
      </c>
    </row>
    <row r="531" spans="1:4">
      <c r="A531" s="70" t="s">
        <v>1713</v>
      </c>
      <c r="B531" s="17" t="s">
        <v>2281</v>
      </c>
      <c r="C531" s="16" t="s">
        <v>1624</v>
      </c>
      <c r="D531" s="13">
        <v>7622300786601</v>
      </c>
    </row>
    <row r="532" spans="1:4">
      <c r="A532" s="70" t="s">
        <v>1713</v>
      </c>
      <c r="B532" s="17" t="s">
        <v>2281</v>
      </c>
      <c r="C532" s="16" t="s">
        <v>1097</v>
      </c>
      <c r="D532" s="13">
        <v>7622210866790</v>
      </c>
    </row>
    <row r="533" spans="1:4">
      <c r="A533" s="70" t="s">
        <v>2000</v>
      </c>
      <c r="B533" s="17" t="s">
        <v>2281</v>
      </c>
      <c r="C533" s="16" t="s">
        <v>2002</v>
      </c>
      <c r="D533" s="13">
        <v>7896423419276</v>
      </c>
    </row>
    <row r="534" spans="1:4">
      <c r="A534" s="70" t="s">
        <v>2720</v>
      </c>
      <c r="B534" s="17" t="s">
        <v>2281</v>
      </c>
      <c r="C534" s="16" t="s">
        <v>1744</v>
      </c>
      <c r="D534" s="13">
        <v>7896423405743</v>
      </c>
    </row>
    <row r="535" spans="1:4">
      <c r="A535" s="70" t="s">
        <v>2720</v>
      </c>
      <c r="B535" s="17" t="s">
        <v>2281</v>
      </c>
      <c r="C535" s="16" t="s">
        <v>1745</v>
      </c>
      <c r="D535" s="13">
        <v>7896423406054</v>
      </c>
    </row>
    <row r="536" spans="1:4">
      <c r="A536" s="70" t="s">
        <v>1570</v>
      </c>
      <c r="B536" s="17" t="s">
        <v>2281</v>
      </c>
      <c r="C536" s="16" t="s">
        <v>1571</v>
      </c>
      <c r="D536" s="13">
        <v>7622210286123</v>
      </c>
    </row>
    <row r="537" spans="1:4">
      <c r="A537" s="70" t="s">
        <v>1570</v>
      </c>
      <c r="B537" s="17" t="s">
        <v>2281</v>
      </c>
      <c r="C537" s="16" t="s">
        <v>1572</v>
      </c>
      <c r="D537" s="13">
        <v>7622210286109</v>
      </c>
    </row>
    <row r="538" spans="1:4">
      <c r="A538" s="70" t="s">
        <v>1570</v>
      </c>
      <c r="B538" s="17" t="s">
        <v>2281</v>
      </c>
      <c r="C538" s="16" t="s">
        <v>1598</v>
      </c>
      <c r="D538" s="13">
        <v>7622300291785</v>
      </c>
    </row>
    <row r="539" spans="1:4">
      <c r="A539" s="70" t="s">
        <v>1570</v>
      </c>
      <c r="B539" s="17" t="s">
        <v>2281</v>
      </c>
      <c r="C539" s="16" t="s">
        <v>1599</v>
      </c>
      <c r="D539" s="13">
        <v>7622210824721</v>
      </c>
    </row>
    <row r="540" spans="1:4">
      <c r="A540" s="70" t="s">
        <v>1570</v>
      </c>
      <c r="B540" s="17" t="s">
        <v>2281</v>
      </c>
      <c r="C540" s="16" t="s">
        <v>1573</v>
      </c>
      <c r="D540" s="13">
        <v>7622210516091</v>
      </c>
    </row>
    <row r="541" spans="1:4">
      <c r="A541" s="70" t="s">
        <v>1570</v>
      </c>
      <c r="B541" s="17" t="s">
        <v>2281</v>
      </c>
      <c r="C541" s="16" t="s">
        <v>1574</v>
      </c>
      <c r="D541" s="13">
        <v>7622210615084</v>
      </c>
    </row>
    <row r="542" spans="1:4">
      <c r="A542" s="70" t="s">
        <v>1570</v>
      </c>
      <c r="B542" s="17" t="s">
        <v>2281</v>
      </c>
      <c r="C542" s="16" t="s">
        <v>1575</v>
      </c>
      <c r="D542" s="13">
        <v>7622210822383</v>
      </c>
    </row>
    <row r="543" spans="1:4">
      <c r="A543" s="70" t="s">
        <v>1570</v>
      </c>
      <c r="B543" s="17" t="s">
        <v>2281</v>
      </c>
      <c r="C543" s="16" t="s">
        <v>1576</v>
      </c>
      <c r="D543" s="13">
        <v>7622210369444</v>
      </c>
    </row>
    <row r="544" spans="1:4">
      <c r="A544" s="70" t="s">
        <v>1570</v>
      </c>
      <c r="B544" s="17" t="s">
        <v>2281</v>
      </c>
      <c r="C544" s="16" t="s">
        <v>1577</v>
      </c>
      <c r="D544" s="13">
        <v>7622210489760</v>
      </c>
    </row>
    <row r="545" spans="1:4">
      <c r="A545" s="70" t="s">
        <v>1570</v>
      </c>
      <c r="B545" s="17" t="s">
        <v>2281</v>
      </c>
      <c r="C545" s="16" t="s">
        <v>1578</v>
      </c>
      <c r="D545" s="13">
        <v>7622210489289</v>
      </c>
    </row>
    <row r="546" spans="1:4">
      <c r="A546" s="70" t="s">
        <v>1570</v>
      </c>
      <c r="B546" s="17" t="s">
        <v>2281</v>
      </c>
      <c r="C546" s="16" t="s">
        <v>2674</v>
      </c>
      <c r="D546" s="13">
        <v>7622210611239</v>
      </c>
    </row>
    <row r="547" spans="1:4">
      <c r="A547" s="70" t="s">
        <v>1570</v>
      </c>
      <c r="B547" s="17" t="s">
        <v>2281</v>
      </c>
      <c r="C547" s="16" t="s">
        <v>2678</v>
      </c>
      <c r="D547" s="13">
        <v>7622201098544</v>
      </c>
    </row>
    <row r="548" spans="1:4">
      <c r="A548" s="70" t="s">
        <v>1570</v>
      </c>
      <c r="B548" s="17" t="s">
        <v>2281</v>
      </c>
      <c r="C548" s="15" t="s">
        <v>2675</v>
      </c>
      <c r="D548" s="13">
        <v>7622210609885</v>
      </c>
    </row>
    <row r="549" spans="1:4">
      <c r="A549" s="70" t="s">
        <v>1570</v>
      </c>
      <c r="B549" s="17" t="s">
        <v>2281</v>
      </c>
      <c r="C549" s="15" t="s">
        <v>2676</v>
      </c>
      <c r="D549" s="13">
        <v>7622210269249</v>
      </c>
    </row>
    <row r="550" spans="1:4">
      <c r="A550" s="70" t="s">
        <v>1570</v>
      </c>
      <c r="B550" s="17" t="s">
        <v>2281</v>
      </c>
      <c r="C550" s="15" t="s">
        <v>3003</v>
      </c>
      <c r="D550" s="13">
        <v>7622210163899</v>
      </c>
    </row>
    <row r="551" spans="1:4">
      <c r="A551" s="70" t="s">
        <v>1570</v>
      </c>
      <c r="B551" s="17" t="s">
        <v>2281</v>
      </c>
      <c r="C551" s="15" t="s">
        <v>3004</v>
      </c>
      <c r="D551" s="13">
        <v>7622300086404</v>
      </c>
    </row>
    <row r="552" spans="1:4">
      <c r="A552" s="70" t="s">
        <v>1570</v>
      </c>
      <c r="B552" s="17" t="s">
        <v>2281</v>
      </c>
      <c r="C552" s="15" t="s">
        <v>3005</v>
      </c>
      <c r="D552" s="13">
        <v>7622210476838</v>
      </c>
    </row>
    <row r="553" spans="1:4">
      <c r="A553" s="70" t="s">
        <v>1570</v>
      </c>
      <c r="B553" s="17" t="s">
        <v>2281</v>
      </c>
      <c r="C553" s="15" t="s">
        <v>2677</v>
      </c>
      <c r="D553" s="13">
        <v>7622210262202</v>
      </c>
    </row>
    <row r="554" spans="1:4">
      <c r="A554" s="70" t="s">
        <v>1570</v>
      </c>
      <c r="B554" s="17" t="s">
        <v>2281</v>
      </c>
      <c r="C554" s="16" t="s">
        <v>1997</v>
      </c>
      <c r="D554" s="13">
        <v>7622210030597</v>
      </c>
    </row>
    <row r="555" spans="1:4">
      <c r="A555" s="70" t="s">
        <v>1570</v>
      </c>
      <c r="B555" s="17" t="s">
        <v>2281</v>
      </c>
      <c r="C555" s="16" t="s">
        <v>1998</v>
      </c>
      <c r="D555" s="13">
        <v>7622210642134</v>
      </c>
    </row>
    <row r="556" spans="1:4">
      <c r="A556" s="70" t="s">
        <v>1570</v>
      </c>
      <c r="B556" s="17" t="s">
        <v>2281</v>
      </c>
      <c r="C556" s="16" t="s">
        <v>1999</v>
      </c>
      <c r="D556" s="13">
        <v>7622210369543</v>
      </c>
    </row>
    <row r="557" spans="1:4">
      <c r="A557" s="70" t="s">
        <v>1570</v>
      </c>
      <c r="B557" s="17" t="s">
        <v>2281</v>
      </c>
      <c r="C557" s="16" t="s">
        <v>2652</v>
      </c>
      <c r="D557" s="13">
        <v>7622210007469</v>
      </c>
    </row>
    <row r="558" spans="1:4">
      <c r="A558" s="70" t="s">
        <v>1570</v>
      </c>
      <c r="B558" s="17" t="s">
        <v>2281</v>
      </c>
      <c r="C558" s="16" t="s">
        <v>2651</v>
      </c>
      <c r="D558" s="13">
        <v>7622300498429</v>
      </c>
    </row>
    <row r="559" spans="1:4">
      <c r="A559" s="70" t="s">
        <v>1570</v>
      </c>
      <c r="B559" s="17" t="s">
        <v>2281</v>
      </c>
      <c r="C559" s="16" t="s">
        <v>1579</v>
      </c>
      <c r="D559" s="13">
        <v>3800005103075</v>
      </c>
    </row>
    <row r="560" spans="1:4">
      <c r="A560" s="70" t="s">
        <v>1570</v>
      </c>
      <c r="B560" s="17" t="s">
        <v>2281</v>
      </c>
      <c r="C560" s="16" t="s">
        <v>1580</v>
      </c>
      <c r="D560" s="13">
        <v>7622300530518</v>
      </c>
    </row>
    <row r="561" spans="1:4">
      <c r="A561" s="70" t="s">
        <v>1570</v>
      </c>
      <c r="B561" s="17" t="s">
        <v>2281</v>
      </c>
      <c r="C561" s="16" t="s">
        <v>1581</v>
      </c>
      <c r="D561" s="13">
        <v>3045140280902</v>
      </c>
    </row>
    <row r="562" spans="1:4">
      <c r="A562" s="70" t="s">
        <v>1570</v>
      </c>
      <c r="B562" s="17" t="s">
        <v>2281</v>
      </c>
      <c r="C562" s="16" t="s">
        <v>1582</v>
      </c>
      <c r="D562" s="13">
        <v>7622210956163</v>
      </c>
    </row>
    <row r="563" spans="1:4">
      <c r="A563" s="70" t="s">
        <v>1570</v>
      </c>
      <c r="B563" s="17" t="s">
        <v>2281</v>
      </c>
      <c r="C563" s="16" t="s">
        <v>1583</v>
      </c>
      <c r="D563" s="13">
        <v>7622300617820</v>
      </c>
    </row>
    <row r="564" spans="1:4">
      <c r="A564" s="70" t="s">
        <v>1570</v>
      </c>
      <c r="B564" s="17" t="s">
        <v>2281</v>
      </c>
      <c r="C564" s="16" t="s">
        <v>1584</v>
      </c>
      <c r="D564" s="13">
        <v>4025700001030</v>
      </c>
    </row>
    <row r="565" spans="1:4">
      <c r="A565" s="70" t="s">
        <v>1570</v>
      </c>
      <c r="B565" s="17" t="s">
        <v>2281</v>
      </c>
      <c r="C565" s="16" t="s">
        <v>1585</v>
      </c>
      <c r="D565" s="13">
        <v>4025700001023</v>
      </c>
    </row>
    <row r="566" spans="1:4">
      <c r="A566" s="70" t="s">
        <v>1570</v>
      </c>
      <c r="B566" s="17" t="s">
        <v>2281</v>
      </c>
      <c r="C566" s="16" t="s">
        <v>1586</v>
      </c>
      <c r="D566" s="13">
        <v>7622400005190</v>
      </c>
    </row>
    <row r="567" spans="1:4">
      <c r="A567" s="70" t="s">
        <v>1570</v>
      </c>
      <c r="B567" s="17" t="s">
        <v>2281</v>
      </c>
      <c r="C567" s="16" t="s">
        <v>1587</v>
      </c>
      <c r="D567" s="13">
        <v>7622300250225</v>
      </c>
    </row>
    <row r="568" spans="1:4">
      <c r="A568" s="70" t="s">
        <v>1570</v>
      </c>
      <c r="B568" s="17" t="s">
        <v>2281</v>
      </c>
      <c r="C568" s="16" t="s">
        <v>1588</v>
      </c>
      <c r="D568" s="13">
        <v>7622210397119</v>
      </c>
    </row>
    <row r="569" spans="1:4">
      <c r="A569" s="70" t="s">
        <v>1570</v>
      </c>
      <c r="B569" s="17" t="s">
        <v>2281</v>
      </c>
      <c r="C569" s="16" t="s">
        <v>1589</v>
      </c>
      <c r="D569" s="13">
        <v>7622300185015</v>
      </c>
    </row>
    <row r="570" spans="1:4">
      <c r="A570" s="70" t="s">
        <v>1570</v>
      </c>
      <c r="B570" s="17" t="s">
        <v>2281</v>
      </c>
      <c r="C570" s="16" t="s">
        <v>1590</v>
      </c>
      <c r="D570" s="13">
        <v>7622210262530</v>
      </c>
    </row>
    <row r="571" spans="1:4">
      <c r="A571" s="70" t="s">
        <v>1570</v>
      </c>
      <c r="B571" s="17" t="s">
        <v>2281</v>
      </c>
      <c r="C571" s="16" t="s">
        <v>1591</v>
      </c>
      <c r="D571" s="13">
        <v>7622300674595</v>
      </c>
    </row>
    <row r="572" spans="1:4">
      <c r="A572" s="70" t="s">
        <v>1570</v>
      </c>
      <c r="B572" s="17" t="s">
        <v>2281</v>
      </c>
      <c r="C572" s="16" t="s">
        <v>1592</v>
      </c>
      <c r="D572" s="13">
        <v>7622201050757</v>
      </c>
    </row>
    <row r="573" spans="1:4">
      <c r="A573" s="70" t="s">
        <v>1570</v>
      </c>
      <c r="B573" s="17" t="s">
        <v>2281</v>
      </c>
      <c r="C573" s="16" t="s">
        <v>1593</v>
      </c>
      <c r="D573" s="13">
        <v>7622201432157</v>
      </c>
    </row>
    <row r="574" spans="1:4">
      <c r="A574" s="70" t="s">
        <v>1570</v>
      </c>
      <c r="B574" s="17" t="s">
        <v>2281</v>
      </c>
      <c r="C574" s="16" t="s">
        <v>1594</v>
      </c>
      <c r="D574" s="13">
        <v>4025700001962</v>
      </c>
    </row>
    <row r="575" spans="1:4">
      <c r="A575" s="70" t="s">
        <v>1570</v>
      </c>
      <c r="B575" s="17" t="s">
        <v>2281</v>
      </c>
      <c r="C575" s="16" t="s">
        <v>1595</v>
      </c>
      <c r="D575" s="13">
        <v>3045140105502</v>
      </c>
    </row>
    <row r="576" spans="1:4">
      <c r="A576" s="70" t="s">
        <v>1130</v>
      </c>
      <c r="B576" s="17" t="s">
        <v>2281</v>
      </c>
      <c r="C576" s="16" t="s">
        <v>542</v>
      </c>
      <c r="D576" s="13">
        <v>7891000249239</v>
      </c>
    </row>
    <row r="577" spans="1:4">
      <c r="A577" s="70" t="s">
        <v>1130</v>
      </c>
      <c r="B577" s="17" t="s">
        <v>2281</v>
      </c>
      <c r="C577" s="16" t="s">
        <v>543</v>
      </c>
      <c r="D577" s="13">
        <v>7891000248829</v>
      </c>
    </row>
    <row r="578" spans="1:4">
      <c r="A578" s="70" t="s">
        <v>1130</v>
      </c>
      <c r="B578" s="17" t="s">
        <v>2281</v>
      </c>
      <c r="C578" s="16" t="s">
        <v>544</v>
      </c>
      <c r="D578" s="13">
        <v>7891000248768</v>
      </c>
    </row>
    <row r="579" spans="1:4">
      <c r="A579" s="70" t="s">
        <v>530</v>
      </c>
      <c r="B579" s="17" t="s">
        <v>2281</v>
      </c>
      <c r="C579" s="16" t="s">
        <v>542</v>
      </c>
      <c r="D579" s="13">
        <v>7891000249239</v>
      </c>
    </row>
    <row r="580" spans="1:4">
      <c r="A580" s="70" t="s">
        <v>530</v>
      </c>
      <c r="B580" s="17" t="s">
        <v>2281</v>
      </c>
      <c r="C580" s="16" t="s">
        <v>543</v>
      </c>
      <c r="D580" s="13">
        <v>7891000248829</v>
      </c>
    </row>
    <row r="581" spans="1:4">
      <c r="A581" s="70" t="s">
        <v>530</v>
      </c>
      <c r="B581" s="17" t="s">
        <v>2281</v>
      </c>
      <c r="C581" s="16" t="s">
        <v>544</v>
      </c>
      <c r="D581" s="13">
        <v>7891000248768</v>
      </c>
    </row>
    <row r="582" spans="1:4">
      <c r="A582" s="70" t="s">
        <v>2995</v>
      </c>
      <c r="B582" s="17" t="s">
        <v>2281</v>
      </c>
      <c r="C582" s="16" t="s">
        <v>2986</v>
      </c>
      <c r="D582" s="13">
        <v>7891000369098</v>
      </c>
    </row>
    <row r="583" spans="1:4">
      <c r="A583" s="70" t="s">
        <v>2995</v>
      </c>
      <c r="B583" s="17" t="s">
        <v>2281</v>
      </c>
      <c r="C583" s="16" t="s">
        <v>2987</v>
      </c>
      <c r="D583" s="13">
        <v>7891000368992</v>
      </c>
    </row>
    <row r="584" spans="1:4">
      <c r="A584" s="70" t="s">
        <v>2995</v>
      </c>
      <c r="B584" s="17" t="s">
        <v>2281</v>
      </c>
      <c r="C584" s="16" t="s">
        <v>2988</v>
      </c>
      <c r="D584" s="13">
        <v>7891000369371</v>
      </c>
    </row>
    <row r="585" spans="1:4">
      <c r="A585" s="70" t="s">
        <v>2995</v>
      </c>
      <c r="B585" s="17" t="s">
        <v>2281</v>
      </c>
      <c r="C585" s="16" t="s">
        <v>2989</v>
      </c>
      <c r="D585" s="13">
        <v>7891000368893</v>
      </c>
    </row>
    <row r="586" spans="1:4">
      <c r="A586" s="70" t="s">
        <v>2995</v>
      </c>
      <c r="B586" s="17" t="s">
        <v>2281</v>
      </c>
      <c r="C586" s="16" t="s">
        <v>2990</v>
      </c>
      <c r="D586" s="13">
        <v>7891000368626</v>
      </c>
    </row>
    <row r="587" spans="1:4">
      <c r="A587" s="70" t="s">
        <v>2995</v>
      </c>
      <c r="B587" s="17" t="s">
        <v>2281</v>
      </c>
      <c r="C587" s="16" t="s">
        <v>2991</v>
      </c>
      <c r="D587" s="13">
        <v>7891000368572</v>
      </c>
    </row>
    <row r="588" spans="1:4">
      <c r="A588" s="70" t="s">
        <v>2995</v>
      </c>
      <c r="B588" s="17" t="s">
        <v>2281</v>
      </c>
      <c r="C588" s="16" t="s">
        <v>2992</v>
      </c>
      <c r="D588" s="13">
        <v>7891000368947</v>
      </c>
    </row>
    <row r="589" spans="1:4">
      <c r="A589" s="70" t="s">
        <v>2995</v>
      </c>
      <c r="B589" s="17" t="s">
        <v>2281</v>
      </c>
      <c r="C589" s="16" t="s">
        <v>2993</v>
      </c>
      <c r="D589" s="13">
        <v>7891000329856</v>
      </c>
    </row>
    <row r="590" spans="1:4">
      <c r="A590" s="70" t="s">
        <v>2995</v>
      </c>
      <c r="B590" s="17" t="s">
        <v>2281</v>
      </c>
      <c r="C590" s="16" t="s">
        <v>2994</v>
      </c>
      <c r="D590" s="13">
        <v>7891000329665</v>
      </c>
    </row>
    <row r="591" spans="1:4">
      <c r="A591" s="70" t="s">
        <v>2078</v>
      </c>
      <c r="B591" s="17" t="s">
        <v>2281</v>
      </c>
      <c r="C591" s="16" t="s">
        <v>2081</v>
      </c>
      <c r="D591" s="13">
        <v>7891000104828</v>
      </c>
    </row>
    <row r="592" spans="1:4">
      <c r="A592" s="70" t="s">
        <v>1949</v>
      </c>
      <c r="B592" s="17" t="s">
        <v>2281</v>
      </c>
      <c r="C592" s="16" t="s">
        <v>1902</v>
      </c>
      <c r="D592" s="13">
        <v>7896423420180</v>
      </c>
    </row>
    <row r="593" spans="1:4">
      <c r="A593" s="70" t="s">
        <v>1949</v>
      </c>
      <c r="B593" s="17" t="s">
        <v>2281</v>
      </c>
      <c r="C593" s="16" t="s">
        <v>1903</v>
      </c>
      <c r="D593" s="13">
        <v>7896423481853</v>
      </c>
    </row>
    <row r="594" spans="1:4">
      <c r="A594" s="70" t="s">
        <v>1897</v>
      </c>
      <c r="B594" s="17" t="s">
        <v>2281</v>
      </c>
      <c r="C594" s="16" t="s">
        <v>1902</v>
      </c>
      <c r="D594" s="13">
        <v>7896423420180</v>
      </c>
    </row>
    <row r="595" spans="1:4">
      <c r="A595" s="70" t="s">
        <v>1897</v>
      </c>
      <c r="B595" s="17" t="s">
        <v>2281</v>
      </c>
      <c r="C595" s="16" t="s">
        <v>1903</v>
      </c>
      <c r="D595" s="13">
        <v>7896423481853</v>
      </c>
    </row>
    <row r="596" spans="1:4">
      <c r="A596" s="70" t="s">
        <v>1897</v>
      </c>
      <c r="B596" s="17" t="s">
        <v>2281</v>
      </c>
      <c r="C596" s="16" t="s">
        <v>1904</v>
      </c>
      <c r="D596" s="13">
        <v>7896423497984</v>
      </c>
    </row>
    <row r="597" spans="1:4">
      <c r="A597" s="70" t="s">
        <v>1761</v>
      </c>
      <c r="B597" s="17" t="s">
        <v>2281</v>
      </c>
      <c r="C597" s="16" t="s">
        <v>1762</v>
      </c>
      <c r="D597" s="13">
        <v>7896423470994</v>
      </c>
    </row>
    <row r="598" spans="1:4">
      <c r="A598" s="70" t="s">
        <v>1761</v>
      </c>
      <c r="B598" s="17" t="s">
        <v>2281</v>
      </c>
      <c r="C598" s="16" t="s">
        <v>1763</v>
      </c>
      <c r="D598" s="13">
        <v>7896423405491</v>
      </c>
    </row>
    <row r="599" spans="1:4">
      <c r="A599" s="70" t="s">
        <v>1403</v>
      </c>
      <c r="B599" s="17" t="s">
        <v>2283</v>
      </c>
      <c r="C599" s="16" t="s">
        <v>1412</v>
      </c>
      <c r="D599" s="13">
        <v>7896266107842</v>
      </c>
    </row>
    <row r="600" spans="1:4">
      <c r="A600" s="70" t="s">
        <v>1403</v>
      </c>
      <c r="B600" s="17" t="s">
        <v>2283</v>
      </c>
      <c r="C600" s="16" t="s">
        <v>1426</v>
      </c>
      <c r="D600" s="13">
        <v>7896266107811</v>
      </c>
    </row>
    <row r="601" spans="1:4">
      <c r="A601" s="70" t="s">
        <v>1403</v>
      </c>
      <c r="B601" s="17" t="s">
        <v>2283</v>
      </c>
      <c r="C601" s="16" t="s">
        <v>914</v>
      </c>
      <c r="D601" s="13">
        <v>7896266107798</v>
      </c>
    </row>
    <row r="602" spans="1:4">
      <c r="A602" s="70" t="s">
        <v>1403</v>
      </c>
      <c r="B602" s="17" t="s">
        <v>2283</v>
      </c>
      <c r="C602" s="16" t="s">
        <v>1413</v>
      </c>
      <c r="D602" s="13">
        <v>7896266107828</v>
      </c>
    </row>
    <row r="603" spans="1:4">
      <c r="A603" s="70" t="s">
        <v>887</v>
      </c>
      <c r="B603" s="17" t="s">
        <v>2283</v>
      </c>
      <c r="C603" s="16" t="s">
        <v>914</v>
      </c>
      <c r="D603" s="13">
        <v>7896266107798</v>
      </c>
    </row>
    <row r="604" spans="1:4">
      <c r="A604" s="10" t="s">
        <v>2276</v>
      </c>
      <c r="B604" s="17" t="s">
        <v>2287</v>
      </c>
      <c r="C604" s="16" t="s">
        <v>715</v>
      </c>
      <c r="D604" s="13">
        <v>7896451844811</v>
      </c>
    </row>
    <row r="605" spans="1:4">
      <c r="A605" s="10" t="s">
        <v>2276</v>
      </c>
      <c r="B605" s="17" t="s">
        <v>2287</v>
      </c>
      <c r="C605" s="16" t="s">
        <v>1676</v>
      </c>
      <c r="D605" s="13">
        <v>7896451844859</v>
      </c>
    </row>
    <row r="606" spans="1:4">
      <c r="A606" s="10" t="s">
        <v>2276</v>
      </c>
      <c r="B606" s="17" t="s">
        <v>2287</v>
      </c>
      <c r="C606" s="16" t="s">
        <v>1675</v>
      </c>
      <c r="D606" s="13">
        <v>7896451844842</v>
      </c>
    </row>
    <row r="607" spans="1:4">
      <c r="A607" s="10" t="s">
        <v>2276</v>
      </c>
      <c r="B607" s="17" t="s">
        <v>2287</v>
      </c>
      <c r="C607" s="16" t="s">
        <v>1249</v>
      </c>
      <c r="D607" s="13">
        <v>7896451844828</v>
      </c>
    </row>
    <row r="608" spans="1:4">
      <c r="A608" s="70" t="s">
        <v>2500</v>
      </c>
      <c r="B608" s="17" t="s">
        <v>2287</v>
      </c>
      <c r="C608" s="16" t="s">
        <v>715</v>
      </c>
      <c r="D608" s="13">
        <v>7896451844811</v>
      </c>
    </row>
    <row r="609" spans="1:4">
      <c r="A609" s="70" t="s">
        <v>2500</v>
      </c>
      <c r="B609" s="17" t="s">
        <v>2287</v>
      </c>
      <c r="C609" s="16" t="s">
        <v>1676</v>
      </c>
      <c r="D609" s="13">
        <v>7896451844859</v>
      </c>
    </row>
    <row r="610" spans="1:4">
      <c r="A610" s="70" t="s">
        <v>2500</v>
      </c>
      <c r="B610" s="17" t="s">
        <v>2287</v>
      </c>
      <c r="C610" s="16" t="s">
        <v>1675</v>
      </c>
      <c r="D610" s="13">
        <v>7896451844842</v>
      </c>
    </row>
    <row r="611" spans="1:4">
      <c r="A611" s="70" t="s">
        <v>2500</v>
      </c>
      <c r="B611" s="17" t="s">
        <v>2287</v>
      </c>
      <c r="C611" s="16" t="s">
        <v>2514</v>
      </c>
      <c r="D611" s="13">
        <v>7896451844804</v>
      </c>
    </row>
    <row r="612" spans="1:4">
      <c r="A612" s="70" t="s">
        <v>2500</v>
      </c>
      <c r="B612" s="17" t="s">
        <v>2287</v>
      </c>
      <c r="C612" s="16" t="s">
        <v>2515</v>
      </c>
      <c r="D612" s="13">
        <v>7896451844828</v>
      </c>
    </row>
    <row r="613" spans="1:4">
      <c r="A613" s="70" t="s">
        <v>2244</v>
      </c>
      <c r="B613" s="17" t="s">
        <v>2287</v>
      </c>
      <c r="C613" s="16" t="s">
        <v>2246</v>
      </c>
      <c r="D613" s="13">
        <v>7896451880482</v>
      </c>
    </row>
    <row r="614" spans="1:4">
      <c r="A614" s="70" t="s">
        <v>2244</v>
      </c>
      <c r="B614" s="17" t="s">
        <v>2287</v>
      </c>
      <c r="C614" s="16" t="s">
        <v>2247</v>
      </c>
      <c r="D614" s="13">
        <v>7896451878953</v>
      </c>
    </row>
    <row r="615" spans="1:4">
      <c r="A615" s="70" t="s">
        <v>943</v>
      </c>
      <c r="B615" s="17" t="s">
        <v>2287</v>
      </c>
      <c r="C615" s="16" t="s">
        <v>958</v>
      </c>
      <c r="D615" s="13">
        <v>7896451862662</v>
      </c>
    </row>
    <row r="616" spans="1:4">
      <c r="A616" s="70" t="s">
        <v>943</v>
      </c>
      <c r="B616" s="17" t="s">
        <v>2287</v>
      </c>
      <c r="C616" s="16" t="s">
        <v>959</v>
      </c>
      <c r="D616" s="13">
        <v>7896451862686</v>
      </c>
    </row>
    <row r="617" spans="1:4">
      <c r="A617" s="70" t="s">
        <v>2035</v>
      </c>
      <c r="B617" s="17" t="s">
        <v>2287</v>
      </c>
      <c r="C617" s="16" t="s">
        <v>1850</v>
      </c>
      <c r="D617" s="13">
        <v>7896451825216</v>
      </c>
    </row>
    <row r="618" spans="1:4">
      <c r="A618" s="70" t="s">
        <v>2035</v>
      </c>
      <c r="B618" s="17" t="s">
        <v>2287</v>
      </c>
      <c r="C618" s="16" t="s">
        <v>1974</v>
      </c>
      <c r="D618" s="13">
        <v>7896451824776</v>
      </c>
    </row>
    <row r="619" spans="1:4">
      <c r="A619" s="70" t="s">
        <v>2035</v>
      </c>
      <c r="B619" s="17" t="s">
        <v>2287</v>
      </c>
      <c r="C619" s="16" t="s">
        <v>1974</v>
      </c>
      <c r="D619" s="13">
        <v>7896451824783</v>
      </c>
    </row>
    <row r="620" spans="1:4">
      <c r="A620" s="70" t="s">
        <v>1845</v>
      </c>
      <c r="B620" s="17" t="s">
        <v>2287</v>
      </c>
      <c r="C620" s="16" t="s">
        <v>1850</v>
      </c>
      <c r="D620" s="13">
        <v>7896451825216</v>
      </c>
    </row>
    <row r="621" spans="1:4">
      <c r="A621" s="70" t="s">
        <v>1845</v>
      </c>
      <c r="B621" s="17" t="s">
        <v>2287</v>
      </c>
      <c r="C621" s="16" t="s">
        <v>1974</v>
      </c>
      <c r="D621" s="13">
        <v>7896451824776</v>
      </c>
    </row>
    <row r="622" spans="1:4">
      <c r="A622" s="70" t="s">
        <v>1845</v>
      </c>
      <c r="B622" s="17" t="s">
        <v>2287</v>
      </c>
      <c r="C622" s="16" t="s">
        <v>1974</v>
      </c>
      <c r="D622" s="13">
        <v>7896451824783</v>
      </c>
    </row>
    <row r="623" spans="1:4">
      <c r="A623" s="70" t="s">
        <v>1845</v>
      </c>
      <c r="B623" s="17" t="s">
        <v>2287</v>
      </c>
      <c r="C623" s="16" t="s">
        <v>1975</v>
      </c>
      <c r="D623" s="13">
        <v>7896451824790</v>
      </c>
    </row>
    <row r="624" spans="1:4">
      <c r="A624" s="70" t="s">
        <v>1845</v>
      </c>
      <c r="B624" s="17" t="s">
        <v>2287</v>
      </c>
      <c r="C624" s="16" t="s">
        <v>1975</v>
      </c>
      <c r="D624" s="13">
        <v>7896451824806</v>
      </c>
    </row>
    <row r="625" spans="1:4">
      <c r="A625" s="70" t="s">
        <v>1845</v>
      </c>
      <c r="B625" s="17" t="s">
        <v>2287</v>
      </c>
      <c r="C625" s="16" t="s">
        <v>1851</v>
      </c>
      <c r="D625" s="13">
        <v>7896451825230</v>
      </c>
    </row>
    <row r="626" spans="1:4">
      <c r="A626" s="70" t="s">
        <v>2227</v>
      </c>
      <c r="B626" s="17" t="s">
        <v>2287</v>
      </c>
      <c r="C626" s="16" t="s">
        <v>1850</v>
      </c>
      <c r="D626" s="13">
        <v>7896451825216</v>
      </c>
    </row>
    <row r="627" spans="1:4">
      <c r="A627" s="70" t="s">
        <v>2227</v>
      </c>
      <c r="B627" s="17" t="s">
        <v>2287</v>
      </c>
      <c r="C627" s="16" t="s">
        <v>1850</v>
      </c>
      <c r="D627" s="14">
        <v>7896451824806</v>
      </c>
    </row>
    <row r="628" spans="1:4">
      <c r="A628" s="70" t="s">
        <v>2227</v>
      </c>
      <c r="B628" s="17" t="s">
        <v>2287</v>
      </c>
      <c r="C628" s="16" t="s">
        <v>1851</v>
      </c>
      <c r="D628" s="13">
        <v>7896451825230</v>
      </c>
    </row>
    <row r="629" spans="1:4">
      <c r="A629" s="70" t="s">
        <v>2227</v>
      </c>
      <c r="B629" s="17" t="s">
        <v>2287</v>
      </c>
      <c r="C629" s="16" t="s">
        <v>1851</v>
      </c>
      <c r="D629" s="14">
        <v>7896451824783</v>
      </c>
    </row>
    <row r="630" spans="1:4">
      <c r="A630" s="70" t="s">
        <v>2227</v>
      </c>
      <c r="B630" s="17" t="s">
        <v>2287</v>
      </c>
      <c r="C630" s="31" t="s">
        <v>3046</v>
      </c>
      <c r="D630" s="14">
        <v>7896451824776</v>
      </c>
    </row>
    <row r="631" spans="1:4">
      <c r="A631" s="70" t="s">
        <v>2227</v>
      </c>
      <c r="B631" s="17" t="s">
        <v>2287</v>
      </c>
      <c r="C631" s="31" t="s">
        <v>3045</v>
      </c>
      <c r="D631" s="14">
        <v>7896451824790</v>
      </c>
    </row>
    <row r="632" spans="1:4">
      <c r="A632" s="70" t="s">
        <v>81</v>
      </c>
      <c r="B632" s="17" t="s">
        <v>2287</v>
      </c>
      <c r="C632" s="16" t="s">
        <v>829</v>
      </c>
      <c r="D632" s="13">
        <v>7896544402133</v>
      </c>
    </row>
    <row r="633" spans="1:4">
      <c r="A633" s="70" t="s">
        <v>1895</v>
      </c>
      <c r="B633" s="17" t="s">
        <v>2287</v>
      </c>
      <c r="C633" s="16" t="s">
        <v>1915</v>
      </c>
      <c r="D633" s="13">
        <v>7896544403482</v>
      </c>
    </row>
    <row r="634" spans="1:4">
      <c r="A634" s="70" t="s">
        <v>2080</v>
      </c>
      <c r="B634" s="17" t="s">
        <v>2285</v>
      </c>
      <c r="C634" s="16" t="s">
        <v>2094</v>
      </c>
      <c r="D634" s="13">
        <v>7896014137169</v>
      </c>
    </row>
    <row r="635" spans="1:4">
      <c r="A635" s="70" t="s">
        <v>2080</v>
      </c>
      <c r="B635" s="17" t="s">
        <v>2285</v>
      </c>
      <c r="C635" s="16" t="s">
        <v>2095</v>
      </c>
      <c r="D635" s="13">
        <v>7899026425088</v>
      </c>
    </row>
    <row r="636" spans="1:4">
      <c r="A636" s="70" t="s">
        <v>2080</v>
      </c>
      <c r="B636" s="17" t="s">
        <v>2285</v>
      </c>
      <c r="C636" s="16" t="s">
        <v>2128</v>
      </c>
      <c r="D636" s="13">
        <v>7899706139038</v>
      </c>
    </row>
    <row r="637" spans="1:4">
      <c r="A637" s="70" t="s">
        <v>2080</v>
      </c>
      <c r="B637" s="17" t="s">
        <v>2285</v>
      </c>
      <c r="C637" s="16" t="s">
        <v>2096</v>
      </c>
      <c r="D637" s="13">
        <v>7896014123476</v>
      </c>
    </row>
    <row r="638" spans="1:4">
      <c r="A638" s="70" t="s">
        <v>2080</v>
      </c>
      <c r="B638" s="17" t="s">
        <v>2285</v>
      </c>
      <c r="C638" s="16" t="s">
        <v>2097</v>
      </c>
      <c r="D638" s="13">
        <v>7896014148844</v>
      </c>
    </row>
    <row r="639" spans="1:4">
      <c r="A639" s="70" t="s">
        <v>2080</v>
      </c>
      <c r="B639" s="17" t="s">
        <v>2285</v>
      </c>
      <c r="C639" s="16" t="s">
        <v>2098</v>
      </c>
      <c r="D639" s="13">
        <v>7899026421776</v>
      </c>
    </row>
    <row r="640" spans="1:4">
      <c r="A640" s="70" t="s">
        <v>2080</v>
      </c>
      <c r="B640" s="17" t="s">
        <v>2285</v>
      </c>
      <c r="C640" s="16" t="s">
        <v>2099</v>
      </c>
      <c r="D640" s="13">
        <v>7899026487321</v>
      </c>
    </row>
    <row r="641" spans="1:4">
      <c r="A641" s="70" t="s">
        <v>2080</v>
      </c>
      <c r="B641" s="17" t="s">
        <v>2285</v>
      </c>
      <c r="C641" s="16" t="s">
        <v>2100</v>
      </c>
      <c r="D641" s="13">
        <v>7899026487208</v>
      </c>
    </row>
    <row r="642" spans="1:4">
      <c r="A642" s="70" t="s">
        <v>2080</v>
      </c>
      <c r="B642" s="17" t="s">
        <v>2285</v>
      </c>
      <c r="C642" s="16" t="s">
        <v>2101</v>
      </c>
      <c r="D642" s="13">
        <v>7896014146420</v>
      </c>
    </row>
    <row r="643" spans="1:4">
      <c r="A643" s="70" t="s">
        <v>2080</v>
      </c>
      <c r="B643" s="17" t="s">
        <v>2285</v>
      </c>
      <c r="C643" s="16" t="s">
        <v>2102</v>
      </c>
      <c r="D643" s="13">
        <v>7899026420571</v>
      </c>
    </row>
    <row r="644" spans="1:4">
      <c r="A644" s="70" t="s">
        <v>2080</v>
      </c>
      <c r="B644" s="17" t="s">
        <v>2285</v>
      </c>
      <c r="C644" s="16" t="s">
        <v>2106</v>
      </c>
      <c r="D644" s="13">
        <v>7899706187404</v>
      </c>
    </row>
    <row r="645" spans="1:4">
      <c r="A645" s="70" t="s">
        <v>2080</v>
      </c>
      <c r="B645" s="17" t="s">
        <v>2285</v>
      </c>
      <c r="C645" s="16" t="s">
        <v>2112</v>
      </c>
      <c r="D645" s="13">
        <v>7899706180962</v>
      </c>
    </row>
    <row r="646" spans="1:4">
      <c r="A646" s="70" t="s">
        <v>2080</v>
      </c>
      <c r="B646" s="17" t="s">
        <v>2285</v>
      </c>
      <c r="C646" s="16" t="s">
        <v>2113</v>
      </c>
      <c r="D646" s="13">
        <v>7899706152129</v>
      </c>
    </row>
    <row r="647" spans="1:4">
      <c r="A647" s="70" t="s">
        <v>2080</v>
      </c>
      <c r="B647" s="17" t="s">
        <v>2285</v>
      </c>
      <c r="C647" s="16" t="s">
        <v>2114</v>
      </c>
      <c r="D647" s="13">
        <v>7896014123902</v>
      </c>
    </row>
    <row r="648" spans="1:4">
      <c r="A648" s="70" t="s">
        <v>2080</v>
      </c>
      <c r="B648" s="17" t="s">
        <v>2285</v>
      </c>
      <c r="C648" s="16" t="s">
        <v>2122</v>
      </c>
      <c r="D648" s="13">
        <v>7898587774352</v>
      </c>
    </row>
    <row r="649" spans="1:4">
      <c r="A649" s="70" t="s">
        <v>2080</v>
      </c>
      <c r="B649" s="17" t="s">
        <v>2285</v>
      </c>
      <c r="C649" s="16" t="s">
        <v>2123</v>
      </c>
      <c r="D649" s="13">
        <v>7898587774437</v>
      </c>
    </row>
    <row r="650" spans="1:4">
      <c r="A650" s="70" t="s">
        <v>2080</v>
      </c>
      <c r="B650" s="17" t="s">
        <v>2285</v>
      </c>
      <c r="C650" s="16" t="s">
        <v>2124</v>
      </c>
      <c r="D650" s="13">
        <v>7899706117753</v>
      </c>
    </row>
    <row r="651" spans="1:4">
      <c r="A651" s="70" t="s">
        <v>2080</v>
      </c>
      <c r="B651" s="17" t="s">
        <v>2285</v>
      </c>
      <c r="C651" s="16" t="s">
        <v>2125</v>
      </c>
      <c r="D651" s="13">
        <v>7899026483781</v>
      </c>
    </row>
    <row r="652" spans="1:4">
      <c r="A652" s="70" t="s">
        <v>2080</v>
      </c>
      <c r="B652" s="17" t="s">
        <v>2285</v>
      </c>
      <c r="C652" s="16" t="s">
        <v>2126</v>
      </c>
      <c r="D652" s="13">
        <v>7899706113182</v>
      </c>
    </row>
    <row r="653" spans="1:4">
      <c r="A653" s="70" t="s">
        <v>2080</v>
      </c>
      <c r="B653" s="17" t="s">
        <v>2285</v>
      </c>
      <c r="C653" s="16" t="s">
        <v>2115</v>
      </c>
      <c r="D653" s="13">
        <v>7899026464933</v>
      </c>
    </row>
    <row r="654" spans="1:4">
      <c r="A654" s="70" t="s">
        <v>2080</v>
      </c>
      <c r="B654" s="17" t="s">
        <v>2285</v>
      </c>
      <c r="C654" s="16" t="s">
        <v>2116</v>
      </c>
      <c r="D654" s="13">
        <v>7899706133418</v>
      </c>
    </row>
    <row r="655" spans="1:4">
      <c r="A655" s="70" t="s">
        <v>2080</v>
      </c>
      <c r="B655" s="17" t="s">
        <v>2285</v>
      </c>
      <c r="C655" s="16" t="s">
        <v>2117</v>
      </c>
      <c r="D655" s="13">
        <v>7899706170857</v>
      </c>
    </row>
    <row r="656" spans="1:4">
      <c r="A656" s="70" t="s">
        <v>2080</v>
      </c>
      <c r="B656" s="17" t="s">
        <v>2285</v>
      </c>
      <c r="C656" s="16" t="s">
        <v>2103</v>
      </c>
      <c r="D656" s="13">
        <v>7899026440234</v>
      </c>
    </row>
    <row r="657" spans="1:4">
      <c r="A657" s="70" t="s">
        <v>2080</v>
      </c>
      <c r="B657" s="17" t="s">
        <v>2285</v>
      </c>
      <c r="C657" s="16" t="s">
        <v>2104</v>
      </c>
      <c r="D657" s="13">
        <v>7898587764926</v>
      </c>
    </row>
    <row r="658" spans="1:4">
      <c r="A658" s="70" t="s">
        <v>736</v>
      </c>
      <c r="B658" s="17" t="s">
        <v>2285</v>
      </c>
      <c r="C658" s="16" t="s">
        <v>765</v>
      </c>
      <c r="D658" s="13">
        <v>7891150060722</v>
      </c>
    </row>
    <row r="659" spans="1:4">
      <c r="A659" s="70" t="s">
        <v>736</v>
      </c>
      <c r="B659" s="17" t="s">
        <v>2285</v>
      </c>
      <c r="C659" s="16" t="s">
        <v>766</v>
      </c>
      <c r="D659" s="13">
        <v>7891150056589</v>
      </c>
    </row>
    <row r="660" spans="1:4">
      <c r="A660" s="70" t="s">
        <v>736</v>
      </c>
      <c r="B660" s="17" t="s">
        <v>2285</v>
      </c>
      <c r="C660" s="16" t="s">
        <v>767</v>
      </c>
      <c r="D660" s="13">
        <v>7891150049604</v>
      </c>
    </row>
    <row r="661" spans="1:4">
      <c r="A661" s="70" t="s">
        <v>736</v>
      </c>
      <c r="B661" s="17" t="s">
        <v>2285</v>
      </c>
      <c r="C661" s="16" t="s">
        <v>768</v>
      </c>
      <c r="D661" s="13">
        <v>7891150055636</v>
      </c>
    </row>
    <row r="662" spans="1:4">
      <c r="A662" s="70" t="s">
        <v>736</v>
      </c>
      <c r="B662" s="17" t="s">
        <v>2285</v>
      </c>
      <c r="C662" s="16" t="s">
        <v>769</v>
      </c>
      <c r="D662" s="13">
        <v>7891150042780</v>
      </c>
    </row>
    <row r="663" spans="1:4">
      <c r="A663" s="70" t="s">
        <v>736</v>
      </c>
      <c r="B663" s="17" t="s">
        <v>2285</v>
      </c>
      <c r="C663" s="16" t="s">
        <v>1729</v>
      </c>
      <c r="D663" s="13">
        <v>7891150080096</v>
      </c>
    </row>
    <row r="664" spans="1:4">
      <c r="A664" s="70" t="s">
        <v>736</v>
      </c>
      <c r="B664" s="17" t="s">
        <v>2285</v>
      </c>
      <c r="C664" s="16" t="s">
        <v>798</v>
      </c>
      <c r="D664" s="13">
        <v>7891150063457</v>
      </c>
    </row>
    <row r="665" spans="1:4">
      <c r="A665" s="70" t="s">
        <v>736</v>
      </c>
      <c r="B665" s="17" t="s">
        <v>2285</v>
      </c>
      <c r="C665" s="16" t="s">
        <v>799</v>
      </c>
      <c r="D665" s="13">
        <v>7891150070295</v>
      </c>
    </row>
    <row r="666" spans="1:4">
      <c r="A666" s="70" t="s">
        <v>736</v>
      </c>
      <c r="B666" s="17" t="s">
        <v>2285</v>
      </c>
      <c r="C666" s="16" t="s">
        <v>800</v>
      </c>
      <c r="D666" s="13">
        <v>7891150067516</v>
      </c>
    </row>
    <row r="667" spans="1:4">
      <c r="A667" s="70" t="s">
        <v>736</v>
      </c>
      <c r="B667" s="17" t="s">
        <v>2285</v>
      </c>
      <c r="C667" s="16" t="s">
        <v>770</v>
      </c>
      <c r="D667" s="13">
        <v>7891150037465</v>
      </c>
    </row>
    <row r="668" spans="1:4">
      <c r="A668" s="70" t="s">
        <v>736</v>
      </c>
      <c r="B668" s="17" t="s">
        <v>2285</v>
      </c>
      <c r="C668" s="16" t="s">
        <v>771</v>
      </c>
      <c r="D668" s="13">
        <v>7891150037274</v>
      </c>
    </row>
    <row r="669" spans="1:4">
      <c r="A669" s="70" t="s">
        <v>736</v>
      </c>
      <c r="B669" s="17" t="s">
        <v>2285</v>
      </c>
      <c r="C669" s="16" t="s">
        <v>772</v>
      </c>
      <c r="D669" s="13">
        <v>7891150037489</v>
      </c>
    </row>
    <row r="670" spans="1:4">
      <c r="A670" s="70" t="s">
        <v>736</v>
      </c>
      <c r="B670" s="17" t="s">
        <v>2285</v>
      </c>
      <c r="C670" s="16" t="s">
        <v>773</v>
      </c>
      <c r="D670" s="13">
        <v>7891150043206</v>
      </c>
    </row>
    <row r="671" spans="1:4">
      <c r="A671" s="70" t="s">
        <v>736</v>
      </c>
      <c r="B671" s="17" t="s">
        <v>2285</v>
      </c>
      <c r="C671" s="16" t="s">
        <v>774</v>
      </c>
      <c r="D671" s="13">
        <v>7891150037618</v>
      </c>
    </row>
    <row r="672" spans="1:4">
      <c r="A672" s="70" t="s">
        <v>736</v>
      </c>
      <c r="B672" s="17" t="s">
        <v>2285</v>
      </c>
      <c r="C672" s="16" t="s">
        <v>775</v>
      </c>
      <c r="D672" s="13">
        <v>7891150037632</v>
      </c>
    </row>
    <row r="673" spans="1:4">
      <c r="A673" s="70" t="s">
        <v>736</v>
      </c>
      <c r="B673" s="17" t="s">
        <v>2285</v>
      </c>
      <c r="C673" s="16" t="s">
        <v>776</v>
      </c>
      <c r="D673" s="13">
        <v>7891150037328</v>
      </c>
    </row>
    <row r="674" spans="1:4">
      <c r="A674" s="70" t="s">
        <v>736</v>
      </c>
      <c r="B674" s="17" t="s">
        <v>2285</v>
      </c>
      <c r="C674" s="16" t="s">
        <v>777</v>
      </c>
      <c r="D674" s="13">
        <v>7891150037441</v>
      </c>
    </row>
    <row r="675" spans="1:4">
      <c r="A675" s="70" t="s">
        <v>736</v>
      </c>
      <c r="B675" s="17" t="s">
        <v>2285</v>
      </c>
      <c r="C675" s="16" t="s">
        <v>778</v>
      </c>
      <c r="D675" s="13">
        <v>7891150037366</v>
      </c>
    </row>
    <row r="676" spans="1:4">
      <c r="A676" s="70" t="s">
        <v>736</v>
      </c>
      <c r="B676" s="17" t="s">
        <v>2285</v>
      </c>
      <c r="C676" s="16" t="s">
        <v>779</v>
      </c>
      <c r="D676" s="13">
        <v>7891150037380</v>
      </c>
    </row>
    <row r="677" spans="1:4">
      <c r="A677" s="70" t="s">
        <v>736</v>
      </c>
      <c r="B677" s="17" t="s">
        <v>2285</v>
      </c>
      <c r="C677" s="16" t="s">
        <v>780</v>
      </c>
      <c r="D677" s="13">
        <v>7891150037342</v>
      </c>
    </row>
    <row r="678" spans="1:4">
      <c r="A678" s="70" t="s">
        <v>736</v>
      </c>
      <c r="B678" s="17" t="s">
        <v>2285</v>
      </c>
      <c r="C678" s="16" t="s">
        <v>781</v>
      </c>
      <c r="D678" s="13">
        <v>7891150037403</v>
      </c>
    </row>
    <row r="679" spans="1:4">
      <c r="A679" s="70" t="s">
        <v>736</v>
      </c>
      <c r="B679" s="17" t="s">
        <v>2285</v>
      </c>
      <c r="C679" s="16" t="s">
        <v>782</v>
      </c>
      <c r="D679" s="13">
        <v>7891150037250</v>
      </c>
    </row>
    <row r="680" spans="1:4">
      <c r="A680" s="70" t="s">
        <v>736</v>
      </c>
      <c r="B680" s="17" t="s">
        <v>2285</v>
      </c>
      <c r="C680" s="16" t="s">
        <v>783</v>
      </c>
      <c r="D680" s="13">
        <v>7891150037243</v>
      </c>
    </row>
    <row r="681" spans="1:4">
      <c r="A681" s="70" t="s">
        <v>736</v>
      </c>
      <c r="B681" s="17" t="s">
        <v>2285</v>
      </c>
      <c r="C681" s="16" t="s">
        <v>784</v>
      </c>
      <c r="D681" s="13">
        <v>7891150037427</v>
      </c>
    </row>
    <row r="682" spans="1:4">
      <c r="A682" s="70" t="s">
        <v>736</v>
      </c>
      <c r="B682" s="17" t="s">
        <v>2285</v>
      </c>
      <c r="C682" s="16" t="s">
        <v>1310</v>
      </c>
      <c r="D682" s="13">
        <v>7891150074019</v>
      </c>
    </row>
    <row r="683" spans="1:4">
      <c r="A683" s="70" t="s">
        <v>1783</v>
      </c>
      <c r="B683" s="17" t="s">
        <v>2284</v>
      </c>
      <c r="C683" s="16" t="s">
        <v>1784</v>
      </c>
      <c r="D683" s="13">
        <v>7896292301702</v>
      </c>
    </row>
    <row r="684" spans="1:4">
      <c r="A684" s="70" t="s">
        <v>2138</v>
      </c>
      <c r="B684" s="17" t="s">
        <v>2287</v>
      </c>
      <c r="C684" s="16" t="s">
        <v>2139</v>
      </c>
      <c r="D684" s="13">
        <v>7896042041155</v>
      </c>
    </row>
    <row r="685" spans="1:4">
      <c r="A685" s="70" t="s">
        <v>1495</v>
      </c>
      <c r="B685" s="17" t="s">
        <v>2282</v>
      </c>
      <c r="C685" s="16" t="s">
        <v>1500</v>
      </c>
      <c r="D685" s="13">
        <v>7891515427610</v>
      </c>
    </row>
    <row r="686" spans="1:4">
      <c r="A686" s="70" t="s">
        <v>1495</v>
      </c>
      <c r="B686" s="17" t="s">
        <v>2282</v>
      </c>
      <c r="C686" s="16" t="s">
        <v>1500</v>
      </c>
      <c r="D686" s="13">
        <v>7893000081581</v>
      </c>
    </row>
    <row r="687" spans="1:4">
      <c r="A687" s="70" t="s">
        <v>1651</v>
      </c>
      <c r="B687" s="17" t="s">
        <v>2282</v>
      </c>
      <c r="C687" s="16" t="s">
        <v>1180</v>
      </c>
      <c r="D687" s="13">
        <v>98168</v>
      </c>
    </row>
    <row r="688" spans="1:4">
      <c r="A688" s="70" t="s">
        <v>1825</v>
      </c>
      <c r="B688" s="17" t="s">
        <v>2282</v>
      </c>
      <c r="C688" s="16" t="s">
        <v>1530</v>
      </c>
      <c r="D688" s="13">
        <v>98168</v>
      </c>
    </row>
    <row r="689" spans="1:4">
      <c r="A689" s="10" t="s">
        <v>3522</v>
      </c>
      <c r="B689" s="17" t="s">
        <v>2282</v>
      </c>
      <c r="C689" s="16" t="s">
        <v>3532</v>
      </c>
      <c r="D689" s="13">
        <v>98168</v>
      </c>
    </row>
    <row r="690" spans="1:4">
      <c r="A690" s="70" t="s">
        <v>1823</v>
      </c>
      <c r="B690" s="17" t="s">
        <v>2282</v>
      </c>
      <c r="C690" s="16" t="s">
        <v>1242</v>
      </c>
      <c r="D690" s="13">
        <v>98168</v>
      </c>
    </row>
    <row r="691" spans="1:4">
      <c r="A691" s="70" t="s">
        <v>1824</v>
      </c>
      <c r="B691" s="17" t="s">
        <v>2282</v>
      </c>
      <c r="C691" s="16" t="s">
        <v>1275</v>
      </c>
      <c r="D691" s="13">
        <v>98007</v>
      </c>
    </row>
    <row r="692" spans="1:4">
      <c r="A692" s="70" t="s">
        <v>2269</v>
      </c>
      <c r="B692" s="17" t="s">
        <v>2288</v>
      </c>
      <c r="C692" s="16" t="s">
        <v>2271</v>
      </c>
      <c r="D692" s="13">
        <v>7893333325109</v>
      </c>
    </row>
    <row r="693" spans="1:4">
      <c r="A693" s="70" t="s">
        <v>2269</v>
      </c>
      <c r="B693" s="17" t="s">
        <v>2288</v>
      </c>
      <c r="C693" s="16" t="s">
        <v>2272</v>
      </c>
      <c r="D693" s="13">
        <v>7893333325000</v>
      </c>
    </row>
    <row r="694" spans="1:4">
      <c r="A694" s="70" t="s">
        <v>1657</v>
      </c>
      <c r="B694" s="17" t="s">
        <v>2281</v>
      </c>
      <c r="C694" s="16" t="s">
        <v>1662</v>
      </c>
      <c r="D694" s="13">
        <v>7898024394181</v>
      </c>
    </row>
    <row r="695" spans="1:4">
      <c r="A695" s="70" t="s">
        <v>1657</v>
      </c>
      <c r="B695" s="17" t="s">
        <v>2281</v>
      </c>
      <c r="C695" s="16" t="s">
        <v>1662</v>
      </c>
      <c r="D695" s="13">
        <v>7898024398622</v>
      </c>
    </row>
    <row r="696" spans="1:4">
      <c r="A696" s="70" t="s">
        <v>1657</v>
      </c>
      <c r="B696" s="17" t="s">
        <v>2281</v>
      </c>
      <c r="C696" s="16" t="s">
        <v>1662</v>
      </c>
      <c r="D696" s="13">
        <v>7898024397892</v>
      </c>
    </row>
    <row r="697" spans="1:4">
      <c r="A697" s="70" t="s">
        <v>13</v>
      </c>
      <c r="B697" s="17" t="s">
        <v>2281</v>
      </c>
      <c r="C697" s="16" t="s">
        <v>409</v>
      </c>
      <c r="D697" s="13">
        <v>7896275960575</v>
      </c>
    </row>
    <row r="698" spans="1:4">
      <c r="A698" s="70" t="s">
        <v>139</v>
      </c>
      <c r="B698" s="17" t="s">
        <v>2281</v>
      </c>
      <c r="C698" s="16" t="s">
        <v>139</v>
      </c>
      <c r="D698" s="13">
        <v>7896051114086</v>
      </c>
    </row>
    <row r="699" spans="1:4">
      <c r="A699" s="70" t="s">
        <v>67</v>
      </c>
      <c r="B699" s="17" t="s">
        <v>2281</v>
      </c>
      <c r="C699" s="16" t="s">
        <v>283</v>
      </c>
      <c r="D699" s="13">
        <v>7898215151784</v>
      </c>
    </row>
    <row r="700" spans="1:4">
      <c r="A700" s="70" t="s">
        <v>1491</v>
      </c>
      <c r="B700" s="17" t="s">
        <v>2285</v>
      </c>
      <c r="C700" s="16" t="s">
        <v>1496</v>
      </c>
      <c r="D700" s="13">
        <v>7500435153164</v>
      </c>
    </row>
    <row r="701" spans="1:4">
      <c r="A701" s="70" t="s">
        <v>2170</v>
      </c>
      <c r="B701" s="17" t="s">
        <v>2285</v>
      </c>
      <c r="C701" s="16" t="s">
        <v>261</v>
      </c>
      <c r="D701" s="13">
        <v>7506339363883</v>
      </c>
    </row>
    <row r="702" spans="1:4">
      <c r="A702" s="70" t="s">
        <v>2132</v>
      </c>
      <c r="B702" s="17" t="s">
        <v>2285</v>
      </c>
      <c r="C702" s="16" t="s">
        <v>2134</v>
      </c>
      <c r="D702" s="13">
        <v>7500435150248</v>
      </c>
    </row>
    <row r="703" spans="1:4">
      <c r="A703" s="70" t="s">
        <v>61</v>
      </c>
      <c r="B703" s="17" t="s">
        <v>2285</v>
      </c>
      <c r="C703" s="16" t="s">
        <v>232</v>
      </c>
      <c r="D703" s="13">
        <v>7896009419324</v>
      </c>
    </row>
    <row r="704" spans="1:4">
      <c r="A704" s="70" t="s">
        <v>80</v>
      </c>
      <c r="B704" s="17" t="s">
        <v>2288</v>
      </c>
      <c r="C704" s="16" t="s">
        <v>230</v>
      </c>
      <c r="D704" s="13">
        <v>7891080151248</v>
      </c>
    </row>
    <row r="705" spans="1:4">
      <c r="A705" s="70" t="s">
        <v>80</v>
      </c>
      <c r="B705" s="17" t="s">
        <v>2288</v>
      </c>
      <c r="C705" s="16" t="s">
        <v>230</v>
      </c>
      <c r="D705" s="13">
        <v>7891042091636</v>
      </c>
    </row>
    <row r="706" spans="1:4">
      <c r="A706" s="70" t="s">
        <v>80</v>
      </c>
      <c r="B706" s="17" t="s">
        <v>2288</v>
      </c>
      <c r="C706" s="16" t="s">
        <v>230</v>
      </c>
      <c r="D706" s="13">
        <v>7891515901202</v>
      </c>
    </row>
    <row r="707" spans="1:4">
      <c r="A707" s="70" t="s">
        <v>80</v>
      </c>
      <c r="B707" s="17" t="s">
        <v>2288</v>
      </c>
      <c r="C707" s="16" t="s">
        <v>230</v>
      </c>
      <c r="D707" s="13">
        <v>7891515555337</v>
      </c>
    </row>
    <row r="708" spans="1:4">
      <c r="A708" s="70" t="s">
        <v>80</v>
      </c>
      <c r="B708" s="17" t="s">
        <v>2288</v>
      </c>
      <c r="C708" s="16" t="s">
        <v>231</v>
      </c>
      <c r="D708" s="13">
        <v>7891042091629</v>
      </c>
    </row>
    <row r="709" spans="1:4">
      <c r="A709" s="70" t="s">
        <v>80</v>
      </c>
      <c r="B709" s="17" t="s">
        <v>2288</v>
      </c>
      <c r="C709" s="16" t="s">
        <v>231</v>
      </c>
      <c r="D709" s="13">
        <v>7891515555252</v>
      </c>
    </row>
    <row r="710" spans="1:4">
      <c r="A710" s="70" t="s">
        <v>80</v>
      </c>
      <c r="B710" s="17" t="s">
        <v>2288</v>
      </c>
      <c r="C710" s="16" t="s">
        <v>231</v>
      </c>
      <c r="D710" s="13">
        <v>7891515900762</v>
      </c>
    </row>
    <row r="711" spans="1:4">
      <c r="A711" s="70" t="s">
        <v>80</v>
      </c>
      <c r="B711" s="17" t="s">
        <v>2288</v>
      </c>
      <c r="C711" s="16" t="s">
        <v>231</v>
      </c>
      <c r="D711" s="13">
        <v>7891080151231</v>
      </c>
    </row>
    <row r="712" spans="1:4">
      <c r="A712" s="70" t="s">
        <v>98</v>
      </c>
      <c r="B712" s="17" t="s">
        <v>2286</v>
      </c>
      <c r="C712" s="16" t="s">
        <v>361</v>
      </c>
      <c r="D712" s="13">
        <v>7897000800548</v>
      </c>
    </row>
    <row r="713" spans="1:4">
      <c r="A713" s="70" t="s">
        <v>98</v>
      </c>
      <c r="B713" s="17" t="s">
        <v>2286</v>
      </c>
      <c r="C713" s="16" t="s">
        <v>362</v>
      </c>
      <c r="D713" s="13">
        <v>7897000800814</v>
      </c>
    </row>
    <row r="714" spans="1:4">
      <c r="A714" s="70" t="s">
        <v>74</v>
      </c>
      <c r="B714" s="17" t="s">
        <v>2286</v>
      </c>
      <c r="C714" s="16" t="s">
        <v>516</v>
      </c>
      <c r="D714" s="13">
        <v>7896183301545</v>
      </c>
    </row>
    <row r="715" spans="1:4">
      <c r="A715" s="70" t="s">
        <v>74</v>
      </c>
      <c r="B715" s="17" t="s">
        <v>2286</v>
      </c>
      <c r="C715" s="16" t="s">
        <v>515</v>
      </c>
      <c r="D715" s="13">
        <v>7896183300180</v>
      </c>
    </row>
    <row r="716" spans="1:4">
      <c r="A716" s="70" t="s">
        <v>74</v>
      </c>
      <c r="B716" s="17" t="s">
        <v>2286</v>
      </c>
      <c r="C716" s="16" t="s">
        <v>517</v>
      </c>
      <c r="D716" s="13">
        <v>7896183300173</v>
      </c>
    </row>
    <row r="717" spans="1:4">
      <c r="A717" s="70" t="s">
        <v>74</v>
      </c>
      <c r="B717" s="17" t="s">
        <v>2286</v>
      </c>
      <c r="C717" s="16" t="s">
        <v>518</v>
      </c>
      <c r="D717" s="13">
        <v>7896183300319</v>
      </c>
    </row>
    <row r="718" spans="1:4">
      <c r="A718" s="70" t="s">
        <v>74</v>
      </c>
      <c r="B718" s="17" t="s">
        <v>2286</v>
      </c>
      <c r="C718" s="16" t="s">
        <v>519</v>
      </c>
      <c r="D718" s="13">
        <v>7896183302436</v>
      </c>
    </row>
    <row r="719" spans="1:4">
      <c r="A719" s="70" t="s">
        <v>74</v>
      </c>
      <c r="B719" s="17" t="s">
        <v>2286</v>
      </c>
      <c r="C719" s="16" t="s">
        <v>520</v>
      </c>
      <c r="D719" s="13">
        <v>7896183301019</v>
      </c>
    </row>
    <row r="720" spans="1:4">
      <c r="A720" s="70" t="s">
        <v>74</v>
      </c>
      <c r="B720" s="17" t="s">
        <v>2286</v>
      </c>
      <c r="C720" s="16" t="s">
        <v>521</v>
      </c>
      <c r="D720" s="13">
        <v>7896183300333</v>
      </c>
    </row>
    <row r="721" spans="1:4">
      <c r="A721" s="70" t="s">
        <v>74</v>
      </c>
      <c r="B721" s="17" t="s">
        <v>2286</v>
      </c>
      <c r="C721" s="16" t="s">
        <v>522</v>
      </c>
      <c r="D721" s="13">
        <v>7896183300067</v>
      </c>
    </row>
    <row r="722" spans="1:4">
      <c r="A722" s="70" t="s">
        <v>74</v>
      </c>
      <c r="B722" s="17" t="s">
        <v>2286</v>
      </c>
      <c r="C722" s="16" t="s">
        <v>525</v>
      </c>
      <c r="D722" s="13">
        <v>7896183312596</v>
      </c>
    </row>
    <row r="723" spans="1:4">
      <c r="A723" s="70" t="s">
        <v>74</v>
      </c>
      <c r="B723" s="17" t="s">
        <v>2286</v>
      </c>
      <c r="C723" s="16" t="s">
        <v>526</v>
      </c>
      <c r="D723" s="13">
        <v>7896183312589</v>
      </c>
    </row>
    <row r="724" spans="1:4">
      <c r="A724" s="70" t="s">
        <v>74</v>
      </c>
      <c r="B724" s="17" t="s">
        <v>2286</v>
      </c>
      <c r="C724" s="16" t="s">
        <v>523</v>
      </c>
      <c r="D724" s="13">
        <v>7896183302429</v>
      </c>
    </row>
    <row r="725" spans="1:4">
      <c r="A725" s="70" t="s">
        <v>77</v>
      </c>
      <c r="B725" s="17" t="s">
        <v>2286</v>
      </c>
      <c r="C725" s="16" t="s">
        <v>1372</v>
      </c>
      <c r="D725" s="13">
        <v>7896056405684</v>
      </c>
    </row>
    <row r="726" spans="1:4">
      <c r="A726" s="70" t="s">
        <v>77</v>
      </c>
      <c r="B726" s="17" t="s">
        <v>2286</v>
      </c>
      <c r="C726" s="16" t="s">
        <v>1373</v>
      </c>
      <c r="D726" s="13">
        <v>7896056401051</v>
      </c>
    </row>
    <row r="727" spans="1:4">
      <c r="A727" s="70" t="s">
        <v>77</v>
      </c>
      <c r="B727" s="17" t="s">
        <v>2286</v>
      </c>
      <c r="C727" s="16" t="s">
        <v>1374</v>
      </c>
      <c r="D727" s="13">
        <v>7896056402478</v>
      </c>
    </row>
    <row r="728" spans="1:4">
      <c r="A728" s="70" t="s">
        <v>77</v>
      </c>
      <c r="B728" s="17" t="s">
        <v>2286</v>
      </c>
      <c r="C728" s="16" t="s">
        <v>1375</v>
      </c>
      <c r="D728" s="13">
        <v>7896056402485</v>
      </c>
    </row>
    <row r="729" spans="1:4">
      <c r="A729" s="70" t="s">
        <v>77</v>
      </c>
      <c r="B729" s="17" t="s">
        <v>2286</v>
      </c>
      <c r="C729" s="16" t="s">
        <v>1376</v>
      </c>
      <c r="D729" s="13">
        <v>7896056401549</v>
      </c>
    </row>
    <row r="730" spans="1:4">
      <c r="A730" s="70" t="s">
        <v>1563</v>
      </c>
      <c r="B730" s="17" t="s">
        <v>2285</v>
      </c>
      <c r="C730" s="16" t="s">
        <v>716</v>
      </c>
      <c r="D730" s="13">
        <v>7791293033235</v>
      </c>
    </row>
    <row r="731" spans="1:4">
      <c r="A731" s="70" t="s">
        <v>1563</v>
      </c>
      <c r="B731" s="17" t="s">
        <v>2285</v>
      </c>
      <c r="C731" s="16" t="s">
        <v>717</v>
      </c>
      <c r="D731" s="13">
        <v>7506306241152</v>
      </c>
    </row>
    <row r="732" spans="1:4">
      <c r="A732" s="70" t="s">
        <v>1563</v>
      </c>
      <c r="B732" s="17" t="s">
        <v>2285</v>
      </c>
      <c r="C732" s="16" t="s">
        <v>1839</v>
      </c>
      <c r="D732" s="13">
        <v>7891150063747</v>
      </c>
    </row>
    <row r="733" spans="1:4">
      <c r="A733" s="70" t="s">
        <v>1563</v>
      </c>
      <c r="B733" s="17" t="s">
        <v>2285</v>
      </c>
      <c r="C733" s="16" t="s">
        <v>1838</v>
      </c>
      <c r="D733" s="13">
        <v>7791293038155</v>
      </c>
    </row>
    <row r="734" spans="1:4">
      <c r="A734" s="70" t="s">
        <v>1563</v>
      </c>
      <c r="B734" s="17" t="s">
        <v>2285</v>
      </c>
      <c r="C734" s="16" t="s">
        <v>718</v>
      </c>
      <c r="D734" s="13">
        <v>7506306241169</v>
      </c>
    </row>
    <row r="735" spans="1:4">
      <c r="A735" s="70" t="s">
        <v>1563</v>
      </c>
      <c r="B735" s="17" t="s">
        <v>2285</v>
      </c>
      <c r="C735" s="16" t="s">
        <v>719</v>
      </c>
      <c r="D735" s="13">
        <v>7791293033266</v>
      </c>
    </row>
    <row r="736" spans="1:4">
      <c r="A736" s="70" t="s">
        <v>1563</v>
      </c>
      <c r="B736" s="17" t="s">
        <v>2285</v>
      </c>
      <c r="C736" s="16" t="s">
        <v>720</v>
      </c>
      <c r="D736" s="13">
        <v>7506306241176</v>
      </c>
    </row>
    <row r="737" spans="1:4">
      <c r="A737" s="70" t="s">
        <v>1563</v>
      </c>
      <c r="B737" s="17" t="s">
        <v>2285</v>
      </c>
      <c r="C737" s="16" t="s">
        <v>721</v>
      </c>
      <c r="D737" s="13">
        <v>7506306241183</v>
      </c>
    </row>
    <row r="738" spans="1:4">
      <c r="A738" s="70" t="s">
        <v>1563</v>
      </c>
      <c r="B738" s="17" t="s">
        <v>2285</v>
      </c>
      <c r="C738" s="16" t="s">
        <v>722</v>
      </c>
      <c r="D738" s="13">
        <v>7791293033242</v>
      </c>
    </row>
    <row r="739" spans="1:4">
      <c r="A739" s="70" t="s">
        <v>1563</v>
      </c>
      <c r="B739" s="17" t="s">
        <v>2285</v>
      </c>
      <c r="C739" s="16" t="s">
        <v>723</v>
      </c>
      <c r="D739" s="13">
        <v>7791293012063</v>
      </c>
    </row>
    <row r="740" spans="1:4">
      <c r="A740" s="70" t="s">
        <v>1563</v>
      </c>
      <c r="B740" s="17" t="s">
        <v>2285</v>
      </c>
      <c r="C740" s="16" t="s">
        <v>724</v>
      </c>
      <c r="D740" s="13">
        <v>7791293012087</v>
      </c>
    </row>
    <row r="741" spans="1:4">
      <c r="A741" s="70" t="s">
        <v>1563</v>
      </c>
      <c r="B741" s="17" t="s">
        <v>2285</v>
      </c>
      <c r="C741" s="16" t="s">
        <v>725</v>
      </c>
      <c r="D741" s="13">
        <v>7791293033310</v>
      </c>
    </row>
    <row r="742" spans="1:4">
      <c r="A742" s="70" t="s">
        <v>1563</v>
      </c>
      <c r="B742" s="17" t="s">
        <v>2285</v>
      </c>
      <c r="C742" s="16" t="s">
        <v>726</v>
      </c>
      <c r="D742" s="13">
        <v>7791293033327</v>
      </c>
    </row>
    <row r="743" spans="1:4">
      <c r="A743" s="70" t="s">
        <v>1563</v>
      </c>
      <c r="B743" s="17" t="s">
        <v>2285</v>
      </c>
      <c r="C743" s="16" t="s">
        <v>727</v>
      </c>
      <c r="D743" s="13">
        <v>7791293018874</v>
      </c>
    </row>
    <row r="744" spans="1:4">
      <c r="A744" s="70" t="s">
        <v>1563</v>
      </c>
      <c r="B744" s="17" t="s">
        <v>2285</v>
      </c>
      <c r="C744" s="16" t="s">
        <v>731</v>
      </c>
      <c r="D744" s="13">
        <v>7791293033273</v>
      </c>
    </row>
    <row r="745" spans="1:4">
      <c r="A745" s="70" t="s">
        <v>1563</v>
      </c>
      <c r="B745" s="17" t="s">
        <v>2285</v>
      </c>
      <c r="C745" s="16" t="s">
        <v>728</v>
      </c>
      <c r="D745" s="13">
        <v>7791293022819</v>
      </c>
    </row>
    <row r="746" spans="1:4">
      <c r="A746" s="70" t="s">
        <v>1563</v>
      </c>
      <c r="B746" s="17" t="s">
        <v>2285</v>
      </c>
      <c r="C746" s="16" t="s">
        <v>729</v>
      </c>
      <c r="D746" s="13">
        <v>7791293014838</v>
      </c>
    </row>
    <row r="747" spans="1:4">
      <c r="A747" s="70" t="s">
        <v>1715</v>
      </c>
      <c r="B747" s="17" t="s">
        <v>2285</v>
      </c>
      <c r="C747" s="16" t="s">
        <v>1718</v>
      </c>
      <c r="D747" s="13">
        <v>7500435135023</v>
      </c>
    </row>
    <row r="748" spans="1:4">
      <c r="A748" s="70" t="s">
        <v>1715</v>
      </c>
      <c r="B748" s="17" t="s">
        <v>2285</v>
      </c>
      <c r="C748" s="16" t="s">
        <v>1719</v>
      </c>
      <c r="D748" s="13">
        <v>7500435135047</v>
      </c>
    </row>
    <row r="749" spans="1:4">
      <c r="A749" s="70" t="s">
        <v>1715</v>
      </c>
      <c r="B749" s="17" t="s">
        <v>2285</v>
      </c>
      <c r="C749" s="16" t="s">
        <v>1720</v>
      </c>
      <c r="D749" s="13">
        <v>7500435141819</v>
      </c>
    </row>
    <row r="750" spans="1:4">
      <c r="A750" s="70" t="s">
        <v>1715</v>
      </c>
      <c r="B750" s="17" t="s">
        <v>2285</v>
      </c>
      <c r="C750" s="16" t="s">
        <v>1721</v>
      </c>
      <c r="D750" s="13">
        <v>7500435135078</v>
      </c>
    </row>
    <row r="751" spans="1:4">
      <c r="A751" s="70" t="s">
        <v>1715</v>
      </c>
      <c r="B751" s="17" t="s">
        <v>2285</v>
      </c>
      <c r="C751" s="16" t="s">
        <v>1722</v>
      </c>
      <c r="D751" s="13">
        <v>7500435135030</v>
      </c>
    </row>
    <row r="752" spans="1:4">
      <c r="A752" s="70" t="s">
        <v>1715</v>
      </c>
      <c r="B752" s="17" t="s">
        <v>2285</v>
      </c>
      <c r="C752" s="16" t="s">
        <v>1723</v>
      </c>
      <c r="D752" s="13">
        <v>7500435135061</v>
      </c>
    </row>
    <row r="753" spans="1:4">
      <c r="A753" s="70" t="s">
        <v>1705</v>
      </c>
      <c r="B753" s="17" t="s">
        <v>2285</v>
      </c>
      <c r="C753" s="16" t="s">
        <v>667</v>
      </c>
      <c r="D753" s="13">
        <v>7791293022598</v>
      </c>
    </row>
    <row r="754" spans="1:4">
      <c r="A754" s="70" t="s">
        <v>1705</v>
      </c>
      <c r="B754" s="17" t="s">
        <v>2285</v>
      </c>
      <c r="C754" s="16" t="s">
        <v>668</v>
      </c>
      <c r="D754" s="13">
        <v>7791293025537</v>
      </c>
    </row>
    <row r="755" spans="1:4">
      <c r="A755" s="70" t="s">
        <v>1705</v>
      </c>
      <c r="B755" s="17" t="s">
        <v>2285</v>
      </c>
      <c r="C755" s="16" t="s">
        <v>669</v>
      </c>
      <c r="D755" s="13">
        <v>7791293032269</v>
      </c>
    </row>
    <row r="756" spans="1:4">
      <c r="A756" s="70" t="s">
        <v>1705</v>
      </c>
      <c r="B756" s="17" t="s">
        <v>2285</v>
      </c>
      <c r="C756" s="16" t="s">
        <v>670</v>
      </c>
      <c r="D756" s="13">
        <v>7506306244184</v>
      </c>
    </row>
    <row r="757" spans="1:4">
      <c r="A757" s="70" t="s">
        <v>1705</v>
      </c>
      <c r="B757" s="17" t="s">
        <v>2285</v>
      </c>
      <c r="C757" s="16" t="s">
        <v>671</v>
      </c>
      <c r="D757" s="13">
        <v>7891150054646</v>
      </c>
    </row>
    <row r="758" spans="1:4">
      <c r="A758" s="70" t="s">
        <v>1705</v>
      </c>
      <c r="B758" s="17" t="s">
        <v>2285</v>
      </c>
      <c r="C758" s="16" t="s">
        <v>672</v>
      </c>
      <c r="D758" s="13">
        <v>7791293022635</v>
      </c>
    </row>
    <row r="759" spans="1:4">
      <c r="A759" s="70" t="s">
        <v>1705</v>
      </c>
      <c r="B759" s="17" t="s">
        <v>2285</v>
      </c>
      <c r="C759" s="16" t="s">
        <v>673</v>
      </c>
      <c r="D759" s="13">
        <v>7891150055872</v>
      </c>
    </row>
    <row r="760" spans="1:4">
      <c r="A760" s="70" t="s">
        <v>1705</v>
      </c>
      <c r="B760" s="17" t="s">
        <v>2285</v>
      </c>
      <c r="C760" s="16" t="s">
        <v>674</v>
      </c>
      <c r="D760" s="13">
        <v>7891150055605</v>
      </c>
    </row>
    <row r="761" spans="1:4">
      <c r="A761" s="70" t="s">
        <v>1705</v>
      </c>
      <c r="B761" s="17" t="s">
        <v>2285</v>
      </c>
      <c r="C761" s="16" t="s">
        <v>675</v>
      </c>
      <c r="D761" s="13">
        <v>7891150063204</v>
      </c>
    </row>
    <row r="762" spans="1:4">
      <c r="A762" s="70" t="s">
        <v>1705</v>
      </c>
      <c r="B762" s="17" t="s">
        <v>2285</v>
      </c>
      <c r="C762" s="16" t="s">
        <v>676</v>
      </c>
      <c r="D762" s="13">
        <v>7791293022567</v>
      </c>
    </row>
    <row r="763" spans="1:4">
      <c r="A763" s="70" t="s">
        <v>1705</v>
      </c>
      <c r="B763" s="17" t="s">
        <v>2285</v>
      </c>
      <c r="C763" s="16" t="s">
        <v>677</v>
      </c>
      <c r="D763" s="13">
        <v>7791293022581</v>
      </c>
    </row>
    <row r="764" spans="1:4">
      <c r="A764" s="70" t="s">
        <v>1705</v>
      </c>
      <c r="B764" s="17" t="s">
        <v>2285</v>
      </c>
      <c r="C764" s="16" t="s">
        <v>678</v>
      </c>
      <c r="D764" s="13">
        <v>7791293032443</v>
      </c>
    </row>
    <row r="765" spans="1:4">
      <c r="A765" s="70" t="s">
        <v>1705</v>
      </c>
      <c r="B765" s="17" t="s">
        <v>2285</v>
      </c>
      <c r="C765" s="16" t="s">
        <v>679</v>
      </c>
      <c r="D765" s="13">
        <v>7791293033198</v>
      </c>
    </row>
    <row r="766" spans="1:4">
      <c r="A766" s="70" t="s">
        <v>1705</v>
      </c>
      <c r="B766" s="17" t="s">
        <v>2285</v>
      </c>
      <c r="C766" s="16" t="s">
        <v>680</v>
      </c>
      <c r="D766" s="13">
        <v>7506306244177</v>
      </c>
    </row>
    <row r="767" spans="1:4">
      <c r="A767" s="70" t="s">
        <v>1705</v>
      </c>
      <c r="B767" s="17" t="s">
        <v>2285</v>
      </c>
      <c r="C767" s="16" t="s">
        <v>681</v>
      </c>
      <c r="D767" s="13">
        <v>7791293032375</v>
      </c>
    </row>
    <row r="768" spans="1:4">
      <c r="A768" s="70" t="s">
        <v>1705</v>
      </c>
      <c r="B768" s="17" t="s">
        <v>2285</v>
      </c>
      <c r="C768" s="16" t="s">
        <v>682</v>
      </c>
      <c r="D768" s="13">
        <v>7791293032498</v>
      </c>
    </row>
    <row r="769" spans="1:4">
      <c r="A769" s="70" t="s">
        <v>1705</v>
      </c>
      <c r="B769" s="17" t="s">
        <v>2285</v>
      </c>
      <c r="C769" s="16" t="s">
        <v>683</v>
      </c>
      <c r="D769" s="13">
        <v>7791293784465</v>
      </c>
    </row>
    <row r="770" spans="1:4">
      <c r="A770" s="70" t="s">
        <v>1705</v>
      </c>
      <c r="B770" s="17" t="s">
        <v>2285</v>
      </c>
      <c r="C770" s="16" t="s">
        <v>684</v>
      </c>
      <c r="D770" s="13">
        <v>7891150054653</v>
      </c>
    </row>
    <row r="771" spans="1:4">
      <c r="A771" s="70" t="s">
        <v>1705</v>
      </c>
      <c r="B771" s="17" t="s">
        <v>2285</v>
      </c>
      <c r="C771" s="16" t="s">
        <v>685</v>
      </c>
      <c r="D771" s="13">
        <v>7791293036052</v>
      </c>
    </row>
    <row r="772" spans="1:4">
      <c r="A772" s="70" t="s">
        <v>1705</v>
      </c>
      <c r="B772" s="17" t="s">
        <v>2285</v>
      </c>
      <c r="C772" s="16" t="s">
        <v>686</v>
      </c>
      <c r="D772" s="13">
        <v>7791293032481</v>
      </c>
    </row>
    <row r="773" spans="1:4">
      <c r="A773" s="70" t="s">
        <v>1705</v>
      </c>
      <c r="B773" s="17" t="s">
        <v>2285</v>
      </c>
      <c r="C773" s="16" t="s">
        <v>687</v>
      </c>
      <c r="D773" s="13">
        <v>7791293032436</v>
      </c>
    </row>
    <row r="774" spans="1:4">
      <c r="A774" s="70" t="s">
        <v>1705</v>
      </c>
      <c r="B774" s="17" t="s">
        <v>2285</v>
      </c>
      <c r="C774" s="16" t="s">
        <v>688</v>
      </c>
      <c r="D774" s="13">
        <v>7791293032368</v>
      </c>
    </row>
    <row r="775" spans="1:4">
      <c r="A775" s="70" t="s">
        <v>1705</v>
      </c>
      <c r="B775" s="17" t="s">
        <v>2285</v>
      </c>
      <c r="C775" s="16" t="s">
        <v>689</v>
      </c>
      <c r="D775" s="13">
        <v>7791293036045</v>
      </c>
    </row>
    <row r="776" spans="1:4">
      <c r="A776" s="70" t="s">
        <v>1705</v>
      </c>
      <c r="B776" s="17" t="s">
        <v>2285</v>
      </c>
      <c r="C776" s="16" t="s">
        <v>690</v>
      </c>
      <c r="D776" s="13">
        <v>7891150071278</v>
      </c>
    </row>
    <row r="777" spans="1:4">
      <c r="A777" s="70" t="s">
        <v>1705</v>
      </c>
      <c r="B777" s="17" t="s">
        <v>2285</v>
      </c>
      <c r="C777" s="16" t="s">
        <v>691</v>
      </c>
      <c r="D777" s="13">
        <v>7891150071254</v>
      </c>
    </row>
    <row r="778" spans="1:4">
      <c r="A778" s="70" t="s">
        <v>1705</v>
      </c>
      <c r="B778" s="17" t="s">
        <v>2285</v>
      </c>
      <c r="C778" s="16" t="s">
        <v>692</v>
      </c>
      <c r="D778" s="13">
        <v>7791293032467</v>
      </c>
    </row>
    <row r="779" spans="1:4">
      <c r="A779" s="70" t="s">
        <v>1705</v>
      </c>
      <c r="B779" s="17" t="s">
        <v>2285</v>
      </c>
      <c r="C779" s="16" t="s">
        <v>693</v>
      </c>
      <c r="D779" s="13">
        <v>77904331</v>
      </c>
    </row>
    <row r="780" spans="1:4">
      <c r="A780" s="70" t="s">
        <v>1705</v>
      </c>
      <c r="B780" s="17" t="s">
        <v>2285</v>
      </c>
      <c r="C780" s="16" t="s">
        <v>706</v>
      </c>
      <c r="D780" s="13">
        <v>7891150071261</v>
      </c>
    </row>
    <row r="781" spans="1:4">
      <c r="A781" s="70" t="s">
        <v>1705</v>
      </c>
      <c r="B781" s="17" t="s">
        <v>2285</v>
      </c>
      <c r="C781" s="16" t="s">
        <v>707</v>
      </c>
      <c r="D781" s="13">
        <v>7891150064737</v>
      </c>
    </row>
    <row r="782" spans="1:4">
      <c r="A782" s="70" t="s">
        <v>2200</v>
      </c>
      <c r="B782" s="17" t="s">
        <v>2285</v>
      </c>
      <c r="C782" s="16" t="s">
        <v>2206</v>
      </c>
      <c r="D782" s="13">
        <v>7898085947579</v>
      </c>
    </row>
    <row r="783" spans="1:4">
      <c r="A783" s="70" t="s">
        <v>2200</v>
      </c>
      <c r="B783" s="17" t="s">
        <v>2285</v>
      </c>
      <c r="C783" s="16" t="s">
        <v>2207</v>
      </c>
      <c r="D783" s="13">
        <v>7898085947548</v>
      </c>
    </row>
    <row r="784" spans="1:4">
      <c r="A784" s="70" t="s">
        <v>2200</v>
      </c>
      <c r="B784" s="17" t="s">
        <v>2285</v>
      </c>
      <c r="C784" s="16" t="s">
        <v>2208</v>
      </c>
      <c r="D784" s="13">
        <v>7898085947562</v>
      </c>
    </row>
    <row r="785" spans="1:4">
      <c r="A785" s="70" t="s">
        <v>1807</v>
      </c>
      <c r="B785" s="17" t="s">
        <v>2285</v>
      </c>
      <c r="C785" s="16" t="s">
        <v>1808</v>
      </c>
      <c r="D785" s="13">
        <v>7894650938928</v>
      </c>
    </row>
    <row r="786" spans="1:4">
      <c r="A786" s="70" t="s">
        <v>1807</v>
      </c>
      <c r="B786" s="17" t="s">
        <v>2285</v>
      </c>
      <c r="C786" s="16" t="s">
        <v>1809</v>
      </c>
      <c r="D786" s="13">
        <v>7894650937761</v>
      </c>
    </row>
    <row r="787" spans="1:4">
      <c r="A787" s="70" t="s">
        <v>1807</v>
      </c>
      <c r="B787" s="17" t="s">
        <v>2285</v>
      </c>
      <c r="C787" s="16" t="s">
        <v>1809</v>
      </c>
      <c r="D787" s="13">
        <v>7894650013861</v>
      </c>
    </row>
    <row r="788" spans="1:4">
      <c r="A788" s="70" t="s">
        <v>1807</v>
      </c>
      <c r="B788" s="17" t="s">
        <v>2285</v>
      </c>
      <c r="C788" s="16" t="s">
        <v>2431</v>
      </c>
      <c r="D788" s="13">
        <v>7894650938430</v>
      </c>
    </row>
    <row r="789" spans="1:4">
      <c r="A789" s="70" t="s">
        <v>1807</v>
      </c>
      <c r="B789" s="17" t="s">
        <v>2285</v>
      </c>
      <c r="C789" s="16" t="s">
        <v>1810</v>
      </c>
      <c r="D789" s="13">
        <v>7894650014448</v>
      </c>
    </row>
    <row r="790" spans="1:4">
      <c r="A790" s="70" t="s">
        <v>884</v>
      </c>
      <c r="B790" s="17" t="s">
        <v>2286</v>
      </c>
      <c r="C790" s="16" t="s">
        <v>901</v>
      </c>
      <c r="D790" s="13">
        <v>7908324400366</v>
      </c>
    </row>
    <row r="791" spans="1:4">
      <c r="A791" s="70" t="s">
        <v>884</v>
      </c>
      <c r="B791" s="17" t="s">
        <v>2286</v>
      </c>
      <c r="C791" s="16" t="s">
        <v>902</v>
      </c>
      <c r="D791" s="13">
        <v>7908324400342</v>
      </c>
    </row>
    <row r="792" spans="1:4">
      <c r="A792" s="70" t="s">
        <v>884</v>
      </c>
      <c r="B792" s="17" t="s">
        <v>2286</v>
      </c>
      <c r="C792" s="16" t="s">
        <v>903</v>
      </c>
      <c r="D792" s="13">
        <v>7908324400359</v>
      </c>
    </row>
    <row r="793" spans="1:4">
      <c r="A793" s="70" t="s">
        <v>2023</v>
      </c>
      <c r="B793" s="17" t="s">
        <v>2286</v>
      </c>
      <c r="C793" s="16" t="s">
        <v>1910</v>
      </c>
      <c r="D793" s="13">
        <v>7891022637007</v>
      </c>
    </row>
    <row r="794" spans="1:4">
      <c r="A794" s="70" t="s">
        <v>2023</v>
      </c>
      <c r="B794" s="17" t="s">
        <v>2286</v>
      </c>
      <c r="C794" s="16" t="s">
        <v>1911</v>
      </c>
      <c r="D794" s="13">
        <v>7891022639001</v>
      </c>
    </row>
    <row r="795" spans="1:4">
      <c r="A795" s="70" t="s">
        <v>2023</v>
      </c>
      <c r="B795" s="17" t="s">
        <v>2286</v>
      </c>
      <c r="C795" s="16" t="s">
        <v>1912</v>
      </c>
      <c r="D795" s="13">
        <v>7891022638004</v>
      </c>
    </row>
    <row r="796" spans="1:4">
      <c r="A796" s="70" t="s">
        <v>2023</v>
      </c>
      <c r="B796" s="17" t="s">
        <v>2286</v>
      </c>
      <c r="C796" s="16" t="s">
        <v>1913</v>
      </c>
      <c r="D796" s="13">
        <v>7891022640007</v>
      </c>
    </row>
    <row r="797" spans="1:4">
      <c r="A797" s="70" t="s">
        <v>2023</v>
      </c>
      <c r="B797" s="17" t="s">
        <v>2286</v>
      </c>
      <c r="C797" s="16" t="s">
        <v>1920</v>
      </c>
      <c r="D797" s="13">
        <v>7891022861242</v>
      </c>
    </row>
    <row r="798" spans="1:4">
      <c r="A798" s="70" t="s">
        <v>2023</v>
      </c>
      <c r="B798" s="17" t="s">
        <v>2286</v>
      </c>
      <c r="C798" s="16" t="s">
        <v>1921</v>
      </c>
      <c r="D798" s="13">
        <v>7891022860955</v>
      </c>
    </row>
    <row r="799" spans="1:4">
      <c r="A799" s="70" t="s">
        <v>2023</v>
      </c>
      <c r="B799" s="17" t="s">
        <v>2286</v>
      </c>
      <c r="C799" s="16" t="s">
        <v>1914</v>
      </c>
      <c r="D799" s="13">
        <v>7891022100372</v>
      </c>
    </row>
    <row r="800" spans="1:4">
      <c r="A800" s="70" t="s">
        <v>2274</v>
      </c>
      <c r="B800" s="17" t="s">
        <v>2286</v>
      </c>
      <c r="C800" s="16" t="s">
        <v>2278</v>
      </c>
      <c r="D800" s="13">
        <v>7891022861310</v>
      </c>
    </row>
    <row r="801" spans="1:4">
      <c r="A801" s="70" t="s">
        <v>2274</v>
      </c>
      <c r="B801" s="17" t="s">
        <v>2286</v>
      </c>
      <c r="C801" s="16" t="s">
        <v>2279</v>
      </c>
      <c r="D801" s="13">
        <v>7891022861327</v>
      </c>
    </row>
    <row r="802" spans="1:4">
      <c r="A802" s="70" t="s">
        <v>2250</v>
      </c>
      <c r="B802" s="17" t="s">
        <v>2286</v>
      </c>
      <c r="C802" s="16" t="s">
        <v>2253</v>
      </c>
      <c r="D802" s="13">
        <v>7896098902042</v>
      </c>
    </row>
    <row r="803" spans="1:4">
      <c r="A803" s="70" t="s">
        <v>2250</v>
      </c>
      <c r="B803" s="17" t="s">
        <v>2286</v>
      </c>
      <c r="C803" s="16" t="s">
        <v>2254</v>
      </c>
      <c r="D803" s="13">
        <v>7896098900253</v>
      </c>
    </row>
    <row r="804" spans="1:4">
      <c r="A804" s="70" t="s">
        <v>2250</v>
      </c>
      <c r="B804" s="17" t="s">
        <v>2286</v>
      </c>
      <c r="C804" s="16" t="s">
        <v>2255</v>
      </c>
      <c r="D804" s="13">
        <v>7896098900277</v>
      </c>
    </row>
    <row r="805" spans="1:4">
      <c r="A805" s="70" t="s">
        <v>2250</v>
      </c>
      <c r="B805" s="17" t="s">
        <v>2286</v>
      </c>
      <c r="C805" s="16" t="s">
        <v>2256</v>
      </c>
      <c r="D805" s="13">
        <v>7896098900239</v>
      </c>
    </row>
    <row r="806" spans="1:4">
      <c r="A806" s="70" t="s">
        <v>2250</v>
      </c>
      <c r="B806" s="17" t="s">
        <v>2286</v>
      </c>
      <c r="C806" s="16" t="s">
        <v>2257</v>
      </c>
      <c r="D806" s="13">
        <v>7896098900222</v>
      </c>
    </row>
    <row r="807" spans="1:4">
      <c r="A807" s="70" t="s">
        <v>2250</v>
      </c>
      <c r="B807" s="17" t="s">
        <v>2286</v>
      </c>
      <c r="C807" s="16" t="s">
        <v>2258</v>
      </c>
      <c r="D807" s="13">
        <v>7896098900215</v>
      </c>
    </row>
    <row r="808" spans="1:4">
      <c r="A808" s="70" t="s">
        <v>2250</v>
      </c>
      <c r="B808" s="17" t="s">
        <v>2286</v>
      </c>
      <c r="C808" s="16" t="s">
        <v>2259</v>
      </c>
      <c r="D808" s="13">
        <v>7896098900208</v>
      </c>
    </row>
    <row r="809" spans="1:4" ht="30">
      <c r="A809" s="10" t="s">
        <v>2819</v>
      </c>
      <c r="B809" s="17" t="s">
        <v>2286</v>
      </c>
      <c r="C809" s="16" t="s">
        <v>2162</v>
      </c>
      <c r="D809" s="13">
        <v>7896098900840</v>
      </c>
    </row>
    <row r="810" spans="1:4" ht="30">
      <c r="A810" s="10" t="s">
        <v>2819</v>
      </c>
      <c r="B810" s="17" t="s">
        <v>2286</v>
      </c>
      <c r="C810" s="16" t="s">
        <v>2163</v>
      </c>
      <c r="D810" s="13">
        <v>7896098901915</v>
      </c>
    </row>
    <row r="811" spans="1:4">
      <c r="A811" s="70" t="s">
        <v>486</v>
      </c>
      <c r="B811" s="17" t="s">
        <v>2281</v>
      </c>
      <c r="C811" s="16" t="s">
        <v>503</v>
      </c>
      <c r="D811" s="13">
        <v>7896275960599</v>
      </c>
    </row>
    <row r="812" spans="1:4">
      <c r="A812" s="70" t="s">
        <v>486</v>
      </c>
      <c r="B812" s="17" t="s">
        <v>2281</v>
      </c>
      <c r="C812" s="16" t="s">
        <v>504</v>
      </c>
      <c r="D812" s="13">
        <v>7896275960810</v>
      </c>
    </row>
    <row r="813" spans="1:4">
      <c r="A813" s="70" t="s">
        <v>486</v>
      </c>
      <c r="B813" s="17" t="s">
        <v>2281</v>
      </c>
      <c r="C813" s="16" t="s">
        <v>505</v>
      </c>
      <c r="D813" s="13">
        <v>7896275960803</v>
      </c>
    </row>
    <row r="814" spans="1:4">
      <c r="A814" s="70" t="s">
        <v>486</v>
      </c>
      <c r="B814" s="17" t="s">
        <v>2281</v>
      </c>
      <c r="C814" s="16" t="s">
        <v>506</v>
      </c>
      <c r="D814" s="13">
        <v>7896275960605</v>
      </c>
    </row>
    <row r="815" spans="1:4">
      <c r="A815" s="70" t="s">
        <v>486</v>
      </c>
      <c r="B815" s="17" t="s">
        <v>2281</v>
      </c>
      <c r="C815" s="16" t="s">
        <v>507</v>
      </c>
      <c r="D815" s="13">
        <v>7896275970857</v>
      </c>
    </row>
    <row r="816" spans="1:4">
      <c r="A816" s="70" t="s">
        <v>1318</v>
      </c>
      <c r="B816" s="17" t="s">
        <v>2281</v>
      </c>
      <c r="C816" s="16" t="s">
        <v>1320</v>
      </c>
      <c r="D816" s="13">
        <v>7896051145646</v>
      </c>
    </row>
    <row r="817" spans="1:4">
      <c r="A817" s="70" t="s">
        <v>871</v>
      </c>
      <c r="B817" s="17" t="s">
        <v>2282</v>
      </c>
      <c r="C817" s="16" t="s">
        <v>890</v>
      </c>
      <c r="D817" s="13">
        <v>7893000949270</v>
      </c>
    </row>
    <row r="818" spans="1:4">
      <c r="A818" s="70" t="s">
        <v>871</v>
      </c>
      <c r="B818" s="17" t="s">
        <v>2282</v>
      </c>
      <c r="C818" s="16" t="s">
        <v>891</v>
      </c>
      <c r="D818" s="13">
        <v>7893000991989</v>
      </c>
    </row>
    <row r="819" spans="1:4">
      <c r="A819" s="70" t="s">
        <v>871</v>
      </c>
      <c r="B819" s="17" t="s">
        <v>2282</v>
      </c>
      <c r="C819" s="16" t="s">
        <v>892</v>
      </c>
      <c r="D819" s="13">
        <v>7893000949430</v>
      </c>
    </row>
    <row r="820" spans="1:4">
      <c r="A820" s="70" t="s">
        <v>871</v>
      </c>
      <c r="B820" s="17" t="s">
        <v>2282</v>
      </c>
      <c r="C820" s="16" t="s">
        <v>893</v>
      </c>
      <c r="D820" s="13">
        <v>7893000949355</v>
      </c>
    </row>
    <row r="821" spans="1:4">
      <c r="A821" s="70" t="s">
        <v>2129</v>
      </c>
      <c r="B821" s="17" t="s">
        <v>2282</v>
      </c>
      <c r="C821" s="16" t="s">
        <v>2131</v>
      </c>
      <c r="D821" s="13">
        <v>7894904597888</v>
      </c>
    </row>
    <row r="822" spans="1:4">
      <c r="A822" s="70" t="s">
        <v>1465</v>
      </c>
      <c r="B822" s="17" t="s">
        <v>2282</v>
      </c>
      <c r="C822" s="16" t="s">
        <v>1473</v>
      </c>
      <c r="D822" s="13">
        <v>7894904691005</v>
      </c>
    </row>
    <row r="823" spans="1:4">
      <c r="A823" s="70" t="s">
        <v>120</v>
      </c>
      <c r="B823" s="17" t="s">
        <v>2283</v>
      </c>
      <c r="C823" s="16" t="s">
        <v>1533</v>
      </c>
      <c r="D823" s="13">
        <v>70847022305</v>
      </c>
    </row>
    <row r="824" spans="1:4">
      <c r="A824" s="70" t="s">
        <v>120</v>
      </c>
      <c r="B824" s="17" t="s">
        <v>2283</v>
      </c>
      <c r="C824" s="16" t="s">
        <v>1545</v>
      </c>
      <c r="D824" s="13">
        <v>70847034803</v>
      </c>
    </row>
    <row r="825" spans="1:4">
      <c r="A825" s="70" t="s">
        <v>120</v>
      </c>
      <c r="B825" s="17" t="s">
        <v>2283</v>
      </c>
      <c r="C825" s="16" t="s">
        <v>1546</v>
      </c>
      <c r="D825" s="13">
        <v>1220000250000</v>
      </c>
    </row>
    <row r="826" spans="1:4">
      <c r="A826" s="70" t="s">
        <v>120</v>
      </c>
      <c r="B826" s="17" t="s">
        <v>2283</v>
      </c>
      <c r="C826" s="16" t="s">
        <v>1534</v>
      </c>
      <c r="D826" s="13">
        <v>70847033301</v>
      </c>
    </row>
    <row r="827" spans="1:4">
      <c r="A827" s="70" t="s">
        <v>120</v>
      </c>
      <c r="B827" s="17" t="s">
        <v>2283</v>
      </c>
      <c r="C827" s="16" t="s">
        <v>1535</v>
      </c>
      <c r="D827" s="13">
        <v>70847028505</v>
      </c>
    </row>
    <row r="828" spans="1:4">
      <c r="A828" s="70" t="s">
        <v>120</v>
      </c>
      <c r="B828" s="17" t="s">
        <v>2283</v>
      </c>
      <c r="C828" s="16" t="s">
        <v>1536</v>
      </c>
      <c r="D828" s="13">
        <v>70847022015</v>
      </c>
    </row>
    <row r="829" spans="1:4">
      <c r="A829" s="70" t="s">
        <v>120</v>
      </c>
      <c r="B829" s="17" t="s">
        <v>2283</v>
      </c>
      <c r="C829" s="16" t="s">
        <v>1537</v>
      </c>
      <c r="D829" s="13">
        <v>70847022206</v>
      </c>
    </row>
    <row r="830" spans="1:4">
      <c r="A830" s="70" t="s">
        <v>120</v>
      </c>
      <c r="B830" s="17" t="s">
        <v>2283</v>
      </c>
      <c r="C830" s="16" t="s">
        <v>1538</v>
      </c>
      <c r="D830" s="13">
        <v>70847033929</v>
      </c>
    </row>
    <row r="831" spans="1:4">
      <c r="A831" s="70" t="s">
        <v>120</v>
      </c>
      <c r="B831" s="17" t="s">
        <v>2283</v>
      </c>
      <c r="C831" s="16" t="s">
        <v>1539</v>
      </c>
      <c r="D831" s="13">
        <v>70847022022</v>
      </c>
    </row>
    <row r="832" spans="1:4">
      <c r="A832" s="70" t="s">
        <v>7</v>
      </c>
      <c r="B832" s="17" t="s">
        <v>2283</v>
      </c>
      <c r="C832" s="16" t="s">
        <v>1994</v>
      </c>
      <c r="D832" s="13">
        <v>7897053931077</v>
      </c>
    </row>
    <row r="833" spans="1:4">
      <c r="A833" s="70" t="s">
        <v>433</v>
      </c>
      <c r="B833" s="17" t="s">
        <v>2284</v>
      </c>
      <c r="C833" s="16" t="s">
        <v>437</v>
      </c>
      <c r="D833" s="13">
        <v>7897517209407</v>
      </c>
    </row>
    <row r="834" spans="1:4">
      <c r="A834" s="70" t="s">
        <v>992</v>
      </c>
      <c r="B834" s="17" t="s">
        <v>2284</v>
      </c>
      <c r="C834" s="16" t="s">
        <v>997</v>
      </c>
      <c r="D834" s="13">
        <v>7897517209056</v>
      </c>
    </row>
    <row r="835" spans="1:4">
      <c r="A835" s="70" t="s">
        <v>1110</v>
      </c>
      <c r="B835" s="17" t="s">
        <v>2284</v>
      </c>
      <c r="C835" s="16" t="s">
        <v>1111</v>
      </c>
      <c r="D835" s="13">
        <v>7896292340541</v>
      </c>
    </row>
    <row r="836" spans="1:4">
      <c r="A836" s="70" t="s">
        <v>50</v>
      </c>
      <c r="B836" s="17" t="s">
        <v>2283</v>
      </c>
      <c r="C836" s="16" t="s">
        <v>1416</v>
      </c>
      <c r="D836" s="13">
        <v>7896097722016</v>
      </c>
    </row>
    <row r="837" spans="1:4">
      <c r="A837" s="70" t="s">
        <v>50</v>
      </c>
      <c r="B837" s="17" t="s">
        <v>2283</v>
      </c>
      <c r="C837" s="16" t="s">
        <v>1417</v>
      </c>
      <c r="D837" s="13">
        <v>7896097722047</v>
      </c>
    </row>
    <row r="838" spans="1:4">
      <c r="A838" s="70" t="s">
        <v>3455</v>
      </c>
      <c r="B838" s="17" t="s">
        <v>2283</v>
      </c>
      <c r="C838" s="16" t="s">
        <v>1414</v>
      </c>
      <c r="D838" s="13">
        <v>7896097720098</v>
      </c>
    </row>
    <row r="839" spans="1:4">
      <c r="A839" s="70" t="s">
        <v>86</v>
      </c>
      <c r="B839" s="17" t="s">
        <v>2283</v>
      </c>
      <c r="C839" s="16" t="s">
        <v>969</v>
      </c>
      <c r="D839" s="13">
        <v>7896023082634</v>
      </c>
    </row>
    <row r="840" spans="1:4">
      <c r="A840" s="70" t="s">
        <v>1449</v>
      </c>
      <c r="B840" s="17" t="s">
        <v>2283</v>
      </c>
      <c r="C840" s="16" t="s">
        <v>969</v>
      </c>
      <c r="D840" s="13">
        <v>7896023082634</v>
      </c>
    </row>
    <row r="841" spans="1:4">
      <c r="A841" s="70" t="s">
        <v>1449</v>
      </c>
      <c r="B841" s="17" t="s">
        <v>2283</v>
      </c>
      <c r="C841" s="16" t="s">
        <v>1079</v>
      </c>
      <c r="D841" s="13">
        <v>7896023082979</v>
      </c>
    </row>
    <row r="842" spans="1:4">
      <c r="A842" s="70" t="s">
        <v>1449</v>
      </c>
      <c r="B842" s="17" t="s">
        <v>2283</v>
      </c>
      <c r="C842" s="16" t="s">
        <v>1243</v>
      </c>
      <c r="D842" s="13">
        <v>7896023085994</v>
      </c>
    </row>
    <row r="843" spans="1:4">
      <c r="A843" s="70" t="s">
        <v>1449</v>
      </c>
      <c r="B843" s="17" t="s">
        <v>2283</v>
      </c>
      <c r="C843" s="16" t="s">
        <v>1078</v>
      </c>
      <c r="D843" s="13">
        <v>7896023082993</v>
      </c>
    </row>
    <row r="844" spans="1:4">
      <c r="A844" s="70" t="s">
        <v>1316</v>
      </c>
      <c r="B844" s="17" t="s">
        <v>2283</v>
      </c>
      <c r="C844" s="16" t="s">
        <v>1353</v>
      </c>
      <c r="D844" s="13">
        <v>7896072911145</v>
      </c>
    </row>
    <row r="845" spans="1:4">
      <c r="A845" s="70" t="s">
        <v>1601</v>
      </c>
      <c r="B845" s="17" t="s">
        <v>2284</v>
      </c>
      <c r="C845" s="16" t="s">
        <v>1612</v>
      </c>
      <c r="D845" s="13">
        <v>7896036097069</v>
      </c>
    </row>
    <row r="846" spans="1:4">
      <c r="A846" s="70" t="s">
        <v>994</v>
      </c>
      <c r="B846" s="17" t="s">
        <v>2284</v>
      </c>
      <c r="C846" s="16" t="s">
        <v>1016</v>
      </c>
      <c r="D846" s="13">
        <v>7891032015369</v>
      </c>
    </row>
    <row r="847" spans="1:4">
      <c r="A847" s="70" t="s">
        <v>491</v>
      </c>
      <c r="B847" s="17" t="s">
        <v>2280</v>
      </c>
      <c r="C847" s="16" t="s">
        <v>524</v>
      </c>
      <c r="D847" s="13">
        <v>7896232111026</v>
      </c>
    </row>
    <row r="848" spans="1:4">
      <c r="A848" s="70" t="s">
        <v>3</v>
      </c>
      <c r="B848" s="17" t="s">
        <v>2280</v>
      </c>
      <c r="C848" s="16" t="s">
        <v>377</v>
      </c>
      <c r="D848" s="13">
        <v>7896534400323</v>
      </c>
    </row>
    <row r="849" spans="1:4">
      <c r="A849" s="70" t="s">
        <v>56</v>
      </c>
      <c r="B849" s="17" t="s">
        <v>2280</v>
      </c>
      <c r="C849" s="16" t="s">
        <v>279</v>
      </c>
      <c r="D849" s="13">
        <v>7896022200961</v>
      </c>
    </row>
    <row r="850" spans="1:4">
      <c r="A850" s="70" t="s">
        <v>37</v>
      </c>
      <c r="B850" s="17" t="s">
        <v>2280</v>
      </c>
      <c r="C850" s="16" t="s">
        <v>358</v>
      </c>
      <c r="D850" s="13">
        <v>7896534400200</v>
      </c>
    </row>
    <row r="851" spans="1:4">
      <c r="A851" s="70" t="s">
        <v>3456</v>
      </c>
      <c r="B851" s="17" t="s">
        <v>2284</v>
      </c>
      <c r="C851" s="16" t="s">
        <v>1117</v>
      </c>
      <c r="D851" s="13">
        <v>7896117600072</v>
      </c>
    </row>
    <row r="852" spans="1:4">
      <c r="A852" s="70" t="s">
        <v>3456</v>
      </c>
      <c r="B852" s="17" t="s">
        <v>2284</v>
      </c>
      <c r="C852" s="16" t="s">
        <v>1118</v>
      </c>
      <c r="D852" s="13">
        <v>7896117600065</v>
      </c>
    </row>
    <row r="853" spans="1:4">
      <c r="A853" s="70" t="s">
        <v>1233</v>
      </c>
      <c r="B853" s="17" t="s">
        <v>2284</v>
      </c>
      <c r="C853" s="16" t="s">
        <v>565</v>
      </c>
      <c r="D853" s="13">
        <v>7896280402015</v>
      </c>
    </row>
    <row r="854" spans="1:4">
      <c r="A854" s="70" t="s">
        <v>1278</v>
      </c>
      <c r="B854" s="17" t="s">
        <v>2284</v>
      </c>
      <c r="C854" s="16" t="s">
        <v>1285</v>
      </c>
      <c r="D854" s="13">
        <v>7896280402442</v>
      </c>
    </row>
    <row r="855" spans="1:4">
      <c r="A855" s="70" t="s">
        <v>1278</v>
      </c>
      <c r="B855" s="17" t="s">
        <v>2284</v>
      </c>
      <c r="C855" s="16" t="s">
        <v>1286</v>
      </c>
      <c r="D855" s="13">
        <v>7896280402367</v>
      </c>
    </row>
    <row r="856" spans="1:4">
      <c r="A856" s="70" t="s">
        <v>1278</v>
      </c>
      <c r="B856" s="17" t="s">
        <v>2284</v>
      </c>
      <c r="C856" s="16" t="s">
        <v>1287</v>
      </c>
      <c r="D856" s="13">
        <v>7896280402350</v>
      </c>
    </row>
    <row r="857" spans="1:4">
      <c r="A857" s="70" t="s">
        <v>265</v>
      </c>
      <c r="B857" s="17" t="s">
        <v>2284</v>
      </c>
      <c r="C857" s="16" t="s">
        <v>307</v>
      </c>
      <c r="D857" s="13">
        <v>7891095005895</v>
      </c>
    </row>
    <row r="858" spans="1:4">
      <c r="A858" s="70" t="s">
        <v>130</v>
      </c>
      <c r="B858" s="17" t="s">
        <v>2284</v>
      </c>
      <c r="C858" s="16" t="s">
        <v>130</v>
      </c>
      <c r="D858" s="13">
        <v>7891095300488</v>
      </c>
    </row>
    <row r="859" spans="1:4">
      <c r="A859" s="70" t="s">
        <v>2024</v>
      </c>
      <c r="B859" s="17" t="s">
        <v>2280</v>
      </c>
      <c r="C859" s="16" t="s">
        <v>2027</v>
      </c>
      <c r="D859" s="13">
        <v>7896086422422</v>
      </c>
    </row>
    <row r="860" spans="1:4">
      <c r="A860" s="70" t="s">
        <v>880</v>
      </c>
      <c r="B860" s="17" t="s">
        <v>2280</v>
      </c>
      <c r="C860" s="16" t="s">
        <v>894</v>
      </c>
      <c r="D860" s="13">
        <v>7896503500115</v>
      </c>
    </row>
    <row r="861" spans="1:4">
      <c r="A861" s="70" t="s">
        <v>111</v>
      </c>
      <c r="B861" s="17" t="s">
        <v>2280</v>
      </c>
      <c r="C861" s="16" t="s">
        <v>1940</v>
      </c>
      <c r="D861" s="13">
        <v>7896503500221</v>
      </c>
    </row>
    <row r="862" spans="1:4">
      <c r="A862" s="70" t="s">
        <v>1268</v>
      </c>
      <c r="B862" s="17" t="s">
        <v>2280</v>
      </c>
      <c r="C862" s="16" t="s">
        <v>1489</v>
      </c>
      <c r="D862" s="13">
        <v>7896864400185</v>
      </c>
    </row>
    <row r="863" spans="1:4">
      <c r="A863" s="70" t="s">
        <v>1059</v>
      </c>
      <c r="B863" s="17" t="s">
        <v>2280</v>
      </c>
      <c r="C863" s="16" t="s">
        <v>1068</v>
      </c>
      <c r="D863" s="13">
        <v>7896864400345</v>
      </c>
    </row>
    <row r="864" spans="1:4">
      <c r="A864" s="70" t="s">
        <v>961</v>
      </c>
      <c r="B864" s="17" t="s">
        <v>2280</v>
      </c>
      <c r="C864" s="16" t="s">
        <v>968</v>
      </c>
      <c r="D864" s="13">
        <v>7896864400352</v>
      </c>
    </row>
    <row r="865" spans="1:4">
      <c r="A865" s="70" t="s">
        <v>198</v>
      </c>
      <c r="B865" s="17" t="s">
        <v>2280</v>
      </c>
      <c r="C865" s="16" t="s">
        <v>199</v>
      </c>
      <c r="D865" s="13">
        <v>7896864400185</v>
      </c>
    </row>
    <row r="866" spans="1:4">
      <c r="A866" s="70" t="s">
        <v>1766</v>
      </c>
      <c r="B866" s="17" t="s">
        <v>2280</v>
      </c>
      <c r="C866" s="16" t="s">
        <v>1776</v>
      </c>
      <c r="D866" s="13">
        <v>7896503500337</v>
      </c>
    </row>
    <row r="867" spans="1:4">
      <c r="A867" s="70" t="s">
        <v>944</v>
      </c>
      <c r="B867" s="17" t="s">
        <v>2280</v>
      </c>
      <c r="C867" s="16" t="s">
        <v>948</v>
      </c>
      <c r="D867" s="13">
        <v>7896864400253</v>
      </c>
    </row>
    <row r="868" spans="1:4">
      <c r="A868" s="70" t="s">
        <v>569</v>
      </c>
      <c r="B868" s="17" t="s">
        <v>2284</v>
      </c>
      <c r="C868" s="16" t="s">
        <v>582</v>
      </c>
      <c r="D868" s="13">
        <v>7896031224088</v>
      </c>
    </row>
    <row r="869" spans="1:4">
      <c r="A869" s="70" t="s">
        <v>1844</v>
      </c>
      <c r="B869" s="17" t="s">
        <v>2282</v>
      </c>
      <c r="C869" s="16" t="s">
        <v>1849</v>
      </c>
      <c r="D869" s="13">
        <v>7894904005789</v>
      </c>
    </row>
    <row r="870" spans="1:4">
      <c r="A870" s="70" t="s">
        <v>1625</v>
      </c>
      <c r="B870" s="17" t="s">
        <v>2282</v>
      </c>
      <c r="C870" s="16" t="s">
        <v>1630</v>
      </c>
      <c r="D870" s="13">
        <v>7898937200203</v>
      </c>
    </row>
    <row r="871" spans="1:4">
      <c r="A871" s="70" t="s">
        <v>874</v>
      </c>
      <c r="B871" s="17" t="s">
        <v>2282</v>
      </c>
      <c r="C871" s="16" t="s">
        <v>910</v>
      </c>
      <c r="D871" s="13">
        <v>7893000492394</v>
      </c>
    </row>
    <row r="872" spans="1:4">
      <c r="A872" s="70" t="s">
        <v>1267</v>
      </c>
      <c r="B872" s="17" t="s">
        <v>2282</v>
      </c>
      <c r="C872" s="16" t="s">
        <v>1274</v>
      </c>
      <c r="D872" s="13">
        <v>98212</v>
      </c>
    </row>
    <row r="873" spans="1:4">
      <c r="A873" s="70" t="s">
        <v>1822</v>
      </c>
      <c r="B873" s="17" t="s">
        <v>2282</v>
      </c>
      <c r="C873" s="16" t="s">
        <v>1019</v>
      </c>
      <c r="D873" s="13">
        <v>98212</v>
      </c>
    </row>
    <row r="874" spans="1:4">
      <c r="A874" s="70" t="s">
        <v>146</v>
      </c>
      <c r="B874" s="17" t="s">
        <v>2282</v>
      </c>
      <c r="C874" s="16" t="s">
        <v>256</v>
      </c>
      <c r="D874" s="13">
        <v>7893000482401</v>
      </c>
    </row>
    <row r="875" spans="1:4">
      <c r="A875" s="70" t="s">
        <v>733</v>
      </c>
      <c r="B875" s="17" t="s">
        <v>2287</v>
      </c>
      <c r="C875" s="16" t="s">
        <v>794</v>
      </c>
      <c r="D875" s="13">
        <v>7891021002127</v>
      </c>
    </row>
    <row r="876" spans="1:4">
      <c r="A876" s="70" t="s">
        <v>1886</v>
      </c>
      <c r="B876" s="17" t="s">
        <v>2287</v>
      </c>
      <c r="C876" s="16" t="s">
        <v>1891</v>
      </c>
      <c r="D876" s="13">
        <v>7891021001946</v>
      </c>
    </row>
    <row r="877" spans="1:4">
      <c r="A877" s="70" t="s">
        <v>3457</v>
      </c>
      <c r="B877" s="17" t="s">
        <v>2285</v>
      </c>
      <c r="C877" s="16" t="s">
        <v>397</v>
      </c>
      <c r="D877" s="13">
        <v>7806500773405</v>
      </c>
    </row>
    <row r="878" spans="1:4">
      <c r="A878" s="70" t="s">
        <v>3457</v>
      </c>
      <c r="B878" s="17" t="s">
        <v>2285</v>
      </c>
      <c r="C878" s="16" t="s">
        <v>398</v>
      </c>
      <c r="D878" s="13">
        <v>7806500773603</v>
      </c>
    </row>
    <row r="879" spans="1:4">
      <c r="A879" s="70" t="s">
        <v>3457</v>
      </c>
      <c r="B879" s="17" t="s">
        <v>2285</v>
      </c>
      <c r="C879" s="16" t="s">
        <v>399</v>
      </c>
      <c r="D879" s="13">
        <v>7896061990403</v>
      </c>
    </row>
    <row r="880" spans="1:4">
      <c r="A880" s="70" t="s">
        <v>1980</v>
      </c>
      <c r="B880" s="17" t="str">
        <f>$B$92</f>
        <v>Mercearia - Básico</v>
      </c>
      <c r="C880" s="16" t="s">
        <v>1679</v>
      </c>
      <c r="D880" s="13">
        <v>7500435106665</v>
      </c>
    </row>
    <row r="881" spans="1:4">
      <c r="A881" s="70" t="s">
        <v>1980</v>
      </c>
      <c r="B881" s="17" t="str">
        <f>$B$92</f>
        <v>Mercearia - Básico</v>
      </c>
      <c r="C881" s="16" t="s">
        <v>1680</v>
      </c>
      <c r="D881" s="13">
        <v>7500435106672</v>
      </c>
    </row>
    <row r="882" spans="1:4">
      <c r="A882" s="70" t="s">
        <v>1980</v>
      </c>
      <c r="B882" s="17" t="str">
        <f>$B$92</f>
        <v>Mercearia - Básico</v>
      </c>
      <c r="C882" s="16" t="s">
        <v>1681</v>
      </c>
      <c r="D882" s="13">
        <v>7500435132602</v>
      </c>
    </row>
    <row r="883" spans="1:4">
      <c r="A883" s="70" t="s">
        <v>1980</v>
      </c>
      <c r="B883" s="17" t="str">
        <f>$B$92</f>
        <v>Mercearia - Básico</v>
      </c>
      <c r="C883" s="16" t="s">
        <v>1683</v>
      </c>
      <c r="D883" s="13">
        <v>7500435181297</v>
      </c>
    </row>
    <row r="884" spans="1:4">
      <c r="A884" s="70" t="s">
        <v>1980</v>
      </c>
      <c r="B884" s="17" t="str">
        <f>$B$92</f>
        <v>Mercearia - Básico</v>
      </c>
      <c r="C884" s="16" t="s">
        <v>1684</v>
      </c>
      <c r="D884" s="13">
        <v>7500435132619</v>
      </c>
    </row>
    <row r="885" spans="1:4">
      <c r="A885" s="70" t="s">
        <v>51</v>
      </c>
      <c r="B885" s="17" t="s">
        <v>2285</v>
      </c>
      <c r="C885" s="16" t="s">
        <v>233</v>
      </c>
      <c r="D885" s="13">
        <v>7898138782867</v>
      </c>
    </row>
    <row r="886" spans="1:4">
      <c r="A886" s="70" t="s">
        <v>51</v>
      </c>
      <c r="B886" s="17" t="s">
        <v>2285</v>
      </c>
      <c r="C886" s="16" t="s">
        <v>234</v>
      </c>
      <c r="D886" s="13">
        <v>7898138782850</v>
      </c>
    </row>
    <row r="887" spans="1:4">
      <c r="A887" s="70" t="s">
        <v>51</v>
      </c>
      <c r="B887" s="17" t="s">
        <v>2285</v>
      </c>
      <c r="C887" s="16" t="s">
        <v>235</v>
      </c>
      <c r="D887" s="13">
        <v>7898138782843</v>
      </c>
    </row>
    <row r="888" spans="1:4">
      <c r="A888" s="70" t="s">
        <v>51</v>
      </c>
      <c r="B888" s="17" t="s">
        <v>2285</v>
      </c>
      <c r="C888" s="16" t="s">
        <v>236</v>
      </c>
      <c r="D888" s="13">
        <v>7898138782874</v>
      </c>
    </row>
    <row r="889" spans="1:4">
      <c r="A889" s="70" t="s">
        <v>51</v>
      </c>
      <c r="B889" s="17" t="s">
        <v>2285</v>
      </c>
      <c r="C889" s="16" t="s">
        <v>237</v>
      </c>
      <c r="D889" s="13">
        <v>7898138782836</v>
      </c>
    </row>
    <row r="890" spans="1:4">
      <c r="A890" s="70" t="s">
        <v>51</v>
      </c>
      <c r="B890" s="17" t="s">
        <v>2285</v>
      </c>
      <c r="C890" s="16" t="s">
        <v>297</v>
      </c>
      <c r="D890" s="13">
        <v>7898924154298</v>
      </c>
    </row>
    <row r="891" spans="1:4">
      <c r="A891" s="70" t="s">
        <v>51</v>
      </c>
      <c r="B891" s="17" t="s">
        <v>2285</v>
      </c>
      <c r="C891" s="16" t="s">
        <v>298</v>
      </c>
      <c r="D891" s="13">
        <v>7898924154281</v>
      </c>
    </row>
    <row r="892" spans="1:4">
      <c r="A892" s="70" t="s">
        <v>51</v>
      </c>
      <c r="B892" s="17" t="s">
        <v>2285</v>
      </c>
      <c r="C892" s="16" t="s">
        <v>299</v>
      </c>
      <c r="D892" s="13">
        <v>7898924154274</v>
      </c>
    </row>
    <row r="893" spans="1:4">
      <c r="A893" s="70" t="s">
        <v>51</v>
      </c>
      <c r="B893" s="17" t="s">
        <v>2285</v>
      </c>
      <c r="C893" s="16" t="s">
        <v>300</v>
      </c>
      <c r="D893" s="13">
        <v>7898924154304</v>
      </c>
    </row>
    <row r="894" spans="1:4">
      <c r="A894" s="70" t="s">
        <v>51</v>
      </c>
      <c r="B894" s="17" t="s">
        <v>2285</v>
      </c>
      <c r="C894" s="16" t="s">
        <v>301</v>
      </c>
      <c r="D894" s="13">
        <v>7898924154991</v>
      </c>
    </row>
    <row r="895" spans="1:4">
      <c r="A895" s="70" t="s">
        <v>51</v>
      </c>
      <c r="B895" s="17" t="s">
        <v>2285</v>
      </c>
      <c r="C895" s="16" t="s">
        <v>309</v>
      </c>
      <c r="D895" s="13">
        <v>7898138781372</v>
      </c>
    </row>
    <row r="896" spans="1:4">
      <c r="A896" s="70" t="s">
        <v>2225</v>
      </c>
      <c r="B896" s="17" t="s">
        <v>2285</v>
      </c>
      <c r="C896" s="16" t="s">
        <v>2231</v>
      </c>
      <c r="D896" s="13">
        <v>7896061990090</v>
      </c>
    </row>
    <row r="897" spans="1:4">
      <c r="A897" s="70" t="s">
        <v>2225</v>
      </c>
      <c r="B897" s="17" t="s">
        <v>2285</v>
      </c>
      <c r="C897" s="16" t="s">
        <v>2232</v>
      </c>
      <c r="D897" s="13">
        <v>7896061990076</v>
      </c>
    </row>
    <row r="898" spans="1:4">
      <c r="A898" s="70" t="s">
        <v>2225</v>
      </c>
      <c r="B898" s="17" t="s">
        <v>2285</v>
      </c>
      <c r="C898" s="16" t="s">
        <v>2233</v>
      </c>
      <c r="D898" s="13">
        <v>7896061990069</v>
      </c>
    </row>
    <row r="899" spans="1:4">
      <c r="A899" s="70" t="s">
        <v>2225</v>
      </c>
      <c r="B899" s="17" t="s">
        <v>2285</v>
      </c>
      <c r="C899" s="16" t="s">
        <v>2234</v>
      </c>
      <c r="D899" s="13">
        <v>7896061990120</v>
      </c>
    </row>
    <row r="900" spans="1:4">
      <c r="A900" s="70" t="s">
        <v>2225</v>
      </c>
      <c r="B900" s="17" t="s">
        <v>2285</v>
      </c>
      <c r="C900" s="16" t="s">
        <v>2235</v>
      </c>
      <c r="D900" s="13">
        <v>7896061995842</v>
      </c>
    </row>
    <row r="901" spans="1:4">
      <c r="A901" s="70" t="s">
        <v>2301</v>
      </c>
      <c r="B901" s="17" t="s">
        <v>2285</v>
      </c>
      <c r="C901" s="16" t="s">
        <v>2306</v>
      </c>
      <c r="D901" s="13">
        <v>7891522050351</v>
      </c>
    </row>
    <row r="902" spans="1:4">
      <c r="A902" s="70" t="s">
        <v>2301</v>
      </c>
      <c r="B902" s="17" t="s">
        <v>2285</v>
      </c>
      <c r="C902" s="16" t="s">
        <v>2304</v>
      </c>
      <c r="D902" s="13">
        <v>7891522050375</v>
      </c>
    </row>
    <row r="903" spans="1:4">
      <c r="A903" s="70" t="s">
        <v>2301</v>
      </c>
      <c r="B903" s="17" t="s">
        <v>2285</v>
      </c>
      <c r="C903" s="16" t="s">
        <v>2305</v>
      </c>
      <c r="D903" s="13">
        <v>7891522050368</v>
      </c>
    </row>
    <row r="904" spans="1:4">
      <c r="A904" s="70" t="s">
        <v>2301</v>
      </c>
      <c r="B904" s="17" t="s">
        <v>2285</v>
      </c>
      <c r="C904" s="16" t="s">
        <v>2303</v>
      </c>
      <c r="D904" s="13">
        <v>7891522050382</v>
      </c>
    </row>
    <row r="905" spans="1:4">
      <c r="A905" s="70" t="s">
        <v>2301</v>
      </c>
      <c r="B905" s="17" t="s">
        <v>2285</v>
      </c>
      <c r="C905" s="16" t="s">
        <v>2307</v>
      </c>
      <c r="D905" s="13">
        <v>7891522050399</v>
      </c>
    </row>
    <row r="906" spans="1:4">
      <c r="A906" s="70" t="s">
        <v>3051</v>
      </c>
      <c r="B906" s="17" t="str">
        <f>$B$92</f>
        <v>Mercearia - Básico</v>
      </c>
      <c r="C906" s="16" t="s">
        <v>2036</v>
      </c>
      <c r="D906" s="13">
        <v>7896007549689</v>
      </c>
    </row>
    <row r="907" spans="1:4">
      <c r="A907" s="70" t="s">
        <v>3051</v>
      </c>
      <c r="B907" s="17" t="str">
        <f>$B$92</f>
        <v>Mercearia - Básico</v>
      </c>
      <c r="C907" s="16" t="s">
        <v>2039</v>
      </c>
      <c r="D907" s="13">
        <v>7896007549672</v>
      </c>
    </row>
    <row r="908" spans="1:4">
      <c r="A908" s="70" t="s">
        <v>3051</v>
      </c>
      <c r="B908" s="17" t="str">
        <f>$B$92</f>
        <v>Mercearia - Básico</v>
      </c>
      <c r="C908" s="16" t="s">
        <v>2037</v>
      </c>
      <c r="D908" s="13">
        <v>7896007549696</v>
      </c>
    </row>
    <row r="909" spans="1:4">
      <c r="A909" s="70" t="s">
        <v>3051</v>
      </c>
      <c r="B909" s="17" t="str">
        <f>$B$92</f>
        <v>Mercearia - Básico</v>
      </c>
      <c r="C909" s="16" t="s">
        <v>2038</v>
      </c>
      <c r="D909" s="13">
        <v>7896007549702</v>
      </c>
    </row>
    <row r="910" spans="1:4">
      <c r="A910" s="70" t="s">
        <v>1548</v>
      </c>
      <c r="B910" s="17" t="s">
        <v>2285</v>
      </c>
      <c r="C910" s="16" t="s">
        <v>1553</v>
      </c>
      <c r="D910" s="13">
        <v>7896007550210</v>
      </c>
    </row>
    <row r="911" spans="1:4">
      <c r="A911" s="70" t="s">
        <v>1548</v>
      </c>
      <c r="B911" s="17" t="s">
        <v>2285</v>
      </c>
      <c r="C911" s="16" t="s">
        <v>1554</v>
      </c>
      <c r="D911" s="13">
        <v>7896007550203</v>
      </c>
    </row>
    <row r="912" spans="1:4">
      <c r="A912" s="70" t="s">
        <v>1548</v>
      </c>
      <c r="B912" s="17" t="s">
        <v>2285</v>
      </c>
      <c r="C912" s="16" t="s">
        <v>1567</v>
      </c>
      <c r="D912" s="13">
        <v>7896007543915</v>
      </c>
    </row>
    <row r="913" spans="1:4">
      <c r="A913" s="70" t="s">
        <v>1548</v>
      </c>
      <c r="B913" s="17" t="s">
        <v>2285</v>
      </c>
      <c r="C913" s="16" t="s">
        <v>1555</v>
      </c>
      <c r="D913" s="13">
        <v>7896007550197</v>
      </c>
    </row>
    <row r="914" spans="1:4">
      <c r="A914" s="70" t="s">
        <v>1548</v>
      </c>
      <c r="B914" s="17" t="s">
        <v>2285</v>
      </c>
      <c r="C914" s="16" t="s">
        <v>1556</v>
      </c>
      <c r="D914" s="13">
        <v>7896007550227</v>
      </c>
    </row>
    <row r="915" spans="1:4">
      <c r="A915" s="70" t="s">
        <v>1548</v>
      </c>
      <c r="B915" s="17" t="s">
        <v>2285</v>
      </c>
      <c r="C915" s="16" t="s">
        <v>1557</v>
      </c>
      <c r="D915" s="13">
        <v>7896007550234</v>
      </c>
    </row>
    <row r="916" spans="1:4">
      <c r="A916" s="70" t="s">
        <v>2827</v>
      </c>
      <c r="B916" s="17" t="str">
        <f>$B$92</f>
        <v>Mercearia - Básico</v>
      </c>
      <c r="C916" s="16" t="s">
        <v>1607</v>
      </c>
      <c r="D916" s="13">
        <v>7896007551309</v>
      </c>
    </row>
    <row r="917" spans="1:4">
      <c r="A917" s="70" t="s">
        <v>2827</v>
      </c>
      <c r="B917" s="17" t="str">
        <f>$B$92</f>
        <v>Mercearia - Básico</v>
      </c>
      <c r="C917" s="16" t="s">
        <v>1608</v>
      </c>
      <c r="D917" s="13">
        <v>7896007551316</v>
      </c>
    </row>
    <row r="918" spans="1:4">
      <c r="A918" s="70" t="s">
        <v>2827</v>
      </c>
      <c r="B918" s="17" t="str">
        <f>$B$92</f>
        <v>Mercearia - Básico</v>
      </c>
      <c r="C918" s="16" t="s">
        <v>1609</v>
      </c>
      <c r="D918" s="13">
        <v>7896007551323</v>
      </c>
    </row>
    <row r="919" spans="1:4">
      <c r="A919" s="70" t="s">
        <v>2827</v>
      </c>
      <c r="B919" s="17" t="str">
        <f>$B$92</f>
        <v>Mercearia - Básico</v>
      </c>
      <c r="C919" s="16" t="s">
        <v>1610</v>
      </c>
      <c r="D919" s="13">
        <v>7896007551330</v>
      </c>
    </row>
    <row r="920" spans="1:4">
      <c r="A920" s="70" t="s">
        <v>2827</v>
      </c>
      <c r="B920" s="17" t="str">
        <f>$B$92</f>
        <v>Mercearia - Básico</v>
      </c>
      <c r="C920" s="16" t="s">
        <v>1611</v>
      </c>
      <c r="D920" s="13">
        <v>7896007551347</v>
      </c>
    </row>
    <row r="921" spans="1:4">
      <c r="A921" s="70" t="s">
        <v>14</v>
      </c>
      <c r="B921" s="17" t="s">
        <v>2285</v>
      </c>
      <c r="C921" s="16" t="s">
        <v>218</v>
      </c>
      <c r="D921" s="13">
        <v>7500435106580</v>
      </c>
    </row>
    <row r="922" spans="1:4">
      <c r="A922" s="70" t="s">
        <v>14</v>
      </c>
      <c r="B922" s="17" t="s">
        <v>2285</v>
      </c>
      <c r="C922" s="16" t="s">
        <v>219</v>
      </c>
      <c r="D922" s="13">
        <v>7500435106573</v>
      </c>
    </row>
    <row r="923" spans="1:4">
      <c r="A923" s="70" t="s">
        <v>14</v>
      </c>
      <c r="B923" s="17" t="s">
        <v>2285</v>
      </c>
      <c r="C923" s="16" t="s">
        <v>220</v>
      </c>
      <c r="D923" s="13">
        <v>7500435106566</v>
      </c>
    </row>
    <row r="924" spans="1:4">
      <c r="A924" s="70" t="s">
        <v>14</v>
      </c>
      <c r="B924" s="17" t="s">
        <v>2285</v>
      </c>
      <c r="C924" s="16" t="s">
        <v>219</v>
      </c>
      <c r="D924" s="13">
        <v>7500435181747</v>
      </c>
    </row>
    <row r="925" spans="1:4">
      <c r="A925" s="70" t="s">
        <v>14</v>
      </c>
      <c r="B925" s="17" t="s">
        <v>2285</v>
      </c>
      <c r="C925" s="16" t="s">
        <v>221</v>
      </c>
      <c r="D925" s="13">
        <v>7500435106597</v>
      </c>
    </row>
    <row r="926" spans="1:4">
      <c r="A926" s="70" t="s">
        <v>14</v>
      </c>
      <c r="B926" s="17" t="s">
        <v>2285</v>
      </c>
      <c r="C926" s="16" t="s">
        <v>222</v>
      </c>
      <c r="D926" s="13">
        <v>7500435132589</v>
      </c>
    </row>
    <row r="927" spans="1:4">
      <c r="A927" s="70" t="s">
        <v>3458</v>
      </c>
      <c r="B927" s="17" t="s">
        <v>2285</v>
      </c>
      <c r="C927" s="31" t="s">
        <v>605</v>
      </c>
      <c r="D927" s="14">
        <v>7896007550210</v>
      </c>
    </row>
    <row r="928" spans="1:4">
      <c r="A928" s="70" t="s">
        <v>3458</v>
      </c>
      <c r="B928" s="17" t="s">
        <v>2285</v>
      </c>
      <c r="C928" s="31" t="s">
        <v>606</v>
      </c>
      <c r="D928" s="14">
        <v>7896007550203</v>
      </c>
    </row>
    <row r="929" spans="1:4">
      <c r="A929" s="70" t="s">
        <v>3458</v>
      </c>
      <c r="B929" s="17" t="s">
        <v>2285</v>
      </c>
      <c r="C929" s="31" t="s">
        <v>607</v>
      </c>
      <c r="D929" s="14">
        <v>7896007550197</v>
      </c>
    </row>
    <row r="930" spans="1:4">
      <c r="A930" s="70" t="s">
        <v>3458</v>
      </c>
      <c r="B930" s="17" t="s">
        <v>2285</v>
      </c>
      <c r="C930" s="31" t="s">
        <v>608</v>
      </c>
      <c r="D930" s="14">
        <v>7896007550227</v>
      </c>
    </row>
    <row r="931" spans="1:4">
      <c r="A931" s="70" t="s">
        <v>3458</v>
      </c>
      <c r="B931" s="17" t="s">
        <v>2285</v>
      </c>
      <c r="C931" s="31" t="s">
        <v>609</v>
      </c>
      <c r="D931" s="14">
        <v>7896007550234</v>
      </c>
    </row>
    <row r="932" spans="1:4">
      <c r="A932" s="70" t="s">
        <v>143</v>
      </c>
      <c r="B932" s="17" t="s">
        <v>2285</v>
      </c>
      <c r="C932" s="16" t="s">
        <v>177</v>
      </c>
      <c r="D932" s="13">
        <v>7896007543922</v>
      </c>
    </row>
    <row r="933" spans="1:4">
      <c r="A933" s="70" t="s">
        <v>143</v>
      </c>
      <c r="B933" s="17" t="s">
        <v>2285</v>
      </c>
      <c r="C933" s="16" t="s">
        <v>422</v>
      </c>
      <c r="D933" s="13">
        <v>7896007543915</v>
      </c>
    </row>
    <row r="934" spans="1:4">
      <c r="A934" s="70" t="s">
        <v>143</v>
      </c>
      <c r="B934" s="17" t="s">
        <v>2285</v>
      </c>
      <c r="C934" s="16" t="s">
        <v>423</v>
      </c>
      <c r="D934" s="13">
        <v>7896007543908</v>
      </c>
    </row>
    <row r="935" spans="1:4">
      <c r="A935" s="70" t="s">
        <v>143</v>
      </c>
      <c r="B935" s="17" t="s">
        <v>2285</v>
      </c>
      <c r="C935" s="16" t="s">
        <v>424</v>
      </c>
      <c r="D935" s="13">
        <v>7896007543892</v>
      </c>
    </row>
    <row r="936" spans="1:4">
      <c r="A936" s="70" t="s">
        <v>143</v>
      </c>
      <c r="B936" s="17" t="s">
        <v>2285</v>
      </c>
      <c r="C936" s="16" t="s">
        <v>425</v>
      </c>
      <c r="D936" s="13">
        <v>7896007547975</v>
      </c>
    </row>
    <row r="937" spans="1:4">
      <c r="A937" s="70" t="s">
        <v>3459</v>
      </c>
      <c r="B937" s="17" t="s">
        <v>2285</v>
      </c>
      <c r="C937" s="16" t="s">
        <v>366</v>
      </c>
      <c r="D937" s="13">
        <v>7896007510788</v>
      </c>
    </row>
    <row r="938" spans="1:4">
      <c r="A938" s="70" t="s">
        <v>3459</v>
      </c>
      <c r="B938" s="17" t="s">
        <v>2285</v>
      </c>
      <c r="C938" s="16" t="s">
        <v>367</v>
      </c>
      <c r="D938" s="13">
        <v>7896007510771</v>
      </c>
    </row>
    <row r="939" spans="1:4">
      <c r="A939" s="70" t="s">
        <v>3459</v>
      </c>
      <c r="B939" s="17" t="s">
        <v>2285</v>
      </c>
      <c r="C939" s="16" t="s">
        <v>368</v>
      </c>
      <c r="D939" s="13">
        <v>7896007510764</v>
      </c>
    </row>
    <row r="940" spans="1:4">
      <c r="A940" s="70" t="s">
        <v>3459</v>
      </c>
      <c r="B940" s="17" t="s">
        <v>2285</v>
      </c>
      <c r="C940" s="16" t="s">
        <v>369</v>
      </c>
      <c r="D940" s="13">
        <v>7896007511907</v>
      </c>
    </row>
    <row r="941" spans="1:4">
      <c r="A941" s="70" t="s">
        <v>1456</v>
      </c>
      <c r="B941" s="17" t="s">
        <v>2282</v>
      </c>
      <c r="C941" s="16" t="s">
        <v>1458</v>
      </c>
      <c r="D941" s="13">
        <v>98205</v>
      </c>
    </row>
    <row r="942" spans="1:4">
      <c r="A942" s="70" t="s">
        <v>1364</v>
      </c>
      <c r="B942" s="17" t="s">
        <v>2282</v>
      </c>
      <c r="C942" s="16" t="s">
        <v>1399</v>
      </c>
      <c r="D942" s="13">
        <v>99097</v>
      </c>
    </row>
    <row r="943" spans="1:4">
      <c r="A943" s="70" t="s">
        <v>831</v>
      </c>
      <c r="B943" s="17" t="s">
        <v>2282</v>
      </c>
      <c r="C943" s="16" t="s">
        <v>408</v>
      </c>
      <c r="D943" s="13">
        <v>98298</v>
      </c>
    </row>
    <row r="944" spans="1:4">
      <c r="A944" s="70" t="s">
        <v>1551</v>
      </c>
      <c r="B944" s="17" t="s">
        <v>2282</v>
      </c>
      <c r="C944" s="16" t="s">
        <v>1564</v>
      </c>
      <c r="D944" s="13">
        <v>98298</v>
      </c>
    </row>
    <row r="945" spans="1:4">
      <c r="A945" s="70" t="s">
        <v>2302</v>
      </c>
      <c r="B945" s="17" t="s">
        <v>2287</v>
      </c>
      <c r="C945" s="16" t="s">
        <v>2309</v>
      </c>
      <c r="D945" s="13">
        <v>7891023547176</v>
      </c>
    </row>
    <row r="946" spans="1:4">
      <c r="A946" s="70" t="s">
        <v>2302</v>
      </c>
      <c r="B946" s="17" t="s">
        <v>2287</v>
      </c>
      <c r="C946" s="16" t="s">
        <v>2310</v>
      </c>
      <c r="D946" s="13">
        <v>7891023087009</v>
      </c>
    </row>
    <row r="947" spans="1:4">
      <c r="A947" s="70" t="s">
        <v>1768</v>
      </c>
      <c r="B947" s="17" t="s">
        <v>2287</v>
      </c>
      <c r="C947" s="16" t="s">
        <v>1773</v>
      </c>
      <c r="D947" s="13">
        <v>7891023545172</v>
      </c>
    </row>
    <row r="948" spans="1:4">
      <c r="A948" s="70" t="s">
        <v>1768</v>
      </c>
      <c r="B948" s="17" t="s">
        <v>2287</v>
      </c>
      <c r="C948" s="16" t="s">
        <v>1773</v>
      </c>
      <c r="D948" s="13">
        <v>7891023554655</v>
      </c>
    </row>
    <row r="949" spans="1:4">
      <c r="A949" s="70" t="s">
        <v>1768</v>
      </c>
      <c r="B949" s="17" t="s">
        <v>2287</v>
      </c>
      <c r="C949" s="16" t="s">
        <v>1774</v>
      </c>
      <c r="D949" s="13">
        <v>7891023074894</v>
      </c>
    </row>
    <row r="950" spans="1:4">
      <c r="A950" s="70" t="s">
        <v>3460</v>
      </c>
      <c r="B950" s="17" t="s">
        <v>2287</v>
      </c>
      <c r="C950" s="16" t="s">
        <v>2149</v>
      </c>
      <c r="D950" s="13">
        <v>7891023555805</v>
      </c>
    </row>
    <row r="951" spans="1:4">
      <c r="A951" s="70" t="s">
        <v>2315</v>
      </c>
      <c r="B951" s="17" t="s">
        <v>2287</v>
      </c>
      <c r="C951" s="16" t="s">
        <v>2322</v>
      </c>
      <c r="D951" s="13">
        <v>7898955019368</v>
      </c>
    </row>
    <row r="952" spans="1:4">
      <c r="A952" s="70" t="s">
        <v>2315</v>
      </c>
      <c r="B952" s="17" t="s">
        <v>2287</v>
      </c>
      <c r="C952" s="16" t="s">
        <v>2323</v>
      </c>
      <c r="D952" s="13">
        <v>7898955019375</v>
      </c>
    </row>
    <row r="953" spans="1:4">
      <c r="A953" s="70" t="s">
        <v>2315</v>
      </c>
      <c r="B953" s="17" t="s">
        <v>2287</v>
      </c>
      <c r="C953" s="16" t="s">
        <v>2324</v>
      </c>
      <c r="D953" s="13">
        <v>7898955019344</v>
      </c>
    </row>
    <row r="954" spans="1:4">
      <c r="A954" s="70" t="s">
        <v>2315</v>
      </c>
      <c r="B954" s="17" t="s">
        <v>2287</v>
      </c>
      <c r="C954" s="16" t="s">
        <v>2325</v>
      </c>
      <c r="D954" s="13">
        <v>7898955019351</v>
      </c>
    </row>
    <row r="955" spans="1:4">
      <c r="A955" s="70" t="s">
        <v>2315</v>
      </c>
      <c r="B955" s="17" t="s">
        <v>2287</v>
      </c>
      <c r="C955" s="16" t="s">
        <v>2326</v>
      </c>
      <c r="D955" s="13">
        <v>7898955019726</v>
      </c>
    </row>
    <row r="956" spans="1:4">
      <c r="A956" s="70" t="s">
        <v>661</v>
      </c>
      <c r="B956" s="17" t="s">
        <v>2286</v>
      </c>
      <c r="C956" s="16" t="s">
        <v>695</v>
      </c>
      <c r="D956" s="13">
        <v>7896090704460</v>
      </c>
    </row>
    <row r="957" spans="1:4">
      <c r="A957" s="70" t="s">
        <v>1866</v>
      </c>
      <c r="B957" s="17" t="s">
        <v>2283</v>
      </c>
      <c r="C957" s="16" t="s">
        <v>1873</v>
      </c>
      <c r="D957" s="13">
        <v>5000291020706</v>
      </c>
    </row>
    <row r="958" spans="1:4">
      <c r="A958" s="70" t="s">
        <v>41</v>
      </c>
      <c r="B958" s="17" t="s">
        <v>2282</v>
      </c>
      <c r="C958" s="16" t="s">
        <v>1344</v>
      </c>
      <c r="D958" s="13">
        <v>7896275940577</v>
      </c>
    </row>
    <row r="959" spans="1:4">
      <c r="A959" s="70" t="s">
        <v>1694</v>
      </c>
      <c r="B959" s="17" t="s">
        <v>2282</v>
      </c>
      <c r="C959" s="16" t="s">
        <v>1699</v>
      </c>
      <c r="D959" s="13">
        <v>7896780400016</v>
      </c>
    </row>
    <row r="960" spans="1:4">
      <c r="A960" s="70" t="s">
        <v>872</v>
      </c>
      <c r="B960" s="17" t="s">
        <v>2282</v>
      </c>
      <c r="C960" s="16" t="s">
        <v>904</v>
      </c>
      <c r="D960" s="13">
        <v>7896780400238</v>
      </c>
    </row>
    <row r="961" spans="1:4">
      <c r="A961" s="70" t="s">
        <v>3461</v>
      </c>
      <c r="B961" s="17" t="s">
        <v>2282</v>
      </c>
      <c r="C961" s="16" t="s">
        <v>1756</v>
      </c>
      <c r="D961" s="13">
        <v>7893000387096</v>
      </c>
    </row>
    <row r="962" spans="1:4">
      <c r="A962" s="70" t="s">
        <v>2746</v>
      </c>
      <c r="B962" s="17" t="s">
        <v>2282</v>
      </c>
      <c r="C962" s="16" t="s">
        <v>1717</v>
      </c>
      <c r="D962" s="13">
        <v>7891515323691</v>
      </c>
    </row>
    <row r="963" spans="1:4">
      <c r="A963" s="70" t="s">
        <v>2748</v>
      </c>
      <c r="B963" s="17" t="s">
        <v>2282</v>
      </c>
      <c r="C963" s="16" t="s">
        <v>1833</v>
      </c>
      <c r="D963" s="13">
        <v>7891515883034</v>
      </c>
    </row>
    <row r="964" spans="1:4">
      <c r="A964" s="70" t="s">
        <v>570</v>
      </c>
      <c r="B964" s="17" t="s">
        <v>2282</v>
      </c>
      <c r="C964" s="16" t="s">
        <v>572</v>
      </c>
      <c r="D964" s="13">
        <v>7894904002450</v>
      </c>
    </row>
    <row r="965" spans="1:4">
      <c r="A965" s="70" t="s">
        <v>1955</v>
      </c>
      <c r="B965" s="17" t="s">
        <v>2286</v>
      </c>
      <c r="C965" s="16" t="s">
        <v>226</v>
      </c>
      <c r="D965" s="13">
        <v>7894650003787</v>
      </c>
    </row>
    <row r="966" spans="1:4">
      <c r="A966" s="70" t="s">
        <v>1955</v>
      </c>
      <c r="B966" s="17" t="s">
        <v>2286</v>
      </c>
      <c r="C966" s="16" t="s">
        <v>227</v>
      </c>
      <c r="D966" s="13">
        <v>7894650004227</v>
      </c>
    </row>
    <row r="967" spans="1:4">
      <c r="A967" s="70" t="s">
        <v>100</v>
      </c>
      <c r="B967" s="17" t="s">
        <v>2286</v>
      </c>
      <c r="C967" s="16" t="s">
        <v>226</v>
      </c>
      <c r="D967" s="13">
        <v>7894650003787</v>
      </c>
    </row>
    <row r="968" spans="1:4">
      <c r="A968" s="70" t="s">
        <v>100</v>
      </c>
      <c r="B968" s="17" t="s">
        <v>2286</v>
      </c>
      <c r="C968" s="16" t="s">
        <v>227</v>
      </c>
      <c r="D968" s="13">
        <v>7894650004227</v>
      </c>
    </row>
    <row r="969" spans="1:4">
      <c r="A969" s="70" t="s">
        <v>3462</v>
      </c>
      <c r="B969" s="17" t="s">
        <v>2286</v>
      </c>
      <c r="C969" s="16" t="s">
        <v>1859</v>
      </c>
      <c r="D969" s="13">
        <v>7894650014295</v>
      </c>
    </row>
    <row r="970" spans="1:4">
      <c r="A970" s="70" t="s">
        <v>3462</v>
      </c>
      <c r="B970" s="17" t="s">
        <v>2286</v>
      </c>
      <c r="C970" s="16" t="s">
        <v>1860</v>
      </c>
      <c r="D970" s="13">
        <v>7894650003879</v>
      </c>
    </row>
    <row r="971" spans="1:4">
      <c r="A971" s="70" t="s">
        <v>3462</v>
      </c>
      <c r="B971" s="17" t="s">
        <v>2286</v>
      </c>
      <c r="C971" s="16" t="s">
        <v>1861</v>
      </c>
      <c r="D971" s="13">
        <v>7894650003848</v>
      </c>
    </row>
    <row r="972" spans="1:4">
      <c r="A972" s="70" t="s">
        <v>2025</v>
      </c>
      <c r="B972" s="17" t="s">
        <v>2286</v>
      </c>
      <c r="C972" s="16" t="s">
        <v>1263</v>
      </c>
      <c r="D972" s="13">
        <v>7897664170742</v>
      </c>
    </row>
    <row r="973" spans="1:4">
      <c r="A973" s="70" t="s">
        <v>2025</v>
      </c>
      <c r="B973" s="17" t="s">
        <v>2286</v>
      </c>
      <c r="C973" s="16" t="s">
        <v>1262</v>
      </c>
      <c r="D973" s="13">
        <v>7897664170759</v>
      </c>
    </row>
    <row r="974" spans="1:4">
      <c r="A974" s="70" t="s">
        <v>2025</v>
      </c>
      <c r="B974" s="17" t="s">
        <v>2286</v>
      </c>
      <c r="C974" s="16" t="s">
        <v>210</v>
      </c>
      <c r="D974" s="13">
        <v>7897664170735</v>
      </c>
    </row>
    <row r="975" spans="1:4">
      <c r="A975" s="70" t="s">
        <v>2025</v>
      </c>
      <c r="B975" s="17" t="s">
        <v>2286</v>
      </c>
      <c r="C975" s="16" t="s">
        <v>1936</v>
      </c>
      <c r="D975" s="13">
        <v>7897664170766</v>
      </c>
    </row>
    <row r="976" spans="1:4">
      <c r="A976" s="70" t="s">
        <v>1245</v>
      </c>
      <c r="B976" s="17" t="s">
        <v>2286</v>
      </c>
      <c r="C976" s="16" t="s">
        <v>1250</v>
      </c>
      <c r="D976" s="13">
        <v>7897664170773</v>
      </c>
    </row>
    <row r="977" spans="1:4">
      <c r="A977" s="70" t="s">
        <v>104</v>
      </c>
      <c r="B977" s="17" t="s">
        <v>2286</v>
      </c>
      <c r="C977" s="16" t="s">
        <v>1990</v>
      </c>
      <c r="D977" s="13">
        <v>7897664172012</v>
      </c>
    </row>
    <row r="978" spans="1:4">
      <c r="A978" s="70" t="s">
        <v>91</v>
      </c>
      <c r="B978" s="17" t="s">
        <v>2286</v>
      </c>
      <c r="C978" s="16" t="s">
        <v>210</v>
      </c>
      <c r="D978" s="13">
        <v>7897664170735</v>
      </c>
    </row>
    <row r="979" spans="1:4">
      <c r="A979" s="70" t="s">
        <v>1199</v>
      </c>
      <c r="B979" s="17" t="s">
        <v>2288</v>
      </c>
      <c r="C979" s="16" t="s">
        <v>1205</v>
      </c>
      <c r="D979" s="13">
        <v>7891025700609</v>
      </c>
    </row>
    <row r="980" spans="1:4">
      <c r="A980" s="70" t="s">
        <v>1199</v>
      </c>
      <c r="B980" s="17" t="s">
        <v>2288</v>
      </c>
      <c r="C980" s="16" t="s">
        <v>1215</v>
      </c>
      <c r="D980" s="13">
        <v>7891025700579</v>
      </c>
    </row>
    <row r="981" spans="1:4">
      <c r="A981" s="70" t="s">
        <v>940</v>
      </c>
      <c r="B981" s="17" t="s">
        <v>2288</v>
      </c>
      <c r="C981" s="16" t="s">
        <v>953</v>
      </c>
      <c r="D981" s="13">
        <v>7896275980290</v>
      </c>
    </row>
    <row r="982" spans="1:4">
      <c r="A982" s="70" t="s">
        <v>940</v>
      </c>
      <c r="B982" s="17" t="s">
        <v>2288</v>
      </c>
      <c r="C982" s="16" t="s">
        <v>954</v>
      </c>
      <c r="D982" s="13">
        <v>7896275980436</v>
      </c>
    </row>
    <row r="983" spans="1:4">
      <c r="A983" s="70" t="s">
        <v>940</v>
      </c>
      <c r="B983" s="17" t="s">
        <v>2288</v>
      </c>
      <c r="C983" s="16" t="s">
        <v>955</v>
      </c>
      <c r="D983" s="13">
        <v>7896275970789</v>
      </c>
    </row>
    <row r="984" spans="1:4">
      <c r="A984" s="70" t="s">
        <v>940</v>
      </c>
      <c r="B984" s="17" t="s">
        <v>2288</v>
      </c>
      <c r="C984" s="16" t="s">
        <v>956</v>
      </c>
      <c r="D984" s="13">
        <v>7896275970796</v>
      </c>
    </row>
    <row r="985" spans="1:4">
      <c r="A985" s="70" t="s">
        <v>1314</v>
      </c>
      <c r="B985" s="17" t="s">
        <v>2288</v>
      </c>
      <c r="C985" s="16" t="s">
        <v>1321</v>
      </c>
      <c r="D985" s="13">
        <v>7891999015587</v>
      </c>
    </row>
    <row r="986" spans="1:4">
      <c r="A986" s="70" t="s">
        <v>1314</v>
      </c>
      <c r="B986" s="17" t="s">
        <v>2288</v>
      </c>
      <c r="C986" s="16" t="s">
        <v>1322</v>
      </c>
      <c r="D986" s="13">
        <v>7891999009883</v>
      </c>
    </row>
    <row r="987" spans="1:4">
      <c r="A987" s="70" t="s">
        <v>1314</v>
      </c>
      <c r="B987" s="17" t="s">
        <v>2288</v>
      </c>
      <c r="C987" s="16" t="s">
        <v>1323</v>
      </c>
      <c r="D987" s="13">
        <v>7891999003065</v>
      </c>
    </row>
    <row r="988" spans="1:4">
      <c r="A988" s="70" t="s">
        <v>1314</v>
      </c>
      <c r="B988" s="17" t="s">
        <v>2288</v>
      </c>
      <c r="C988" s="16" t="s">
        <v>1324</v>
      </c>
      <c r="D988" s="13">
        <v>7891999011398</v>
      </c>
    </row>
    <row r="989" spans="1:4">
      <c r="A989" s="70" t="s">
        <v>1314</v>
      </c>
      <c r="B989" s="17" t="s">
        <v>2288</v>
      </c>
      <c r="C989" s="16" t="s">
        <v>1325</v>
      </c>
      <c r="D989" s="13">
        <v>7891999009869</v>
      </c>
    </row>
    <row r="990" spans="1:4">
      <c r="A990" s="70" t="s">
        <v>1314</v>
      </c>
      <c r="B990" s="17" t="s">
        <v>2288</v>
      </c>
      <c r="C990" s="16" t="s">
        <v>1326</v>
      </c>
      <c r="D990" s="13">
        <v>7891999013361</v>
      </c>
    </row>
    <row r="991" spans="1:4">
      <c r="A991" s="70" t="s">
        <v>1314</v>
      </c>
      <c r="B991" s="17" t="s">
        <v>2288</v>
      </c>
      <c r="C991" s="16" t="s">
        <v>1327</v>
      </c>
      <c r="D991" s="13">
        <v>7891999004734</v>
      </c>
    </row>
    <row r="992" spans="1:4">
      <c r="A992" s="70" t="s">
        <v>1314</v>
      </c>
      <c r="B992" s="17" t="s">
        <v>2288</v>
      </c>
      <c r="C992" s="16" t="s">
        <v>1328</v>
      </c>
      <c r="D992" s="13">
        <v>7891999009739</v>
      </c>
    </row>
    <row r="993" spans="1:4">
      <c r="A993" s="70" t="s">
        <v>1314</v>
      </c>
      <c r="B993" s="17" t="s">
        <v>2288</v>
      </c>
      <c r="C993" s="16" t="s">
        <v>1329</v>
      </c>
      <c r="D993" s="13">
        <v>7891999014757</v>
      </c>
    </row>
    <row r="994" spans="1:4">
      <c r="A994" s="70" t="s">
        <v>1314</v>
      </c>
      <c r="B994" s="17" t="s">
        <v>2288</v>
      </c>
      <c r="C994" s="16" t="s">
        <v>1330</v>
      </c>
      <c r="D994" s="13">
        <v>7891999014740</v>
      </c>
    </row>
    <row r="995" spans="1:4">
      <c r="A995" s="70" t="s">
        <v>1314</v>
      </c>
      <c r="B995" s="17" t="s">
        <v>2288</v>
      </c>
      <c r="C995" s="16" t="s">
        <v>1331</v>
      </c>
      <c r="D995" s="13">
        <v>7891999003690</v>
      </c>
    </row>
    <row r="996" spans="1:4">
      <c r="A996" s="70" t="s">
        <v>1314</v>
      </c>
      <c r="B996" s="17" t="s">
        <v>2288</v>
      </c>
      <c r="C996" s="16" t="s">
        <v>1332</v>
      </c>
      <c r="D996" s="13">
        <v>7891999003683</v>
      </c>
    </row>
    <row r="997" spans="1:4">
      <c r="A997" s="70" t="s">
        <v>1314</v>
      </c>
      <c r="B997" s="17" t="s">
        <v>2288</v>
      </c>
      <c r="C997" s="16" t="s">
        <v>1333</v>
      </c>
      <c r="D997" s="13">
        <v>7891999006318</v>
      </c>
    </row>
    <row r="998" spans="1:4">
      <c r="A998" s="70" t="s">
        <v>1314</v>
      </c>
      <c r="B998" s="17" t="s">
        <v>2288</v>
      </c>
      <c r="C998" s="16" t="s">
        <v>1334</v>
      </c>
      <c r="D998" s="13">
        <v>7891999009746</v>
      </c>
    </row>
    <row r="999" spans="1:4">
      <c r="A999" s="70" t="s">
        <v>1314</v>
      </c>
      <c r="B999" s="17" t="s">
        <v>2288</v>
      </c>
      <c r="C999" s="16" t="s">
        <v>1335</v>
      </c>
      <c r="D999" s="13">
        <v>7891999013378</v>
      </c>
    </row>
    <row r="1000" spans="1:4">
      <c r="A1000" s="70" t="s">
        <v>1314</v>
      </c>
      <c r="B1000" s="17" t="s">
        <v>2288</v>
      </c>
      <c r="C1000" s="16" t="s">
        <v>1336</v>
      </c>
      <c r="D1000" s="13">
        <v>7891999006783</v>
      </c>
    </row>
    <row r="1001" spans="1:4">
      <c r="A1001" s="70" t="s">
        <v>1314</v>
      </c>
      <c r="B1001" s="17" t="s">
        <v>2288</v>
      </c>
      <c r="C1001" s="16" t="s">
        <v>1337</v>
      </c>
      <c r="D1001" s="13">
        <v>7891999009722</v>
      </c>
    </row>
    <row r="1002" spans="1:4">
      <c r="A1002" s="70" t="s">
        <v>1314</v>
      </c>
      <c r="B1002" s="17" t="s">
        <v>2288</v>
      </c>
      <c r="C1002" s="16" t="s">
        <v>1338</v>
      </c>
      <c r="D1002" s="13">
        <v>7891999015570</v>
      </c>
    </row>
    <row r="1003" spans="1:4">
      <c r="A1003" s="70" t="s">
        <v>1314</v>
      </c>
      <c r="B1003" s="17" t="s">
        <v>2288</v>
      </c>
      <c r="C1003" s="16" t="s">
        <v>1339</v>
      </c>
      <c r="D1003" s="13">
        <v>7891999013118</v>
      </c>
    </row>
    <row r="1004" spans="1:4">
      <c r="A1004" s="70" t="s">
        <v>1314</v>
      </c>
      <c r="B1004" s="17" t="s">
        <v>2288</v>
      </c>
      <c r="C1004" s="16" t="s">
        <v>1340</v>
      </c>
      <c r="D1004" s="13">
        <v>7891999013125</v>
      </c>
    </row>
    <row r="1005" spans="1:4">
      <c r="A1005" s="70" t="s">
        <v>1314</v>
      </c>
      <c r="B1005" s="17" t="s">
        <v>2288</v>
      </c>
      <c r="C1005" s="16" t="s">
        <v>1341</v>
      </c>
      <c r="D1005" s="13">
        <v>7891999014467</v>
      </c>
    </row>
    <row r="1006" spans="1:4">
      <c r="A1006" s="70" t="s">
        <v>1314</v>
      </c>
      <c r="B1006" s="17" t="s">
        <v>2288</v>
      </c>
      <c r="C1006" s="16" t="s">
        <v>1365</v>
      </c>
      <c r="D1006" s="13">
        <v>7891999012388</v>
      </c>
    </row>
    <row r="1007" spans="1:4">
      <c r="A1007" s="70" t="s">
        <v>1314</v>
      </c>
      <c r="B1007" s="17" t="s">
        <v>2288</v>
      </c>
      <c r="C1007" s="16" t="s">
        <v>1366</v>
      </c>
      <c r="D1007" s="13">
        <v>7891999003706</v>
      </c>
    </row>
    <row r="1008" spans="1:4">
      <c r="A1008" s="70" t="s">
        <v>1314</v>
      </c>
      <c r="B1008" s="17" t="s">
        <v>2288</v>
      </c>
      <c r="C1008" s="16" t="s">
        <v>1367</v>
      </c>
      <c r="D1008" s="13">
        <v>7891999003713</v>
      </c>
    </row>
    <row r="1009" spans="1:4">
      <c r="A1009" s="70" t="s">
        <v>1314</v>
      </c>
      <c r="B1009" s="17" t="s">
        <v>2288</v>
      </c>
      <c r="C1009" s="16" t="s">
        <v>1367</v>
      </c>
      <c r="D1009" s="13">
        <v>7891999010742</v>
      </c>
    </row>
    <row r="1010" spans="1:4">
      <c r="A1010" s="70" t="s">
        <v>1314</v>
      </c>
      <c r="B1010" s="17" t="s">
        <v>2288</v>
      </c>
      <c r="C1010" s="16" t="s">
        <v>1368</v>
      </c>
      <c r="D1010" s="13">
        <v>7891999010735</v>
      </c>
    </row>
    <row r="1011" spans="1:4">
      <c r="A1011" s="70" t="s">
        <v>1314</v>
      </c>
      <c r="B1011" s="17" t="s">
        <v>2288</v>
      </c>
      <c r="C1011" s="16" t="s">
        <v>1342</v>
      </c>
      <c r="D1011" s="13">
        <v>7891999003072</v>
      </c>
    </row>
    <row r="1012" spans="1:4">
      <c r="A1012" s="70" t="s">
        <v>1841</v>
      </c>
      <c r="B1012" s="17" t="s">
        <v>2288</v>
      </c>
      <c r="C1012" s="16" t="s">
        <v>1842</v>
      </c>
      <c r="D1012" s="13">
        <v>7891025121152</v>
      </c>
    </row>
    <row r="1013" spans="1:4">
      <c r="A1013" s="70" t="s">
        <v>1450</v>
      </c>
      <c r="B1013" s="17" t="s">
        <v>2288</v>
      </c>
      <c r="C1013" s="16" t="s">
        <v>1455</v>
      </c>
      <c r="D1013" s="13">
        <v>7891025700579</v>
      </c>
    </row>
    <row r="1014" spans="1:4">
      <c r="A1014" s="70" t="s">
        <v>1450</v>
      </c>
      <c r="B1014" s="17" t="s">
        <v>2288</v>
      </c>
      <c r="C1014" s="16" t="s">
        <v>1205</v>
      </c>
      <c r="D1014" s="13">
        <v>7891025700609</v>
      </c>
    </row>
    <row r="1015" spans="1:4">
      <c r="A1015" s="70" t="s">
        <v>1789</v>
      </c>
      <c r="B1015" s="17" t="s">
        <v>2288</v>
      </c>
      <c r="C1015" s="16" t="s">
        <v>1794</v>
      </c>
      <c r="D1015" s="13">
        <v>7891025121107</v>
      </c>
    </row>
    <row r="1016" spans="1:4">
      <c r="A1016" s="70" t="s">
        <v>1789</v>
      </c>
      <c r="B1016" s="17" t="s">
        <v>2288</v>
      </c>
      <c r="C1016" s="16" t="s">
        <v>1795</v>
      </c>
      <c r="D1016" s="13">
        <v>7891025121121</v>
      </c>
    </row>
    <row r="1017" spans="1:4">
      <c r="A1017" s="70" t="s">
        <v>42</v>
      </c>
      <c r="B1017" s="17" t="s">
        <v>2283</v>
      </c>
      <c r="C1017" s="16" t="s">
        <v>201</v>
      </c>
      <c r="D1017" s="13">
        <v>7892840808013</v>
      </c>
    </row>
    <row r="1018" spans="1:4">
      <c r="A1018" s="70" t="s">
        <v>42</v>
      </c>
      <c r="B1018" s="17" t="s">
        <v>2283</v>
      </c>
      <c r="C1018" s="16" t="s">
        <v>202</v>
      </c>
      <c r="D1018" s="13">
        <v>7892840808020</v>
      </c>
    </row>
    <row r="1019" spans="1:4">
      <c r="A1019" s="70" t="s">
        <v>42</v>
      </c>
      <c r="B1019" s="17" t="s">
        <v>2283</v>
      </c>
      <c r="C1019" s="16" t="s">
        <v>203</v>
      </c>
      <c r="D1019" s="13">
        <v>7892840808037</v>
      </c>
    </row>
    <row r="1020" spans="1:4">
      <c r="A1020" s="70" t="s">
        <v>42</v>
      </c>
      <c r="B1020" s="17" t="s">
        <v>2283</v>
      </c>
      <c r="C1020" s="16" t="s">
        <v>204</v>
      </c>
      <c r="D1020" s="13">
        <v>7892840808068</v>
      </c>
    </row>
    <row r="1021" spans="1:4">
      <c r="A1021" s="70" t="s">
        <v>42</v>
      </c>
      <c r="B1021" s="17" t="s">
        <v>2283</v>
      </c>
      <c r="C1021" s="16" t="s">
        <v>205</v>
      </c>
      <c r="D1021" s="13">
        <v>7892840808174</v>
      </c>
    </row>
    <row r="1022" spans="1:4">
      <c r="A1022" s="70" t="s">
        <v>42</v>
      </c>
      <c r="B1022" s="17" t="s">
        <v>2283</v>
      </c>
      <c r="C1022" s="16" t="s">
        <v>206</v>
      </c>
      <c r="D1022" s="13">
        <v>7892840808044</v>
      </c>
    </row>
    <row r="1023" spans="1:4">
      <c r="A1023" s="70" t="s">
        <v>42</v>
      </c>
      <c r="B1023" s="17" t="s">
        <v>2283</v>
      </c>
      <c r="C1023" s="16" t="s">
        <v>207</v>
      </c>
      <c r="D1023" s="13">
        <v>7892840808051</v>
      </c>
    </row>
    <row r="1024" spans="1:4">
      <c r="A1024" s="70" t="s">
        <v>42</v>
      </c>
      <c r="B1024" s="17" t="s">
        <v>2283</v>
      </c>
      <c r="C1024" s="16" t="s">
        <v>208</v>
      </c>
      <c r="D1024" s="13">
        <v>7892840809416</v>
      </c>
    </row>
    <row r="1025" spans="1:4">
      <c r="A1025" s="70" t="s">
        <v>42</v>
      </c>
      <c r="B1025" s="17" t="s">
        <v>2283</v>
      </c>
      <c r="C1025" s="16" t="s">
        <v>209</v>
      </c>
      <c r="D1025" s="13">
        <v>7892840809409</v>
      </c>
    </row>
    <row r="1026" spans="1:4">
      <c r="A1026" s="70" t="s">
        <v>42</v>
      </c>
      <c r="B1026" s="17" t="s">
        <v>2283</v>
      </c>
      <c r="C1026" s="16" t="s">
        <v>2423</v>
      </c>
      <c r="D1026" s="13">
        <v>7892840819354</v>
      </c>
    </row>
    <row r="1027" spans="1:4">
      <c r="A1027" s="70" t="s">
        <v>42</v>
      </c>
      <c r="B1027" s="17" t="s">
        <v>2283</v>
      </c>
      <c r="C1027" s="16" t="s">
        <v>204</v>
      </c>
      <c r="D1027" s="13">
        <v>7894321263076</v>
      </c>
    </row>
    <row r="1028" spans="1:4">
      <c r="A1028" s="70" t="s">
        <v>42</v>
      </c>
      <c r="B1028" s="17" t="s">
        <v>2283</v>
      </c>
      <c r="C1028" s="127" t="s">
        <v>3565</v>
      </c>
      <c r="D1028" s="104">
        <v>7892840822019</v>
      </c>
    </row>
    <row r="1029" spans="1:4">
      <c r="A1029" s="70" t="s">
        <v>1114</v>
      </c>
      <c r="B1029" s="17" t="s">
        <v>2284</v>
      </c>
      <c r="C1029" s="16" t="s">
        <v>1122</v>
      </c>
      <c r="D1029" s="13">
        <v>7897517207212</v>
      </c>
    </row>
    <row r="1030" spans="1:4">
      <c r="A1030" s="70" t="s">
        <v>1642</v>
      </c>
      <c r="B1030" s="17" t="s">
        <v>2284</v>
      </c>
      <c r="C1030" s="16" t="s">
        <v>1122</v>
      </c>
      <c r="D1030" s="13">
        <v>7897517207212</v>
      </c>
    </row>
    <row r="1031" spans="1:4">
      <c r="A1031" s="70" t="s">
        <v>1023</v>
      </c>
      <c r="B1031" s="17" t="s">
        <v>2284</v>
      </c>
      <c r="C1031" s="16" t="s">
        <v>228</v>
      </c>
      <c r="D1031" s="13">
        <v>7891031409091</v>
      </c>
    </row>
    <row r="1032" spans="1:4">
      <c r="A1032" s="70" t="s">
        <v>87</v>
      </c>
      <c r="B1032" s="17" t="s">
        <v>2284</v>
      </c>
      <c r="C1032" s="16" t="s">
        <v>229</v>
      </c>
      <c r="D1032" s="13">
        <v>7891031405031</v>
      </c>
    </row>
    <row r="1033" spans="1:4">
      <c r="A1033" s="70" t="s">
        <v>87</v>
      </c>
      <c r="B1033" s="17" t="s">
        <v>2284</v>
      </c>
      <c r="C1033" s="16" t="s">
        <v>228</v>
      </c>
      <c r="D1033" s="13">
        <v>7891031409091</v>
      </c>
    </row>
    <row r="1034" spans="1:4">
      <c r="A1034" s="70" t="s">
        <v>1952</v>
      </c>
      <c r="B1034" s="17" t="s">
        <v>2283</v>
      </c>
      <c r="C1034" s="16" t="s">
        <v>1963</v>
      </c>
      <c r="D1034" s="13">
        <v>4066600999911</v>
      </c>
    </row>
    <row r="1035" spans="1:4">
      <c r="A1035" s="70" t="s">
        <v>96</v>
      </c>
      <c r="B1035" s="17" t="s">
        <v>2281</v>
      </c>
      <c r="C1035" s="16" t="s">
        <v>952</v>
      </c>
      <c r="D1035" s="13">
        <v>7897393605249</v>
      </c>
    </row>
    <row r="1036" spans="1:4">
      <c r="A1036" s="70" t="s">
        <v>96</v>
      </c>
      <c r="B1036" s="17" t="s">
        <v>2281</v>
      </c>
      <c r="C1036" s="16" t="s">
        <v>952</v>
      </c>
      <c r="D1036" s="13">
        <v>7897393605188</v>
      </c>
    </row>
    <row r="1037" spans="1:4">
      <c r="A1037" s="70" t="s">
        <v>96</v>
      </c>
      <c r="B1037" s="17" t="s">
        <v>2281</v>
      </c>
      <c r="C1037" s="16" t="s">
        <v>952</v>
      </c>
      <c r="D1037" s="13">
        <v>7897393605195</v>
      </c>
    </row>
    <row r="1038" spans="1:4">
      <c r="A1038" s="70" t="s">
        <v>603</v>
      </c>
      <c r="B1038" s="17" t="s">
        <v>2285</v>
      </c>
      <c r="C1038" s="16" t="s">
        <v>610</v>
      </c>
      <c r="D1038" s="13">
        <v>7908124402997</v>
      </c>
    </row>
    <row r="1039" spans="1:4">
      <c r="A1039" s="70" t="s">
        <v>603</v>
      </c>
      <c r="B1039" s="17" t="s">
        <v>2285</v>
      </c>
      <c r="C1039" s="16" t="s">
        <v>611</v>
      </c>
      <c r="D1039" s="13">
        <v>7908124400313</v>
      </c>
    </row>
    <row r="1040" spans="1:4">
      <c r="A1040" s="70" t="s">
        <v>603</v>
      </c>
      <c r="B1040" s="17" t="s">
        <v>2285</v>
      </c>
      <c r="C1040" s="16" t="s">
        <v>612</v>
      </c>
      <c r="D1040" s="13">
        <v>7908124400337</v>
      </c>
    </row>
    <row r="1041" spans="1:4">
      <c r="A1041" s="70" t="s">
        <v>603</v>
      </c>
      <c r="B1041" s="17" t="s">
        <v>2285</v>
      </c>
      <c r="C1041" s="16" t="s">
        <v>613</v>
      </c>
      <c r="D1041" s="13">
        <v>7908124402423</v>
      </c>
    </row>
    <row r="1042" spans="1:4">
      <c r="A1042" s="70" t="s">
        <v>603</v>
      </c>
      <c r="B1042" s="17" t="s">
        <v>2285</v>
      </c>
      <c r="C1042" s="16" t="s">
        <v>614</v>
      </c>
      <c r="D1042" s="13">
        <v>7908124400306</v>
      </c>
    </row>
    <row r="1043" spans="1:4">
      <c r="A1043" s="70" t="s">
        <v>603</v>
      </c>
      <c r="B1043" s="17" t="s">
        <v>2285</v>
      </c>
      <c r="C1043" s="16" t="s">
        <v>615</v>
      </c>
      <c r="D1043" s="13">
        <v>7908124400320</v>
      </c>
    </row>
    <row r="1044" spans="1:4">
      <c r="A1044" s="70" t="s">
        <v>603</v>
      </c>
      <c r="B1044" s="17" t="s">
        <v>2285</v>
      </c>
      <c r="C1044" s="16" t="s">
        <v>616</v>
      </c>
      <c r="D1044" s="13">
        <v>7908124400344</v>
      </c>
    </row>
    <row r="1045" spans="1:4">
      <c r="A1045" s="70" t="s">
        <v>603</v>
      </c>
      <c r="B1045" s="17" t="s">
        <v>2285</v>
      </c>
      <c r="C1045" s="16" t="s">
        <v>617</v>
      </c>
      <c r="D1045" s="13">
        <v>7908124402966</v>
      </c>
    </row>
    <row r="1046" spans="1:4">
      <c r="A1046" s="70" t="s">
        <v>1462</v>
      </c>
      <c r="B1046" s="17" t="s">
        <v>2285</v>
      </c>
      <c r="C1046" s="16" t="s">
        <v>1467</v>
      </c>
      <c r="D1046" s="13">
        <v>7500435169387</v>
      </c>
    </row>
    <row r="1047" spans="1:4">
      <c r="A1047" s="70" t="s">
        <v>1462</v>
      </c>
      <c r="B1047" s="17" t="s">
        <v>2285</v>
      </c>
      <c r="C1047" s="16" t="s">
        <v>1834</v>
      </c>
      <c r="D1047" s="13">
        <v>7500435188227</v>
      </c>
    </row>
    <row r="1048" spans="1:4">
      <c r="A1048" s="70" t="s">
        <v>1462</v>
      </c>
      <c r="B1048" s="17" t="s">
        <v>2285</v>
      </c>
      <c r="C1048" s="16" t="s">
        <v>1468</v>
      </c>
      <c r="D1048" s="13">
        <v>7500435169370</v>
      </c>
    </row>
    <row r="1049" spans="1:4">
      <c r="A1049" s="70" t="s">
        <v>1462</v>
      </c>
      <c r="B1049" s="17" t="s">
        <v>2285</v>
      </c>
      <c r="C1049" s="16" t="s">
        <v>1469</v>
      </c>
      <c r="D1049" s="13">
        <v>7500435169363</v>
      </c>
    </row>
    <row r="1050" spans="1:4">
      <c r="A1050" s="70" t="s">
        <v>1462</v>
      </c>
      <c r="B1050" s="17" t="s">
        <v>2285</v>
      </c>
      <c r="C1050" s="16" t="s">
        <v>2713</v>
      </c>
      <c r="D1050" s="13">
        <v>7500435215565</v>
      </c>
    </row>
    <row r="1051" spans="1:4">
      <c r="A1051" s="70" t="s">
        <v>1462</v>
      </c>
      <c r="B1051" s="17" t="s">
        <v>2285</v>
      </c>
      <c r="C1051" s="16" t="s">
        <v>1470</v>
      </c>
      <c r="D1051" s="13">
        <v>7500435169356</v>
      </c>
    </row>
    <row r="1052" spans="1:4">
      <c r="A1052" s="70" t="s">
        <v>1462</v>
      </c>
      <c r="B1052" s="17" t="s">
        <v>2285</v>
      </c>
      <c r="C1052" s="16" t="s">
        <v>1620</v>
      </c>
      <c r="D1052" s="13">
        <v>7500435128421</v>
      </c>
    </row>
    <row r="1053" spans="1:4">
      <c r="A1053" s="70" t="s">
        <v>1462</v>
      </c>
      <c r="B1053" s="17" t="s">
        <v>2285</v>
      </c>
      <c r="C1053" s="16" t="s">
        <v>2001</v>
      </c>
      <c r="D1053" s="13">
        <v>7500435169394</v>
      </c>
    </row>
    <row r="1054" spans="1:4">
      <c r="A1054" s="70" t="s">
        <v>1462</v>
      </c>
      <c r="B1054" s="17" t="s">
        <v>2285</v>
      </c>
      <c r="C1054" s="16" t="s">
        <v>1621</v>
      </c>
      <c r="D1054" s="13">
        <v>7500435137577</v>
      </c>
    </row>
    <row r="1055" spans="1:4">
      <c r="A1055" s="70" t="s">
        <v>1462</v>
      </c>
      <c r="B1055" s="17" t="s">
        <v>2285</v>
      </c>
      <c r="C1055" s="16" t="s">
        <v>2577</v>
      </c>
      <c r="D1055" s="13">
        <v>7500435199780</v>
      </c>
    </row>
    <row r="1056" spans="1:4">
      <c r="A1056" s="70" t="s">
        <v>1462</v>
      </c>
      <c r="B1056" s="17" t="s">
        <v>2285</v>
      </c>
      <c r="C1056" s="16" t="s">
        <v>1622</v>
      </c>
      <c r="D1056" s="13">
        <v>7500435128414</v>
      </c>
    </row>
    <row r="1057" spans="1:4">
      <c r="A1057" s="70" t="s">
        <v>1462</v>
      </c>
      <c r="B1057" s="17" t="s">
        <v>2285</v>
      </c>
      <c r="C1057" s="16" t="s">
        <v>2430</v>
      </c>
      <c r="D1057" s="13">
        <v>7500435200301</v>
      </c>
    </row>
    <row r="1058" spans="1:4">
      <c r="A1058" s="70" t="s">
        <v>1462</v>
      </c>
      <c r="B1058" s="17" t="s">
        <v>2285</v>
      </c>
      <c r="C1058" s="16" t="s">
        <v>1623</v>
      </c>
      <c r="D1058" s="13">
        <v>7500435128407</v>
      </c>
    </row>
    <row r="1059" spans="1:4">
      <c r="A1059" s="70" t="s">
        <v>135</v>
      </c>
      <c r="B1059" s="17" t="s">
        <v>2285</v>
      </c>
      <c r="C1059" s="16" t="s">
        <v>326</v>
      </c>
      <c r="D1059" s="13">
        <v>7896044959960</v>
      </c>
    </row>
    <row r="1060" spans="1:4">
      <c r="A1060" s="70" t="s">
        <v>135</v>
      </c>
      <c r="B1060" s="17" t="s">
        <v>2285</v>
      </c>
      <c r="C1060" s="16" t="s">
        <v>325</v>
      </c>
      <c r="D1060" s="13">
        <v>7896044955856</v>
      </c>
    </row>
    <row r="1061" spans="1:4">
      <c r="A1061" s="70" t="s">
        <v>135</v>
      </c>
      <c r="B1061" s="17" t="s">
        <v>2285</v>
      </c>
      <c r="C1061" s="16" t="s">
        <v>324</v>
      </c>
      <c r="D1061" s="13">
        <v>7896044955832</v>
      </c>
    </row>
    <row r="1062" spans="1:4">
      <c r="A1062" s="70" t="s">
        <v>135</v>
      </c>
      <c r="B1062" s="17" t="s">
        <v>2285</v>
      </c>
      <c r="C1062" s="16" t="s">
        <v>323</v>
      </c>
      <c r="D1062" s="13">
        <v>7896044955849</v>
      </c>
    </row>
    <row r="1063" spans="1:4">
      <c r="A1063" s="70" t="s">
        <v>135</v>
      </c>
      <c r="B1063" s="17" t="s">
        <v>2285</v>
      </c>
      <c r="C1063" s="16" t="s">
        <v>322</v>
      </c>
      <c r="D1063" s="13">
        <v>7896044955801</v>
      </c>
    </row>
    <row r="1064" spans="1:4">
      <c r="A1064" s="70" t="s">
        <v>1741</v>
      </c>
      <c r="B1064" s="17" t="s">
        <v>2283</v>
      </c>
      <c r="C1064" s="16" t="s">
        <v>1749</v>
      </c>
      <c r="D1064" s="13">
        <v>7898626316048</v>
      </c>
    </row>
    <row r="1065" spans="1:4">
      <c r="A1065" s="70" t="s">
        <v>1741</v>
      </c>
      <c r="B1065" s="17" t="s">
        <v>2283</v>
      </c>
      <c r="C1065" s="16" t="s">
        <v>1760</v>
      </c>
      <c r="D1065" s="13">
        <v>7898626316147</v>
      </c>
    </row>
    <row r="1066" spans="1:4">
      <c r="A1066" s="70" t="s">
        <v>1937</v>
      </c>
      <c r="B1066" s="17" t="s">
        <v>2287</v>
      </c>
      <c r="C1066" s="16" t="s">
        <v>1938</v>
      </c>
      <c r="D1066" s="13">
        <v>7896451874924</v>
      </c>
    </row>
    <row r="1067" spans="1:4">
      <c r="A1067" s="70" t="s">
        <v>1968</v>
      </c>
      <c r="B1067" s="17" t="s">
        <v>2287</v>
      </c>
      <c r="C1067" s="16" t="s">
        <v>1973</v>
      </c>
      <c r="D1067" s="13">
        <v>7896451870308</v>
      </c>
    </row>
    <row r="1068" spans="1:4">
      <c r="A1068" s="70" t="s">
        <v>430</v>
      </c>
      <c r="B1068" s="17" t="s">
        <v>2287</v>
      </c>
      <c r="C1068" s="16" t="s">
        <v>431</v>
      </c>
      <c r="D1068" s="13">
        <v>7898324237737</v>
      </c>
    </row>
    <row r="1069" spans="1:4">
      <c r="A1069" s="70" t="s">
        <v>490</v>
      </c>
      <c r="B1069" s="17" t="s">
        <v>2287</v>
      </c>
      <c r="C1069" s="16" t="s">
        <v>262</v>
      </c>
      <c r="D1069" s="13">
        <v>7899771500214</v>
      </c>
    </row>
    <row r="1070" spans="1:4">
      <c r="A1070" s="70" t="s">
        <v>490</v>
      </c>
      <c r="B1070" s="17" t="s">
        <v>2287</v>
      </c>
      <c r="C1070" s="16" t="s">
        <v>1568</v>
      </c>
      <c r="D1070" s="13">
        <v>7898324006166</v>
      </c>
    </row>
    <row r="1071" spans="1:4">
      <c r="A1071" s="70" t="s">
        <v>490</v>
      </c>
      <c r="B1071" s="17" t="s">
        <v>2287</v>
      </c>
      <c r="C1071" s="16" t="s">
        <v>1568</v>
      </c>
      <c r="D1071" s="13">
        <v>7898324003127</v>
      </c>
    </row>
    <row r="1072" spans="1:4">
      <c r="A1072" s="70" t="s">
        <v>490</v>
      </c>
      <c r="B1072" s="17" t="s">
        <v>2287</v>
      </c>
      <c r="C1072" s="16" t="s">
        <v>1568</v>
      </c>
      <c r="D1072" s="13">
        <v>7899771500825</v>
      </c>
    </row>
    <row r="1073" spans="1:4">
      <c r="A1073" s="70" t="s">
        <v>1201</v>
      </c>
      <c r="B1073" s="17" t="s">
        <v>2287</v>
      </c>
      <c r="C1073" s="16" t="s">
        <v>1213</v>
      </c>
      <c r="D1073" s="13">
        <v>7898324005145</v>
      </c>
    </row>
    <row r="1074" spans="1:4">
      <c r="A1074" s="70" t="s">
        <v>1201</v>
      </c>
      <c r="B1074" s="17" t="s">
        <v>2287</v>
      </c>
      <c r="C1074" s="16" t="s">
        <v>1230</v>
      </c>
      <c r="D1074" s="13">
        <v>7898324005138</v>
      </c>
    </row>
    <row r="1075" spans="1:4">
      <c r="A1075" s="70" t="s">
        <v>418</v>
      </c>
      <c r="B1075" s="17" t="s">
        <v>2287</v>
      </c>
      <c r="C1075" s="16" t="s">
        <v>428</v>
      </c>
      <c r="D1075" s="13">
        <v>7899771500115</v>
      </c>
    </row>
    <row r="1076" spans="1:4">
      <c r="A1076" s="70" t="s">
        <v>803</v>
      </c>
      <c r="B1076" s="17" t="s">
        <v>2287</v>
      </c>
      <c r="C1076" s="16" t="s">
        <v>788</v>
      </c>
      <c r="D1076" s="13">
        <v>7899771500139</v>
      </c>
    </row>
    <row r="1077" spans="1:4">
      <c r="A1077" s="70" t="s">
        <v>803</v>
      </c>
      <c r="B1077" s="17" t="s">
        <v>2287</v>
      </c>
      <c r="C1077" s="16" t="s">
        <v>788</v>
      </c>
      <c r="D1077" s="13">
        <v>7898324005152</v>
      </c>
    </row>
    <row r="1078" spans="1:4">
      <c r="A1078" s="70" t="s">
        <v>803</v>
      </c>
      <c r="B1078" s="17" t="s">
        <v>2287</v>
      </c>
      <c r="C1078" s="16" t="s">
        <v>788</v>
      </c>
      <c r="D1078" s="13">
        <v>7898324003080</v>
      </c>
    </row>
    <row r="1079" spans="1:4">
      <c r="A1079" s="70" t="s">
        <v>942</v>
      </c>
      <c r="B1079" s="17" t="s">
        <v>2287</v>
      </c>
      <c r="C1079" s="16" t="s">
        <v>957</v>
      </c>
      <c r="D1079" s="13">
        <v>7898324005176</v>
      </c>
    </row>
    <row r="1080" spans="1:4">
      <c r="A1080" s="70" t="s">
        <v>942</v>
      </c>
      <c r="B1080" s="17" t="s">
        <v>2287</v>
      </c>
      <c r="C1080" s="16" t="s">
        <v>957</v>
      </c>
      <c r="D1080" s="13">
        <v>7898324003103</v>
      </c>
    </row>
    <row r="1081" spans="1:4">
      <c r="A1081" s="70" t="s">
        <v>942</v>
      </c>
      <c r="B1081" s="17" t="s">
        <v>2287</v>
      </c>
      <c r="C1081" s="16" t="s">
        <v>957</v>
      </c>
      <c r="D1081" s="13">
        <v>7899771500153</v>
      </c>
    </row>
    <row r="1082" spans="1:4">
      <c r="A1082" s="70" t="s">
        <v>9</v>
      </c>
      <c r="B1082" s="17" t="s">
        <v>2287</v>
      </c>
      <c r="C1082" s="16" t="s">
        <v>211</v>
      </c>
      <c r="D1082" s="13">
        <v>7899771500153</v>
      </c>
    </row>
    <row r="1083" spans="1:4">
      <c r="A1083" s="70" t="s">
        <v>3423</v>
      </c>
      <c r="B1083" s="17" t="s">
        <v>2282</v>
      </c>
      <c r="C1083" s="16" t="s">
        <v>645</v>
      </c>
      <c r="D1083" s="13">
        <v>7896074604496</v>
      </c>
    </row>
    <row r="1084" spans="1:4">
      <c r="A1084" s="70" t="s">
        <v>3423</v>
      </c>
      <c r="B1084" s="17" t="s">
        <v>2282</v>
      </c>
      <c r="C1084" s="16" t="s">
        <v>646</v>
      </c>
      <c r="D1084" s="13">
        <v>7896074605318</v>
      </c>
    </row>
    <row r="1085" spans="1:4">
      <c r="A1085" s="70" t="s">
        <v>3463</v>
      </c>
      <c r="B1085" s="17" t="s">
        <v>2282</v>
      </c>
      <c r="C1085" s="16" t="s">
        <v>925</v>
      </c>
      <c r="D1085" s="13">
        <v>7893000492981</v>
      </c>
    </row>
    <row r="1086" spans="1:4">
      <c r="A1086" s="70" t="s">
        <v>3463</v>
      </c>
      <c r="B1086" s="17" t="s">
        <v>2282</v>
      </c>
      <c r="C1086" s="16" t="s">
        <v>926</v>
      </c>
      <c r="D1086" s="13">
        <v>7893000439825</v>
      </c>
    </row>
    <row r="1087" spans="1:4">
      <c r="A1087" s="70" t="s">
        <v>3463</v>
      </c>
      <c r="B1087" s="17" t="s">
        <v>2282</v>
      </c>
      <c r="C1087" s="16" t="s">
        <v>927</v>
      </c>
      <c r="D1087" s="13">
        <v>7893000038684</v>
      </c>
    </row>
    <row r="1088" spans="1:4">
      <c r="A1088" s="70" t="s">
        <v>3463</v>
      </c>
      <c r="B1088" s="17" t="s">
        <v>2282</v>
      </c>
      <c r="C1088" s="16" t="s">
        <v>928</v>
      </c>
      <c r="D1088" s="13">
        <v>7893000071025</v>
      </c>
    </row>
    <row r="1089" spans="1:4">
      <c r="A1089" s="70" t="s">
        <v>3463</v>
      </c>
      <c r="B1089" s="17" t="s">
        <v>2282</v>
      </c>
      <c r="C1089" s="16" t="s">
        <v>929</v>
      </c>
      <c r="D1089" s="13">
        <v>7893000825208</v>
      </c>
    </row>
    <row r="1090" spans="1:4">
      <c r="A1090" s="70" t="s">
        <v>3463</v>
      </c>
      <c r="B1090" s="17" t="s">
        <v>2282</v>
      </c>
      <c r="C1090" s="16" t="s">
        <v>926</v>
      </c>
      <c r="D1090" s="13">
        <v>7891515475703</v>
      </c>
    </row>
    <row r="1091" spans="1:4">
      <c r="A1091" s="70" t="s">
        <v>3463</v>
      </c>
      <c r="B1091" s="17" t="s">
        <v>2282</v>
      </c>
      <c r="C1091" s="16" t="s">
        <v>925</v>
      </c>
      <c r="D1091" s="13">
        <v>7891515475680</v>
      </c>
    </row>
    <row r="1092" spans="1:4">
      <c r="A1092" s="70" t="s">
        <v>3463</v>
      </c>
      <c r="B1092" s="17" t="s">
        <v>2282</v>
      </c>
      <c r="C1092" s="16" t="s">
        <v>927</v>
      </c>
      <c r="D1092" s="13">
        <v>7891515476229</v>
      </c>
    </row>
    <row r="1093" spans="1:4">
      <c r="A1093" s="70" t="s">
        <v>3463</v>
      </c>
      <c r="B1093" s="17" t="s">
        <v>2282</v>
      </c>
      <c r="C1093" s="16" t="s">
        <v>1431</v>
      </c>
      <c r="D1093" s="13">
        <v>7891515476212</v>
      </c>
    </row>
    <row r="1094" spans="1:4">
      <c r="A1094" s="70" t="s">
        <v>3463</v>
      </c>
      <c r="B1094" s="17" t="s">
        <v>2282</v>
      </c>
      <c r="C1094" s="16" t="s">
        <v>1432</v>
      </c>
      <c r="D1094" s="13">
        <v>7891515485719</v>
      </c>
    </row>
    <row r="1095" spans="1:4">
      <c r="A1095" s="70" t="s">
        <v>3463</v>
      </c>
      <c r="B1095" s="17" t="s">
        <v>2282</v>
      </c>
      <c r="C1095" s="16" t="s">
        <v>928</v>
      </c>
      <c r="D1095" s="13">
        <v>7891515475642</v>
      </c>
    </row>
    <row r="1096" spans="1:4">
      <c r="A1096" s="70" t="s">
        <v>3463</v>
      </c>
      <c r="B1096" s="17" t="s">
        <v>2282</v>
      </c>
      <c r="C1096" s="16" t="s">
        <v>929</v>
      </c>
      <c r="D1096" s="13">
        <v>7891515475697</v>
      </c>
    </row>
    <row r="1097" spans="1:4">
      <c r="A1097" s="70" t="s">
        <v>63</v>
      </c>
      <c r="B1097" s="17" t="s">
        <v>2282</v>
      </c>
      <c r="C1097" s="16" t="s">
        <v>857</v>
      </c>
      <c r="D1097" s="13">
        <v>7894904082728</v>
      </c>
    </row>
    <row r="1098" spans="1:4">
      <c r="A1098" s="70" t="s">
        <v>63</v>
      </c>
      <c r="B1098" s="17" t="s">
        <v>2282</v>
      </c>
      <c r="C1098" s="16" t="s">
        <v>858</v>
      </c>
      <c r="D1098" s="13">
        <v>7894904082704</v>
      </c>
    </row>
    <row r="1099" spans="1:4">
      <c r="A1099" s="70" t="s">
        <v>63</v>
      </c>
      <c r="B1099" s="17" t="s">
        <v>2282</v>
      </c>
      <c r="C1099" s="16" t="s">
        <v>859</v>
      </c>
      <c r="D1099" s="13">
        <v>7894904070602</v>
      </c>
    </row>
    <row r="1100" spans="1:4">
      <c r="A1100" s="70" t="s">
        <v>63</v>
      </c>
      <c r="B1100" s="17" t="s">
        <v>2282</v>
      </c>
      <c r="C1100" s="16" t="s">
        <v>860</v>
      </c>
      <c r="D1100" s="13">
        <v>7894904070596</v>
      </c>
    </row>
    <row r="1101" spans="1:4">
      <c r="A1101" s="70" t="s">
        <v>63</v>
      </c>
      <c r="B1101" s="17" t="s">
        <v>2282</v>
      </c>
      <c r="C1101" s="16" t="s">
        <v>861</v>
      </c>
      <c r="D1101" s="13">
        <v>7894904072453</v>
      </c>
    </row>
    <row r="1102" spans="1:4">
      <c r="A1102" s="70" t="s">
        <v>63</v>
      </c>
      <c r="B1102" s="17" t="s">
        <v>2282</v>
      </c>
      <c r="C1102" s="16" t="s">
        <v>862</v>
      </c>
      <c r="D1102" s="13">
        <v>7894904072439</v>
      </c>
    </row>
    <row r="1103" spans="1:4">
      <c r="A1103" s="70" t="s">
        <v>551</v>
      </c>
      <c r="B1103" s="17" t="s">
        <v>2286</v>
      </c>
      <c r="C1103" s="16" t="s">
        <v>567</v>
      </c>
      <c r="D1103" s="13">
        <v>7896183312466</v>
      </c>
    </row>
    <row r="1104" spans="1:4">
      <c r="A1104" s="70" t="s">
        <v>5</v>
      </c>
      <c r="B1104" s="17" t="s">
        <v>2286</v>
      </c>
      <c r="C1104" s="16" t="s">
        <v>1454</v>
      </c>
      <c r="D1104" s="13">
        <v>751320003126</v>
      </c>
    </row>
    <row r="1105" spans="1:4">
      <c r="A1105" s="70" t="s">
        <v>2169</v>
      </c>
      <c r="B1105" s="17" t="s">
        <v>2286</v>
      </c>
      <c r="C1105" s="16" t="s">
        <v>2191</v>
      </c>
      <c r="D1105" s="13">
        <v>798190210261</v>
      </c>
    </row>
    <row r="1106" spans="1:4">
      <c r="A1106" s="70" t="s">
        <v>2155</v>
      </c>
      <c r="B1106" s="17" t="s">
        <v>2286</v>
      </c>
      <c r="C1106" s="16" t="s">
        <v>2157</v>
      </c>
      <c r="D1106" s="13">
        <v>7908324402681</v>
      </c>
    </row>
    <row r="1107" spans="1:4">
      <c r="A1107" s="70" t="s">
        <v>2155</v>
      </c>
      <c r="B1107" s="17" t="s">
        <v>2286</v>
      </c>
      <c r="C1107" s="16" t="s">
        <v>2158</v>
      </c>
      <c r="D1107" s="13">
        <v>7908324402698</v>
      </c>
    </row>
    <row r="1108" spans="1:4">
      <c r="A1108" s="70" t="s">
        <v>319</v>
      </c>
      <c r="B1108" s="17" t="s">
        <v>2286</v>
      </c>
      <c r="C1108" s="16" t="s">
        <v>328</v>
      </c>
      <c r="D1108" s="13">
        <v>7893300522388</v>
      </c>
    </row>
    <row r="1109" spans="1:4">
      <c r="A1109" s="70" t="s">
        <v>319</v>
      </c>
      <c r="B1109" s="17" t="s">
        <v>2286</v>
      </c>
      <c r="C1109" s="16" t="s">
        <v>327</v>
      </c>
      <c r="D1109" s="13">
        <v>7893300522395</v>
      </c>
    </row>
    <row r="1110" spans="1:4">
      <c r="A1110" s="70" t="s">
        <v>553</v>
      </c>
      <c r="B1110" s="17" t="s">
        <v>2286</v>
      </c>
      <c r="C1110" s="16" t="s">
        <v>563</v>
      </c>
      <c r="D1110" s="13">
        <v>7908324400328</v>
      </c>
    </row>
    <row r="1111" spans="1:4">
      <c r="A1111" s="70" t="s">
        <v>553</v>
      </c>
      <c r="B1111" s="17" t="s">
        <v>2286</v>
      </c>
      <c r="C1111" s="16" t="s">
        <v>571</v>
      </c>
      <c r="D1111" s="13">
        <v>7908324400335</v>
      </c>
    </row>
    <row r="1112" spans="1:4">
      <c r="A1112" s="70" t="s">
        <v>386</v>
      </c>
      <c r="B1112" s="17" t="s">
        <v>2286</v>
      </c>
      <c r="C1112" s="16" t="s">
        <v>405</v>
      </c>
      <c r="D1112" s="13">
        <v>7891176118049</v>
      </c>
    </row>
    <row r="1113" spans="1:4">
      <c r="A1113" s="70" t="s">
        <v>386</v>
      </c>
      <c r="B1113" s="17" t="s">
        <v>2286</v>
      </c>
      <c r="C1113" s="16" t="s">
        <v>406</v>
      </c>
      <c r="D1113" s="13">
        <v>7897664172067</v>
      </c>
    </row>
    <row r="1114" spans="1:4">
      <c r="A1114" s="70" t="s">
        <v>3624</v>
      </c>
      <c r="B1114" s="17" t="s">
        <v>2286</v>
      </c>
      <c r="C1114" s="16" t="s">
        <v>1846</v>
      </c>
      <c r="D1114" s="13">
        <v>7891150064331</v>
      </c>
    </row>
    <row r="1115" spans="1:4">
      <c r="A1115" s="70" t="s">
        <v>3624</v>
      </c>
      <c r="B1115" s="17" t="s">
        <v>2286</v>
      </c>
      <c r="C1115" s="16" t="s">
        <v>1852</v>
      </c>
      <c r="D1115" s="13">
        <v>7891150081147</v>
      </c>
    </row>
    <row r="1116" spans="1:4">
      <c r="A1116" s="70" t="s">
        <v>2292</v>
      </c>
      <c r="B1116" s="17" t="s">
        <v>2286</v>
      </c>
      <c r="C1116" s="16" t="s">
        <v>636</v>
      </c>
      <c r="D1116" s="13">
        <v>7891150064317</v>
      </c>
    </row>
    <row r="1117" spans="1:4">
      <c r="A1117" s="70" t="s">
        <v>2292</v>
      </c>
      <c r="B1117" s="17" t="s">
        <v>2286</v>
      </c>
      <c r="C1117" s="16" t="s">
        <v>637</v>
      </c>
      <c r="D1117" s="13">
        <v>7891150064324</v>
      </c>
    </row>
    <row r="1118" spans="1:4">
      <c r="A1118" s="70" t="s">
        <v>1220</v>
      </c>
      <c r="B1118" s="17" t="s">
        <v>2286</v>
      </c>
      <c r="C1118" s="16" t="s">
        <v>1224</v>
      </c>
      <c r="D1118" s="13">
        <v>7896098901113</v>
      </c>
    </row>
    <row r="1119" spans="1:4">
      <c r="A1119" s="70" t="s">
        <v>2133</v>
      </c>
      <c r="B1119" s="17" t="s">
        <v>2286</v>
      </c>
      <c r="C1119" s="16" t="s">
        <v>2135</v>
      </c>
      <c r="D1119" s="13">
        <v>7896056406681</v>
      </c>
    </row>
    <row r="1120" spans="1:4">
      <c r="A1120" s="70" t="s">
        <v>83</v>
      </c>
      <c r="B1120" s="17" t="s">
        <v>2286</v>
      </c>
      <c r="C1120" s="16" t="s">
        <v>338</v>
      </c>
      <c r="D1120" s="13">
        <v>7500435142014</v>
      </c>
    </row>
    <row r="1121" spans="1:4">
      <c r="A1121" s="70" t="s">
        <v>1494</v>
      </c>
      <c r="B1121" s="17" t="s">
        <v>2286</v>
      </c>
      <c r="C1121" s="16" t="s">
        <v>1497</v>
      </c>
      <c r="D1121" s="13">
        <v>7500435141987</v>
      </c>
    </row>
    <row r="1122" spans="1:4">
      <c r="A1122" s="70" t="s">
        <v>1828</v>
      </c>
      <c r="B1122" s="17" t="s">
        <v>2286</v>
      </c>
      <c r="C1122" s="16" t="s">
        <v>889</v>
      </c>
      <c r="D1122" s="13">
        <v>7500435115353</v>
      </c>
    </row>
    <row r="1123" spans="1:4">
      <c r="A1123" s="70" t="s">
        <v>1828</v>
      </c>
      <c r="B1123" s="17" t="s">
        <v>2286</v>
      </c>
      <c r="C1123" s="16" t="s">
        <v>1811</v>
      </c>
      <c r="D1123" s="13">
        <v>7500435156653</v>
      </c>
    </row>
    <row r="1124" spans="1:4">
      <c r="A1124" s="70" t="s">
        <v>1828</v>
      </c>
      <c r="B1124" s="17" t="s">
        <v>2286</v>
      </c>
      <c r="C1124" s="16" t="s">
        <v>930</v>
      </c>
      <c r="D1124" s="13">
        <v>7500435115827</v>
      </c>
    </row>
    <row r="1125" spans="1:4">
      <c r="A1125" s="70" t="s">
        <v>1685</v>
      </c>
      <c r="B1125" s="17" t="s">
        <v>2281</v>
      </c>
      <c r="C1125" s="16" t="s">
        <v>254</v>
      </c>
      <c r="D1125" s="13">
        <v>7896275960896</v>
      </c>
    </row>
    <row r="1126" spans="1:4">
      <c r="A1126" s="70" t="s">
        <v>1995</v>
      </c>
      <c r="B1126" s="17" t="s">
        <v>2281</v>
      </c>
      <c r="C1126" s="16" t="s">
        <v>1996</v>
      </c>
      <c r="D1126" s="13">
        <v>7891000100103</v>
      </c>
    </row>
    <row r="1127" spans="1:4">
      <c r="A1127" s="70" t="s">
        <v>1317</v>
      </c>
      <c r="B1127" s="17" t="s">
        <v>2281</v>
      </c>
      <c r="C1127" s="16" t="s">
        <v>1319</v>
      </c>
      <c r="D1127" s="13">
        <v>7896051115038</v>
      </c>
    </row>
    <row r="1128" spans="1:4">
      <c r="A1128" s="70" t="s">
        <v>3464</v>
      </c>
      <c r="B1128" s="17" t="s">
        <v>2281</v>
      </c>
      <c r="C1128" s="16" t="s">
        <v>277</v>
      </c>
      <c r="D1128" s="13">
        <v>7898215152002</v>
      </c>
    </row>
    <row r="1129" spans="1:4">
      <c r="A1129" s="70" t="s">
        <v>2249</v>
      </c>
      <c r="B1129" s="17" t="s">
        <v>2281</v>
      </c>
      <c r="C1129" s="16" t="s">
        <v>2251</v>
      </c>
      <c r="D1129" s="13">
        <v>7896275970598</v>
      </c>
    </row>
    <row r="1130" spans="1:4">
      <c r="A1130" s="70" t="s">
        <v>2249</v>
      </c>
      <c r="B1130" s="17" t="s">
        <v>2281</v>
      </c>
      <c r="C1130" s="16" t="s">
        <v>2252</v>
      </c>
      <c r="D1130" s="13">
        <v>7896275970574</v>
      </c>
    </row>
    <row r="1131" spans="1:4">
      <c r="A1131" s="70" t="s">
        <v>834</v>
      </c>
      <c r="B1131" s="17" t="s">
        <v>2281</v>
      </c>
      <c r="C1131" s="16" t="s">
        <v>851</v>
      </c>
      <c r="D1131" s="13">
        <v>7896051130116</v>
      </c>
    </row>
    <row r="1132" spans="1:4">
      <c r="A1132" s="70" t="s">
        <v>834</v>
      </c>
      <c r="B1132" s="17" t="s">
        <v>2281</v>
      </c>
      <c r="C1132" s="16" t="s">
        <v>852</v>
      </c>
      <c r="D1132" s="13">
        <v>7896051130123</v>
      </c>
    </row>
    <row r="1133" spans="1:4">
      <c r="A1133" s="70" t="s">
        <v>2067</v>
      </c>
      <c r="B1133" s="17" t="s">
        <v>2281</v>
      </c>
      <c r="C1133" s="16" t="s">
        <v>2068</v>
      </c>
      <c r="D1133" s="13">
        <v>7891000284933</v>
      </c>
    </row>
    <row r="1134" spans="1:4">
      <c r="A1134" s="70" t="s">
        <v>2067</v>
      </c>
      <c r="B1134" s="17" t="s">
        <v>2281</v>
      </c>
      <c r="C1134" s="16" t="s">
        <v>2069</v>
      </c>
      <c r="D1134" s="13">
        <v>7891000325858</v>
      </c>
    </row>
    <row r="1135" spans="1:4">
      <c r="A1135" s="70" t="s">
        <v>2067</v>
      </c>
      <c r="B1135" s="17" t="s">
        <v>2281</v>
      </c>
      <c r="C1135" s="16" t="s">
        <v>2069</v>
      </c>
      <c r="D1135" s="13">
        <v>7891000340981</v>
      </c>
    </row>
    <row r="1136" spans="1:4">
      <c r="A1136" s="70" t="s">
        <v>2910</v>
      </c>
      <c r="B1136" s="17" t="s">
        <v>2281</v>
      </c>
      <c r="C1136" s="16" t="s">
        <v>1644</v>
      </c>
      <c r="D1136" s="13">
        <v>7898215152439</v>
      </c>
    </row>
    <row r="1137" spans="1:4">
      <c r="A1137" s="70" t="s">
        <v>2910</v>
      </c>
      <c r="B1137" s="17" t="s">
        <v>2281</v>
      </c>
      <c r="C1137" s="16" t="s">
        <v>1643</v>
      </c>
      <c r="D1137" s="13">
        <v>7898215152347</v>
      </c>
    </row>
    <row r="1138" spans="1:4">
      <c r="A1138" s="70" t="s">
        <v>1264</v>
      </c>
      <c r="B1138" s="17" t="s">
        <v>2288</v>
      </c>
      <c r="C1138" s="16" t="s">
        <v>1270</v>
      </c>
      <c r="D1138" s="13">
        <v>7891000070444</v>
      </c>
    </row>
    <row r="1139" spans="1:4">
      <c r="A1139" s="70" t="s">
        <v>1244</v>
      </c>
      <c r="B1139" s="17" t="s">
        <v>2288</v>
      </c>
      <c r="C1139" s="16" t="s">
        <v>1246</v>
      </c>
      <c r="D1139" s="13">
        <v>7891025115687</v>
      </c>
    </row>
    <row r="1140" spans="1:4">
      <c r="A1140" s="70" t="s">
        <v>1503</v>
      </c>
      <c r="B1140" s="17" t="s">
        <v>2288</v>
      </c>
      <c r="C1140" s="16" t="s">
        <v>1529</v>
      </c>
      <c r="D1140" s="13">
        <v>7891999904805</v>
      </c>
    </row>
    <row r="1141" spans="1:4">
      <c r="A1141" s="70" t="s">
        <v>1503</v>
      </c>
      <c r="B1141" s="17" t="s">
        <v>2288</v>
      </c>
      <c r="C1141" s="16" t="s">
        <v>1528</v>
      </c>
      <c r="D1141" s="13">
        <v>78913554</v>
      </c>
    </row>
    <row r="1142" spans="1:4">
      <c r="A1142" s="70" t="s">
        <v>1024</v>
      </c>
      <c r="B1142" s="17" t="s">
        <v>2281</v>
      </c>
      <c r="C1142" s="16" t="s">
        <v>1026</v>
      </c>
      <c r="D1142" s="13">
        <v>7896283800191</v>
      </c>
    </row>
    <row r="1143" spans="1:4">
      <c r="A1143" s="70" t="s">
        <v>1024</v>
      </c>
      <c r="B1143" s="17" t="s">
        <v>2281</v>
      </c>
      <c r="C1143" s="72" t="s">
        <v>1060</v>
      </c>
      <c r="D1143" s="75">
        <v>47896283800274</v>
      </c>
    </row>
    <row r="1144" spans="1:4">
      <c r="A1144" s="70" t="s">
        <v>1024</v>
      </c>
      <c r="B1144" s="17" t="s">
        <v>2281</v>
      </c>
      <c r="C1144" s="16" t="s">
        <v>1027</v>
      </c>
      <c r="D1144" s="13">
        <v>7896283800542</v>
      </c>
    </row>
    <row r="1145" spans="1:4">
      <c r="A1145" s="70" t="s">
        <v>1024</v>
      </c>
      <c r="B1145" s="17" t="s">
        <v>2281</v>
      </c>
      <c r="C1145" s="72" t="s">
        <v>1061</v>
      </c>
      <c r="D1145" s="75">
        <v>47896283800267</v>
      </c>
    </row>
    <row r="1146" spans="1:4">
      <c r="A1146" s="70" t="s">
        <v>1024</v>
      </c>
      <c r="B1146" s="17" t="s">
        <v>2281</v>
      </c>
      <c r="C1146" s="16" t="s">
        <v>1025</v>
      </c>
      <c r="D1146" s="13">
        <v>7896283800184</v>
      </c>
    </row>
    <row r="1147" spans="1:4">
      <c r="A1147" s="70" t="s">
        <v>1024</v>
      </c>
      <c r="B1147" s="17" t="s">
        <v>2281</v>
      </c>
      <c r="C1147" s="72" t="s">
        <v>1062</v>
      </c>
      <c r="D1147" s="75">
        <v>47896283800250</v>
      </c>
    </row>
    <row r="1148" spans="1:4">
      <c r="A1148" s="70" t="s">
        <v>1896</v>
      </c>
      <c r="B1148" s="17" t="s">
        <v>2281</v>
      </c>
      <c r="C1148" s="16" t="s">
        <v>1899</v>
      </c>
      <c r="D1148" s="13">
        <v>7896569405027</v>
      </c>
    </row>
    <row r="1149" spans="1:4">
      <c r="A1149" s="70" t="s">
        <v>1896</v>
      </c>
      <c r="B1149" s="17" t="s">
        <v>2281</v>
      </c>
      <c r="C1149" s="16" t="s">
        <v>1917</v>
      </c>
      <c r="D1149" s="13">
        <v>17896569405024</v>
      </c>
    </row>
    <row r="1150" spans="1:4">
      <c r="A1150" s="70" t="s">
        <v>1896</v>
      </c>
      <c r="B1150" s="17" t="s">
        <v>2281</v>
      </c>
      <c r="C1150" s="16" t="s">
        <v>1900</v>
      </c>
      <c r="D1150" s="13">
        <v>7896569405003</v>
      </c>
    </row>
    <row r="1151" spans="1:4">
      <c r="A1151" s="70" t="s">
        <v>1896</v>
      </c>
      <c r="B1151" s="17" t="s">
        <v>2281</v>
      </c>
      <c r="C1151" s="16" t="s">
        <v>1918</v>
      </c>
      <c r="D1151" s="13">
        <v>17896569405000</v>
      </c>
    </row>
    <row r="1152" spans="1:4">
      <c r="A1152" s="70" t="s">
        <v>1896</v>
      </c>
      <c r="B1152" s="17" t="s">
        <v>2281</v>
      </c>
      <c r="C1152" s="16" t="s">
        <v>1901</v>
      </c>
      <c r="D1152" s="13">
        <v>7896569405010</v>
      </c>
    </row>
    <row r="1153" spans="1:4">
      <c r="A1153" s="70" t="s">
        <v>1896</v>
      </c>
      <c r="B1153" s="17" t="s">
        <v>2281</v>
      </c>
      <c r="C1153" s="16" t="s">
        <v>1919</v>
      </c>
      <c r="D1153" s="13">
        <v>17896569405017</v>
      </c>
    </row>
    <row r="1154" spans="1:4">
      <c r="A1154" s="70" t="s">
        <v>3562</v>
      </c>
      <c r="B1154" s="17" t="s">
        <v>2281</v>
      </c>
      <c r="C1154" s="16" t="s">
        <v>1252</v>
      </c>
      <c r="D1154" s="13">
        <v>7898215151937</v>
      </c>
    </row>
    <row r="1155" spans="1:4">
      <c r="A1155" s="70" t="s">
        <v>3562</v>
      </c>
      <c r="B1155" s="17" t="s">
        <v>2281</v>
      </c>
      <c r="C1155" s="16" t="s">
        <v>1252</v>
      </c>
      <c r="D1155" s="13">
        <v>7898215151692</v>
      </c>
    </row>
    <row r="1156" spans="1:4">
      <c r="A1156" s="70" t="s">
        <v>3562</v>
      </c>
      <c r="B1156" s="17" t="s">
        <v>2281</v>
      </c>
      <c r="C1156" s="16" t="s">
        <v>1252</v>
      </c>
      <c r="D1156" s="13">
        <v>7898215151760</v>
      </c>
    </row>
    <row r="1157" spans="1:4">
      <c r="A1157" s="70" t="s">
        <v>3562</v>
      </c>
      <c r="B1157" s="17" t="s">
        <v>2281</v>
      </c>
      <c r="C1157" s="16" t="s">
        <v>1258</v>
      </c>
      <c r="D1157" s="13">
        <v>7898215151920</v>
      </c>
    </row>
    <row r="1158" spans="1:4">
      <c r="A1158" s="70" t="s">
        <v>3562</v>
      </c>
      <c r="B1158" s="17" t="s">
        <v>2281</v>
      </c>
      <c r="C1158" s="16" t="s">
        <v>1258</v>
      </c>
      <c r="D1158" s="13">
        <v>7898215151739</v>
      </c>
    </row>
    <row r="1159" spans="1:4">
      <c r="A1159" s="70" t="s">
        <v>3562</v>
      </c>
      <c r="B1159" s="17" t="s">
        <v>2281</v>
      </c>
      <c r="C1159" s="16" t="s">
        <v>1253</v>
      </c>
      <c r="D1159" s="13">
        <v>7898215151890</v>
      </c>
    </row>
    <row r="1160" spans="1:4">
      <c r="A1160" s="70" t="s">
        <v>3562</v>
      </c>
      <c r="B1160" s="17" t="s">
        <v>2281</v>
      </c>
      <c r="C1160" s="16" t="s">
        <v>1253</v>
      </c>
      <c r="D1160" s="13">
        <v>7898215151678</v>
      </c>
    </row>
    <row r="1161" spans="1:4">
      <c r="A1161" s="70" t="s">
        <v>3562</v>
      </c>
      <c r="B1161" s="17" t="s">
        <v>2281</v>
      </c>
      <c r="C1161" s="16" t="s">
        <v>1253</v>
      </c>
      <c r="D1161" s="13">
        <v>7898215151708</v>
      </c>
    </row>
    <row r="1162" spans="1:4">
      <c r="A1162" s="70" t="s">
        <v>3562</v>
      </c>
      <c r="B1162" s="17" t="s">
        <v>2281</v>
      </c>
      <c r="C1162" s="16" t="s">
        <v>1259</v>
      </c>
      <c r="D1162" s="13">
        <v>7898215151906</v>
      </c>
    </row>
    <row r="1163" spans="1:4">
      <c r="A1163" s="70" t="s">
        <v>3562</v>
      </c>
      <c r="B1163" s="17" t="s">
        <v>2281</v>
      </c>
      <c r="C1163" s="16" t="s">
        <v>1259</v>
      </c>
      <c r="D1163" s="13">
        <v>7898215151715</v>
      </c>
    </row>
    <row r="1164" spans="1:4">
      <c r="A1164" s="70" t="s">
        <v>3562</v>
      </c>
      <c r="B1164" s="17" t="s">
        <v>2281</v>
      </c>
      <c r="C1164" s="16" t="s">
        <v>1254</v>
      </c>
      <c r="D1164" s="13">
        <v>7898215151913</v>
      </c>
    </row>
    <row r="1165" spans="1:4">
      <c r="A1165" s="70" t="s">
        <v>3562</v>
      </c>
      <c r="B1165" s="17" t="s">
        <v>2281</v>
      </c>
      <c r="C1165" s="16" t="s">
        <v>1254</v>
      </c>
      <c r="D1165" s="13">
        <v>7898215151685</v>
      </c>
    </row>
    <row r="1166" spans="1:4">
      <c r="A1166" s="70" t="s">
        <v>3562</v>
      </c>
      <c r="B1166" s="17" t="s">
        <v>2281</v>
      </c>
      <c r="C1166" s="16" t="s">
        <v>1254</v>
      </c>
      <c r="D1166" s="13">
        <v>7898215151722</v>
      </c>
    </row>
    <row r="1167" spans="1:4">
      <c r="A1167" s="70" t="s">
        <v>3562</v>
      </c>
      <c r="B1167" s="17" t="s">
        <v>2281</v>
      </c>
      <c r="C1167" s="16" t="s">
        <v>1260</v>
      </c>
      <c r="D1167" s="13">
        <v>7898215151944</v>
      </c>
    </row>
    <row r="1168" spans="1:4">
      <c r="A1168" s="70" t="s">
        <v>3562</v>
      </c>
      <c r="B1168" s="17" t="s">
        <v>2281</v>
      </c>
      <c r="C1168" s="16" t="s">
        <v>1260</v>
      </c>
      <c r="D1168" s="13">
        <v>7898215151777</v>
      </c>
    </row>
    <row r="1169" spans="1:4">
      <c r="A1169" s="70" t="s">
        <v>3562</v>
      </c>
      <c r="B1169" s="17" t="s">
        <v>2281</v>
      </c>
      <c r="C1169" s="16" t="s">
        <v>3566</v>
      </c>
      <c r="D1169" s="13">
        <v>17898215151705</v>
      </c>
    </row>
    <row r="1170" spans="1:4">
      <c r="A1170" s="70" t="s">
        <v>3562</v>
      </c>
      <c r="B1170" s="17" t="s">
        <v>2281</v>
      </c>
      <c r="C1170" s="16" t="s">
        <v>3567</v>
      </c>
      <c r="D1170" s="13">
        <v>17898215151729</v>
      </c>
    </row>
    <row r="1171" spans="1:4">
      <c r="A1171" s="70" t="s">
        <v>3562</v>
      </c>
      <c r="B1171" s="17" t="s">
        <v>2281</v>
      </c>
      <c r="C1171" s="16" t="s">
        <v>3568</v>
      </c>
      <c r="D1171" s="13">
        <v>17898215151767</v>
      </c>
    </row>
    <row r="1172" spans="1:4">
      <c r="A1172" s="70" t="s">
        <v>2761</v>
      </c>
      <c r="B1172" s="17" t="s">
        <v>2281</v>
      </c>
      <c r="C1172" s="16" t="s">
        <v>350</v>
      </c>
      <c r="D1172" s="13">
        <v>7898215152811</v>
      </c>
    </row>
    <row r="1173" spans="1:4">
      <c r="A1173" s="70" t="s">
        <v>2761</v>
      </c>
      <c r="B1173" s="17" t="s">
        <v>2281</v>
      </c>
      <c r="C1173" s="72" t="s">
        <v>1641</v>
      </c>
      <c r="D1173" s="75">
        <v>7898215153146</v>
      </c>
    </row>
    <row r="1174" spans="1:4">
      <c r="A1174" s="70" t="s">
        <v>2761</v>
      </c>
      <c r="B1174" s="17" t="s">
        <v>2281</v>
      </c>
      <c r="C1174" s="72" t="s">
        <v>1641</v>
      </c>
      <c r="D1174" s="75">
        <v>17898215152818</v>
      </c>
    </row>
    <row r="1175" spans="1:4">
      <c r="A1175" s="70" t="s">
        <v>993</v>
      </c>
      <c r="B1175" s="17" t="s">
        <v>2281</v>
      </c>
      <c r="C1175" s="16" t="s">
        <v>258</v>
      </c>
      <c r="D1175" s="13">
        <v>7896051128069</v>
      </c>
    </row>
    <row r="1176" spans="1:4">
      <c r="A1176" s="70" t="s">
        <v>993</v>
      </c>
      <c r="B1176" s="17" t="s">
        <v>2281</v>
      </c>
      <c r="C1176" s="16" t="s">
        <v>1017</v>
      </c>
      <c r="D1176" s="13">
        <v>7896051111764</v>
      </c>
    </row>
    <row r="1177" spans="1:4">
      <c r="A1177" s="70" t="s">
        <v>993</v>
      </c>
      <c r="B1177" s="17" t="s">
        <v>2281</v>
      </c>
      <c r="C1177" s="16" t="s">
        <v>1018</v>
      </c>
      <c r="D1177" s="13">
        <v>7896051128076</v>
      </c>
    </row>
    <row r="1178" spans="1:4">
      <c r="A1178" s="70" t="s">
        <v>3465</v>
      </c>
      <c r="B1178" s="17" t="s">
        <v>2281</v>
      </c>
      <c r="C1178" s="16" t="s">
        <v>912</v>
      </c>
      <c r="D1178" s="13">
        <v>7898215157311</v>
      </c>
    </row>
    <row r="1179" spans="1:4">
      <c r="A1179" s="70" t="s">
        <v>3465</v>
      </c>
      <c r="B1179" s="17" t="s">
        <v>2281</v>
      </c>
      <c r="C1179" s="16" t="s">
        <v>911</v>
      </c>
      <c r="D1179" s="13">
        <v>7898215157359</v>
      </c>
    </row>
    <row r="1180" spans="1:4">
      <c r="A1180" s="70" t="s">
        <v>3465</v>
      </c>
      <c r="B1180" s="17" t="s">
        <v>2281</v>
      </c>
      <c r="C1180" s="16" t="s">
        <v>931</v>
      </c>
      <c r="D1180" s="13">
        <v>7891000076248</v>
      </c>
    </row>
    <row r="1181" spans="1:4">
      <c r="A1181" s="70" t="s">
        <v>3465</v>
      </c>
      <c r="B1181" s="17" t="s">
        <v>2281</v>
      </c>
      <c r="C1181" s="16" t="s">
        <v>932</v>
      </c>
      <c r="D1181" s="13">
        <v>7891000106761</v>
      </c>
    </row>
    <row r="1182" spans="1:4">
      <c r="A1182" s="70" t="s">
        <v>3465</v>
      </c>
      <c r="B1182" s="17" t="s">
        <v>2281</v>
      </c>
      <c r="C1182" s="16" t="s">
        <v>939</v>
      </c>
      <c r="D1182" s="13">
        <v>7891000106754</v>
      </c>
    </row>
    <row r="1183" spans="1:4">
      <c r="A1183" s="70" t="s">
        <v>3465</v>
      </c>
      <c r="B1183" s="17" t="s">
        <v>2281</v>
      </c>
      <c r="C1183" s="16" t="s">
        <v>912</v>
      </c>
      <c r="D1183" s="13">
        <v>7891000076231</v>
      </c>
    </row>
    <row r="1184" spans="1:4">
      <c r="A1184" s="70" t="s">
        <v>3465</v>
      </c>
      <c r="B1184" s="17" t="s">
        <v>2281</v>
      </c>
      <c r="C1184" s="16" t="s">
        <v>912</v>
      </c>
      <c r="D1184" s="13">
        <v>7898215157410</v>
      </c>
    </row>
    <row r="1185" spans="1:4">
      <c r="A1185" s="70" t="s">
        <v>3465</v>
      </c>
      <c r="B1185" s="17" t="s">
        <v>2281</v>
      </c>
      <c r="C1185" s="16" t="s">
        <v>939</v>
      </c>
      <c r="D1185" s="13">
        <v>7898215157458</v>
      </c>
    </row>
    <row r="1186" spans="1:4">
      <c r="A1186" s="70" t="s">
        <v>3430</v>
      </c>
      <c r="B1186" s="17" t="s">
        <v>2281</v>
      </c>
      <c r="C1186" s="16" t="s">
        <v>555</v>
      </c>
      <c r="D1186" s="13">
        <v>7898215157328</v>
      </c>
    </row>
    <row r="1187" spans="1:4">
      <c r="A1187" s="70" t="s">
        <v>3430</v>
      </c>
      <c r="B1187" s="17" t="s">
        <v>2281</v>
      </c>
      <c r="C1187" s="16" t="s">
        <v>555</v>
      </c>
      <c r="D1187" s="13">
        <v>7891000076217</v>
      </c>
    </row>
    <row r="1188" spans="1:4">
      <c r="A1188" s="70" t="s">
        <v>3430</v>
      </c>
      <c r="B1188" s="17" t="s">
        <v>2281</v>
      </c>
      <c r="C1188" s="16" t="s">
        <v>555</v>
      </c>
      <c r="D1188" s="13">
        <v>7898215157427</v>
      </c>
    </row>
    <row r="1189" spans="1:4">
      <c r="A1189" s="70" t="s">
        <v>3430</v>
      </c>
      <c r="B1189" s="17" t="s">
        <v>2281</v>
      </c>
      <c r="C1189" s="16" t="s">
        <v>340</v>
      </c>
      <c r="D1189" s="13">
        <v>7898215157304</v>
      </c>
    </row>
    <row r="1190" spans="1:4">
      <c r="A1190" s="70" t="s">
        <v>3430</v>
      </c>
      <c r="B1190" s="17" t="s">
        <v>2281</v>
      </c>
      <c r="C1190" s="16" t="s">
        <v>340</v>
      </c>
      <c r="D1190" s="13">
        <v>7898215157403</v>
      </c>
    </row>
    <row r="1191" spans="1:4">
      <c r="A1191" s="70" t="s">
        <v>3430</v>
      </c>
      <c r="B1191" s="17" t="s">
        <v>2281</v>
      </c>
      <c r="C1191" s="16" t="s">
        <v>340</v>
      </c>
      <c r="D1191" s="13">
        <v>7891000066560</v>
      </c>
    </row>
    <row r="1192" spans="1:4">
      <c r="A1192" s="70" t="s">
        <v>3430</v>
      </c>
      <c r="B1192" s="17" t="s">
        <v>2281</v>
      </c>
      <c r="C1192" s="16" t="s">
        <v>556</v>
      </c>
      <c r="D1192" s="13">
        <v>7898215157342</v>
      </c>
    </row>
    <row r="1193" spans="1:4">
      <c r="A1193" s="70" t="s">
        <v>3430</v>
      </c>
      <c r="B1193" s="17" t="s">
        <v>2281</v>
      </c>
      <c r="C1193" s="16" t="s">
        <v>556</v>
      </c>
      <c r="D1193" s="13">
        <v>7891000066607</v>
      </c>
    </row>
    <row r="1194" spans="1:4">
      <c r="A1194" s="70" t="s">
        <v>3430</v>
      </c>
      <c r="B1194" s="17" t="s">
        <v>2281</v>
      </c>
      <c r="C1194" s="16" t="s">
        <v>556</v>
      </c>
      <c r="D1194" s="13">
        <v>7898215157441</v>
      </c>
    </row>
    <row r="1195" spans="1:4">
      <c r="A1195" s="70" t="s">
        <v>3430</v>
      </c>
      <c r="B1195" s="17" t="s">
        <v>2281</v>
      </c>
      <c r="C1195" s="72" t="s">
        <v>1107</v>
      </c>
      <c r="D1195" s="13">
        <v>7891000076224</v>
      </c>
    </row>
    <row r="1196" spans="1:4">
      <c r="A1196" s="70" t="s">
        <v>3430</v>
      </c>
      <c r="B1196" s="17" t="s">
        <v>2281</v>
      </c>
      <c r="C1196" s="72" t="s">
        <v>3022</v>
      </c>
      <c r="D1196" s="13">
        <v>17898215157424</v>
      </c>
    </row>
    <row r="1197" spans="1:4">
      <c r="A1197" s="70" t="s">
        <v>3430</v>
      </c>
      <c r="B1197" s="17" t="s">
        <v>2281</v>
      </c>
      <c r="C1197" s="72" t="s">
        <v>1108</v>
      </c>
      <c r="D1197" s="13">
        <v>7891000066577</v>
      </c>
    </row>
    <row r="1198" spans="1:4">
      <c r="A1198" s="70" t="s">
        <v>3430</v>
      </c>
      <c r="B1198" s="17" t="s">
        <v>2281</v>
      </c>
      <c r="C1198" s="72" t="s">
        <v>3023</v>
      </c>
      <c r="D1198" s="13">
        <v>17898215157400</v>
      </c>
    </row>
    <row r="1199" spans="1:4">
      <c r="A1199" s="70" t="s">
        <v>3430</v>
      </c>
      <c r="B1199" s="17" t="s">
        <v>2281</v>
      </c>
      <c r="C1199" s="72" t="s">
        <v>1109</v>
      </c>
      <c r="D1199" s="13">
        <v>7891000066614</v>
      </c>
    </row>
    <row r="1200" spans="1:4">
      <c r="A1200" s="70" t="s">
        <v>3430</v>
      </c>
      <c r="B1200" s="17" t="s">
        <v>2281</v>
      </c>
      <c r="C1200" s="72" t="s">
        <v>3024</v>
      </c>
      <c r="D1200" s="13">
        <v>17898215157448</v>
      </c>
    </row>
    <row r="1201" spans="1:4">
      <c r="A1201" s="70" t="s">
        <v>1446</v>
      </c>
      <c r="B1201" s="17" t="s">
        <v>2281</v>
      </c>
      <c r="C1201" s="16" t="s">
        <v>340</v>
      </c>
      <c r="D1201" s="13">
        <v>7898215157304</v>
      </c>
    </row>
    <row r="1202" spans="1:4">
      <c r="A1202" s="70" t="s">
        <v>1446</v>
      </c>
      <c r="B1202" s="17" t="s">
        <v>2281</v>
      </c>
      <c r="C1202" s="16" t="s">
        <v>340</v>
      </c>
      <c r="D1202" s="13">
        <v>7898215157403</v>
      </c>
    </row>
    <row r="1203" spans="1:4">
      <c r="A1203" s="70" t="s">
        <v>1446</v>
      </c>
      <c r="B1203" s="17" t="s">
        <v>2281</v>
      </c>
      <c r="C1203" s="16" t="s">
        <v>340</v>
      </c>
      <c r="D1203" s="13">
        <v>7891000066560</v>
      </c>
    </row>
    <row r="1204" spans="1:4">
      <c r="A1204" s="70" t="s">
        <v>1446</v>
      </c>
      <c r="B1204" s="17" t="s">
        <v>2281</v>
      </c>
      <c r="C1204" s="16" t="s">
        <v>1108</v>
      </c>
      <c r="D1204" s="13">
        <v>7891000066577</v>
      </c>
    </row>
    <row r="1205" spans="1:4">
      <c r="A1205" s="70" t="s">
        <v>1446</v>
      </c>
      <c r="B1205" s="17" t="s">
        <v>2281</v>
      </c>
      <c r="C1205" s="16" t="s">
        <v>340</v>
      </c>
      <c r="D1205" s="13">
        <v>7898215157403</v>
      </c>
    </row>
    <row r="1206" spans="1:4">
      <c r="A1206" s="70" t="s">
        <v>3466</v>
      </c>
      <c r="B1206" s="17" t="s">
        <v>2281</v>
      </c>
      <c r="C1206" s="16" t="s">
        <v>556</v>
      </c>
      <c r="D1206" s="13">
        <v>7898215157342</v>
      </c>
    </row>
    <row r="1207" spans="1:4">
      <c r="A1207" s="70" t="s">
        <v>2072</v>
      </c>
      <c r="B1207" s="17" t="s">
        <v>2281</v>
      </c>
      <c r="C1207" s="16" t="s">
        <v>912</v>
      </c>
      <c r="D1207" s="13">
        <v>7898215157311</v>
      </c>
    </row>
    <row r="1208" spans="1:4">
      <c r="A1208" s="70" t="s">
        <v>2072</v>
      </c>
      <c r="B1208" s="17" t="s">
        <v>2281</v>
      </c>
      <c r="C1208" s="16" t="s">
        <v>912</v>
      </c>
      <c r="D1208" s="13">
        <v>7891000076231</v>
      </c>
    </row>
    <row r="1209" spans="1:4">
      <c r="A1209" s="70" t="s">
        <v>2072</v>
      </c>
      <c r="B1209" s="17" t="s">
        <v>2281</v>
      </c>
      <c r="C1209" s="16" t="s">
        <v>912</v>
      </c>
      <c r="D1209" s="13">
        <v>7898215157410</v>
      </c>
    </row>
    <row r="1210" spans="1:4">
      <c r="A1210" s="70" t="s">
        <v>2072</v>
      </c>
      <c r="B1210" s="17" t="s">
        <v>2281</v>
      </c>
      <c r="C1210" s="16" t="s">
        <v>2074</v>
      </c>
      <c r="D1210" s="13">
        <v>7898215157410</v>
      </c>
    </row>
    <row r="1211" spans="1:4">
      <c r="A1211" s="70" t="s">
        <v>3467</v>
      </c>
      <c r="B1211" s="17" t="s">
        <v>2281</v>
      </c>
      <c r="C1211" s="16" t="s">
        <v>912</v>
      </c>
      <c r="D1211" s="13">
        <v>7898215157311</v>
      </c>
    </row>
    <row r="1212" spans="1:4">
      <c r="A1212" s="70" t="s">
        <v>3467</v>
      </c>
      <c r="B1212" s="17" t="s">
        <v>2281</v>
      </c>
      <c r="C1212" s="16" t="s">
        <v>911</v>
      </c>
      <c r="D1212" s="13">
        <v>7898215157359</v>
      </c>
    </row>
    <row r="1213" spans="1:4">
      <c r="A1213" s="70" t="s">
        <v>3467</v>
      </c>
      <c r="B1213" s="17" t="s">
        <v>2281</v>
      </c>
      <c r="C1213" s="16" t="s">
        <v>2006</v>
      </c>
      <c r="D1213" s="13">
        <v>7891000076248</v>
      </c>
    </row>
    <row r="1214" spans="1:4">
      <c r="A1214" s="70" t="s">
        <v>3467</v>
      </c>
      <c r="B1214" s="17" t="s">
        <v>2281</v>
      </c>
      <c r="C1214" s="16" t="s">
        <v>2008</v>
      </c>
      <c r="D1214" s="13">
        <v>7891000106761</v>
      </c>
    </row>
    <row r="1215" spans="1:4">
      <c r="A1215" s="70" t="s">
        <v>3467</v>
      </c>
      <c r="B1215" s="17" t="s">
        <v>2281</v>
      </c>
      <c r="C1215" s="16" t="s">
        <v>2009</v>
      </c>
      <c r="D1215" s="13">
        <v>7898215157417</v>
      </c>
    </row>
    <row r="1216" spans="1:4">
      <c r="A1216" s="70" t="s">
        <v>3467</v>
      </c>
      <c r="B1216" s="17" t="s">
        <v>2281</v>
      </c>
      <c r="C1216" s="16" t="s">
        <v>939</v>
      </c>
      <c r="D1216" s="13">
        <v>7891000106754</v>
      </c>
    </row>
    <row r="1217" spans="1:4">
      <c r="A1217" s="70" t="s">
        <v>3467</v>
      </c>
      <c r="B1217" s="17" t="s">
        <v>2281</v>
      </c>
      <c r="C1217" s="16" t="s">
        <v>912</v>
      </c>
      <c r="D1217" s="13">
        <v>7891000076231</v>
      </c>
    </row>
    <row r="1218" spans="1:4">
      <c r="A1218" s="70" t="s">
        <v>3467</v>
      </c>
      <c r="B1218" s="17" t="s">
        <v>2281</v>
      </c>
      <c r="C1218" s="16" t="s">
        <v>912</v>
      </c>
      <c r="D1218" s="13">
        <v>7898215157410</v>
      </c>
    </row>
    <row r="1219" spans="1:4">
      <c r="A1219" s="70" t="s">
        <v>3467</v>
      </c>
      <c r="B1219" s="17" t="s">
        <v>2281</v>
      </c>
      <c r="C1219" s="16" t="s">
        <v>939</v>
      </c>
      <c r="D1219" s="13">
        <v>7898215157458</v>
      </c>
    </row>
    <row r="1220" spans="1:4">
      <c r="A1220" s="70" t="s">
        <v>2145</v>
      </c>
      <c r="B1220" s="17" t="s">
        <v>2285</v>
      </c>
      <c r="C1220" s="16" t="s">
        <v>2146</v>
      </c>
      <c r="D1220" s="13">
        <v>7896018700659</v>
      </c>
    </row>
    <row r="1221" spans="1:4">
      <c r="A1221" s="70" t="s">
        <v>2145</v>
      </c>
      <c r="B1221" s="17" t="s">
        <v>2285</v>
      </c>
      <c r="C1221" s="16" t="s">
        <v>2147</v>
      </c>
      <c r="D1221" s="13">
        <v>7896018700604</v>
      </c>
    </row>
    <row r="1222" spans="1:4">
      <c r="A1222" s="70" t="s">
        <v>1401</v>
      </c>
      <c r="B1222" s="17" t="s">
        <v>2284</v>
      </c>
      <c r="C1222" s="16" t="s">
        <v>1415</v>
      </c>
      <c r="D1222" s="13">
        <v>7896280400097</v>
      </c>
    </row>
    <row r="1223" spans="1:4">
      <c r="A1223" s="70" t="s">
        <v>1987</v>
      </c>
      <c r="B1223" s="17" t="s">
        <v>2283</v>
      </c>
      <c r="C1223" s="16" t="s">
        <v>1991</v>
      </c>
      <c r="D1223" s="13">
        <v>5011013100132</v>
      </c>
    </row>
    <row r="1224" spans="1:4">
      <c r="A1224" s="70" t="s">
        <v>1954</v>
      </c>
      <c r="B1224" s="17" t="s">
        <v>2286</v>
      </c>
      <c r="C1224" s="16" t="s">
        <v>1958</v>
      </c>
      <c r="D1224" s="13">
        <v>7896183301071</v>
      </c>
    </row>
    <row r="1225" spans="1:4">
      <c r="A1225" s="70" t="s">
        <v>1954</v>
      </c>
      <c r="B1225" s="17" t="s">
        <v>2286</v>
      </c>
      <c r="C1225" s="16" t="s">
        <v>1959</v>
      </c>
      <c r="D1225" s="13">
        <v>7896183301057</v>
      </c>
    </row>
    <row r="1226" spans="1:4">
      <c r="A1226" s="70" t="s">
        <v>1954</v>
      </c>
      <c r="B1226" s="17" t="s">
        <v>2286</v>
      </c>
      <c r="C1226" s="16" t="s">
        <v>1960</v>
      </c>
      <c r="D1226" s="13">
        <v>7896183301262</v>
      </c>
    </row>
    <row r="1227" spans="1:4">
      <c r="A1227" s="70" t="s">
        <v>1954</v>
      </c>
      <c r="B1227" s="17" t="s">
        <v>2286</v>
      </c>
      <c r="C1227" s="16" t="s">
        <v>1961</v>
      </c>
      <c r="D1227" s="13">
        <v>7896183301064</v>
      </c>
    </row>
    <row r="1228" spans="1:4">
      <c r="A1228" s="70" t="s">
        <v>1954</v>
      </c>
      <c r="B1228" s="17" t="s">
        <v>2286</v>
      </c>
      <c r="C1228" s="16" t="s">
        <v>1962</v>
      </c>
      <c r="D1228" s="13">
        <v>7896183305833</v>
      </c>
    </row>
    <row r="1229" spans="1:4">
      <c r="A1229" s="70" t="s">
        <v>528</v>
      </c>
      <c r="B1229" s="17" t="s">
        <v>2282</v>
      </c>
      <c r="C1229" s="16" t="s">
        <v>545</v>
      </c>
      <c r="D1229" s="13">
        <v>99042</v>
      </c>
    </row>
    <row r="1230" spans="1:4">
      <c r="A1230" s="70" t="s">
        <v>142</v>
      </c>
      <c r="B1230" s="17" t="s">
        <v>2282</v>
      </c>
      <c r="C1230" s="16" t="s">
        <v>142</v>
      </c>
      <c r="D1230" s="13">
        <v>99301</v>
      </c>
    </row>
    <row r="1231" spans="1:4">
      <c r="A1231" s="70" t="s">
        <v>836</v>
      </c>
      <c r="B1231" s="17" t="s">
        <v>2282</v>
      </c>
      <c r="C1231" s="16" t="s">
        <v>863</v>
      </c>
      <c r="D1231" s="13">
        <v>99721</v>
      </c>
    </row>
    <row r="1232" spans="1:4">
      <c r="A1232" s="70" t="s">
        <v>318</v>
      </c>
      <c r="B1232" s="17" t="s">
        <v>2282</v>
      </c>
      <c r="C1232" s="16" t="s">
        <v>320</v>
      </c>
      <c r="D1232" s="13">
        <v>99240</v>
      </c>
    </row>
    <row r="1233" spans="1:4">
      <c r="A1233" s="70" t="s">
        <v>317</v>
      </c>
      <c r="B1233" s="17" t="s">
        <v>2282</v>
      </c>
      <c r="C1233" s="16" t="s">
        <v>335</v>
      </c>
      <c r="D1233" s="13">
        <v>7894904204557</v>
      </c>
    </row>
    <row r="1234" spans="1:4">
      <c r="A1234" s="70" t="s">
        <v>49</v>
      </c>
      <c r="B1234" s="17" t="s">
        <v>2282</v>
      </c>
      <c r="C1234" s="16" t="s">
        <v>376</v>
      </c>
      <c r="D1234" s="13">
        <v>99073</v>
      </c>
    </row>
    <row r="1235" spans="1:4">
      <c r="A1235" s="70" t="s">
        <v>1935</v>
      </c>
      <c r="B1235" s="17" t="s">
        <v>2282</v>
      </c>
      <c r="C1235" s="16" t="s">
        <v>3377</v>
      </c>
      <c r="D1235" s="13">
        <v>99318</v>
      </c>
    </row>
    <row r="1236" spans="1:4">
      <c r="A1236" s="70" t="s">
        <v>103</v>
      </c>
      <c r="B1236" s="17" t="s">
        <v>2282</v>
      </c>
      <c r="C1236" s="16" t="s">
        <v>103</v>
      </c>
      <c r="D1236" s="13">
        <v>99738</v>
      </c>
    </row>
    <row r="1237" spans="1:4">
      <c r="A1237" s="70" t="s">
        <v>2275</v>
      </c>
      <c r="B1237" s="17" t="s">
        <v>2282</v>
      </c>
      <c r="C1237" s="16" t="s">
        <v>1490</v>
      </c>
      <c r="D1237" s="13">
        <v>99257</v>
      </c>
    </row>
    <row r="1238" spans="1:4">
      <c r="A1238" s="70" t="s">
        <v>457</v>
      </c>
      <c r="B1238" s="17" t="s">
        <v>2285</v>
      </c>
      <c r="C1238" s="16" t="s">
        <v>462</v>
      </c>
      <c r="D1238" s="13">
        <v>7896044995777</v>
      </c>
    </row>
    <row r="1239" spans="1:4">
      <c r="A1239" s="70" t="s">
        <v>457</v>
      </c>
      <c r="B1239" s="17" t="s">
        <v>2285</v>
      </c>
      <c r="C1239" s="16" t="s">
        <v>463</v>
      </c>
      <c r="D1239" s="13">
        <v>7896044954545</v>
      </c>
    </row>
    <row r="1240" spans="1:4">
      <c r="A1240" s="70" t="s">
        <v>457</v>
      </c>
      <c r="B1240" s="17" t="s">
        <v>2285</v>
      </c>
      <c r="C1240" s="16" t="s">
        <v>464</v>
      </c>
      <c r="D1240" s="13">
        <v>7896044956372</v>
      </c>
    </row>
    <row r="1241" spans="1:4">
      <c r="A1241" s="70" t="s">
        <v>457</v>
      </c>
      <c r="B1241" s="17" t="s">
        <v>2285</v>
      </c>
      <c r="C1241" s="16" t="s">
        <v>465</v>
      </c>
      <c r="D1241" s="13">
        <v>7896044954521</v>
      </c>
    </row>
    <row r="1242" spans="1:4">
      <c r="A1242" s="70" t="s">
        <v>457</v>
      </c>
      <c r="B1242" s="17" t="s">
        <v>2285</v>
      </c>
      <c r="C1242" s="16" t="s">
        <v>466</v>
      </c>
      <c r="D1242" s="13">
        <v>7896044954552</v>
      </c>
    </row>
    <row r="1243" spans="1:4">
      <c r="A1243" s="70" t="s">
        <v>457</v>
      </c>
      <c r="B1243" s="17" t="s">
        <v>2285</v>
      </c>
      <c r="C1243" s="16" t="s">
        <v>467</v>
      </c>
      <c r="D1243" s="13">
        <v>7896044996828</v>
      </c>
    </row>
    <row r="1244" spans="1:4">
      <c r="A1244" s="70" t="s">
        <v>457</v>
      </c>
      <c r="B1244" s="17" t="s">
        <v>2285</v>
      </c>
      <c r="C1244" s="16" t="s">
        <v>468</v>
      </c>
      <c r="D1244" s="13">
        <v>7896044954538</v>
      </c>
    </row>
    <row r="1245" spans="1:4">
      <c r="A1245" s="70" t="s">
        <v>457</v>
      </c>
      <c r="B1245" s="17" t="s">
        <v>2285</v>
      </c>
      <c r="C1245" s="16" t="s">
        <v>484</v>
      </c>
      <c r="D1245" s="13">
        <v>7896044954569</v>
      </c>
    </row>
    <row r="1246" spans="1:4">
      <c r="A1246" s="70" t="s">
        <v>457</v>
      </c>
      <c r="B1246" s="17" t="s">
        <v>2285</v>
      </c>
      <c r="C1246" s="16" t="s">
        <v>485</v>
      </c>
      <c r="D1246" s="13">
        <v>7896044960164</v>
      </c>
    </row>
    <row r="1247" spans="1:4">
      <c r="A1247" s="70" t="s">
        <v>2830</v>
      </c>
      <c r="B1247" s="17" t="s">
        <v>2284</v>
      </c>
      <c r="C1247" s="16" t="s">
        <v>1093</v>
      </c>
      <c r="D1247" s="13">
        <v>7896022204174</v>
      </c>
    </row>
    <row r="1248" spans="1:4">
      <c r="A1248" s="70" t="s">
        <v>2830</v>
      </c>
      <c r="B1248" s="17" t="s">
        <v>2284</v>
      </c>
      <c r="C1248" s="16" t="s">
        <v>1094</v>
      </c>
      <c r="D1248" s="13">
        <v>7896022204150</v>
      </c>
    </row>
    <row r="1249" spans="1:4">
      <c r="A1249" s="70" t="s">
        <v>2830</v>
      </c>
      <c r="B1249" s="17" t="s">
        <v>2284</v>
      </c>
      <c r="C1249" s="16" t="s">
        <v>1095</v>
      </c>
      <c r="D1249" s="13">
        <v>7896022204143</v>
      </c>
    </row>
    <row r="1250" spans="1:4">
      <c r="A1250" s="70" t="s">
        <v>1280</v>
      </c>
      <c r="B1250" s="17" t="s">
        <v>2284</v>
      </c>
      <c r="C1250" s="16" t="s">
        <v>302</v>
      </c>
      <c r="D1250" s="13">
        <v>7896022202996</v>
      </c>
    </row>
    <row r="1251" spans="1:4">
      <c r="A1251" s="70" t="s">
        <v>1280</v>
      </c>
      <c r="B1251" s="17" t="s">
        <v>2284</v>
      </c>
      <c r="C1251" s="16" t="s">
        <v>303</v>
      </c>
      <c r="D1251" s="13">
        <v>7896022200879</v>
      </c>
    </row>
    <row r="1252" spans="1:4">
      <c r="A1252" s="70" t="s">
        <v>1280</v>
      </c>
      <c r="B1252" s="17" t="s">
        <v>2284</v>
      </c>
      <c r="C1252" s="16" t="s">
        <v>304</v>
      </c>
      <c r="D1252" s="13">
        <v>7896022202972</v>
      </c>
    </row>
    <row r="1253" spans="1:4">
      <c r="A1253" s="70" t="s">
        <v>1280</v>
      </c>
      <c r="B1253" s="17" t="s">
        <v>2284</v>
      </c>
      <c r="C1253" s="16" t="s">
        <v>305</v>
      </c>
      <c r="D1253" s="13">
        <v>7896022202989</v>
      </c>
    </row>
    <row r="1254" spans="1:4">
      <c r="A1254" s="70" t="s">
        <v>1280</v>
      </c>
      <c r="B1254" s="17" t="s">
        <v>2284</v>
      </c>
      <c r="C1254" s="16" t="s">
        <v>306</v>
      </c>
      <c r="D1254" s="13">
        <v>7896022203443</v>
      </c>
    </row>
    <row r="1255" spans="1:4">
      <c r="A1255" s="70" t="s">
        <v>965</v>
      </c>
      <c r="B1255" s="17" t="s">
        <v>2284</v>
      </c>
      <c r="C1255" s="16" t="s">
        <v>981</v>
      </c>
      <c r="D1255" s="13">
        <v>7896232111842</v>
      </c>
    </row>
    <row r="1256" spans="1:4">
      <c r="A1256" s="70" t="s">
        <v>965</v>
      </c>
      <c r="B1256" s="17" t="s">
        <v>2284</v>
      </c>
      <c r="C1256" s="16" t="s">
        <v>982</v>
      </c>
      <c r="D1256" s="13">
        <v>7896232111828</v>
      </c>
    </row>
    <row r="1257" spans="1:4">
      <c r="A1257" s="70" t="s">
        <v>965</v>
      </c>
      <c r="B1257" s="17" t="s">
        <v>2284</v>
      </c>
      <c r="C1257" s="16" t="s">
        <v>983</v>
      </c>
      <c r="D1257" s="13">
        <v>7896232111804</v>
      </c>
    </row>
    <row r="1258" spans="1:4">
      <c r="A1258" s="70" t="s">
        <v>965</v>
      </c>
      <c r="B1258" s="17" t="s">
        <v>2284</v>
      </c>
      <c r="C1258" s="16" t="s">
        <v>984</v>
      </c>
      <c r="D1258" s="13">
        <v>7896232111811</v>
      </c>
    </row>
    <row r="1259" spans="1:4">
      <c r="A1259" s="70" t="s">
        <v>965</v>
      </c>
      <c r="B1259" s="17" t="s">
        <v>2284</v>
      </c>
      <c r="C1259" s="16" t="s">
        <v>985</v>
      </c>
      <c r="D1259" s="13">
        <v>7896232111835</v>
      </c>
    </row>
    <row r="1260" spans="1:4">
      <c r="A1260" s="70" t="s">
        <v>965</v>
      </c>
      <c r="B1260" s="17" t="s">
        <v>2284</v>
      </c>
      <c r="C1260" s="16" t="s">
        <v>986</v>
      </c>
      <c r="D1260" s="13">
        <v>7896232115802</v>
      </c>
    </row>
    <row r="1261" spans="1:4">
      <c r="A1261" s="70" t="s">
        <v>965</v>
      </c>
      <c r="B1261" s="17" t="s">
        <v>2284</v>
      </c>
      <c r="C1261" s="16" t="s">
        <v>987</v>
      </c>
      <c r="D1261" s="13">
        <v>7896232113464</v>
      </c>
    </row>
    <row r="1262" spans="1:4">
      <c r="A1262" s="70" t="s">
        <v>965</v>
      </c>
      <c r="B1262" s="17" t="s">
        <v>2284</v>
      </c>
      <c r="C1262" s="16" t="s">
        <v>988</v>
      </c>
      <c r="D1262" s="13">
        <v>7896232113488</v>
      </c>
    </row>
    <row r="1263" spans="1:4">
      <c r="A1263" s="70" t="s">
        <v>965</v>
      </c>
      <c r="B1263" s="17" t="s">
        <v>2284</v>
      </c>
      <c r="C1263" s="16" t="s">
        <v>989</v>
      </c>
      <c r="D1263" s="13">
        <v>7896232113471</v>
      </c>
    </row>
    <row r="1264" spans="1:4">
      <c r="A1264" s="70" t="s">
        <v>965</v>
      </c>
      <c r="B1264" s="17" t="s">
        <v>2284</v>
      </c>
      <c r="C1264" s="16" t="s">
        <v>990</v>
      </c>
      <c r="D1264" s="13">
        <v>7896232113457</v>
      </c>
    </row>
    <row r="1265" spans="1:4">
      <c r="A1265" s="70" t="s">
        <v>311</v>
      </c>
      <c r="B1265" s="17" t="s">
        <v>2284</v>
      </c>
      <c r="C1265" s="16" t="s">
        <v>314</v>
      </c>
      <c r="D1265" s="13">
        <v>7896022202811</v>
      </c>
    </row>
    <row r="1266" spans="1:4">
      <c r="A1266" s="70" t="s">
        <v>311</v>
      </c>
      <c r="B1266" s="17" t="s">
        <v>2284</v>
      </c>
      <c r="C1266" s="16" t="s">
        <v>1064</v>
      </c>
      <c r="D1266" s="13">
        <v>7896022204129</v>
      </c>
    </row>
    <row r="1267" spans="1:4">
      <c r="A1267" s="70" t="s">
        <v>3468</v>
      </c>
      <c r="B1267" s="17" t="s">
        <v>2284</v>
      </c>
      <c r="C1267" s="16" t="s">
        <v>387</v>
      </c>
      <c r="D1267" s="13">
        <v>7896022201944</v>
      </c>
    </row>
    <row r="1268" spans="1:4">
      <c r="A1268" s="70" t="s">
        <v>3468</v>
      </c>
      <c r="B1268" s="17" t="s">
        <v>2284</v>
      </c>
      <c r="C1268" s="16" t="s">
        <v>388</v>
      </c>
      <c r="D1268" s="13">
        <v>7896022201906</v>
      </c>
    </row>
    <row r="1269" spans="1:4">
      <c r="A1269" s="70" t="s">
        <v>3468</v>
      </c>
      <c r="B1269" s="17" t="s">
        <v>2284</v>
      </c>
      <c r="C1269" s="16" t="s">
        <v>389</v>
      </c>
      <c r="D1269" s="13">
        <v>7896022201869</v>
      </c>
    </row>
    <row r="1270" spans="1:4">
      <c r="A1270" s="70" t="s">
        <v>3468</v>
      </c>
      <c r="B1270" s="17" t="s">
        <v>2284</v>
      </c>
      <c r="C1270" s="16" t="s">
        <v>390</v>
      </c>
      <c r="D1270" s="13">
        <v>7896022201852</v>
      </c>
    </row>
    <row r="1271" spans="1:4">
      <c r="A1271" s="70" t="s">
        <v>3468</v>
      </c>
      <c r="B1271" s="17" t="s">
        <v>2284</v>
      </c>
      <c r="C1271" s="16" t="s">
        <v>391</v>
      </c>
      <c r="D1271" s="13">
        <v>7896022201913</v>
      </c>
    </row>
    <row r="1272" spans="1:4">
      <c r="A1272" s="70" t="s">
        <v>3468</v>
      </c>
      <c r="B1272" s="17" t="s">
        <v>2284</v>
      </c>
      <c r="C1272" s="16" t="s">
        <v>392</v>
      </c>
      <c r="D1272" s="13">
        <v>7896022201890</v>
      </c>
    </row>
    <row r="1273" spans="1:4">
      <c r="A1273" s="70" t="s">
        <v>3468</v>
      </c>
      <c r="B1273" s="17" t="s">
        <v>2284</v>
      </c>
      <c r="C1273" s="16" t="s">
        <v>410</v>
      </c>
      <c r="D1273" s="13">
        <v>7896022200909</v>
      </c>
    </row>
    <row r="1274" spans="1:4">
      <c r="A1274" s="70" t="s">
        <v>3468</v>
      </c>
      <c r="B1274" s="17" t="s">
        <v>2284</v>
      </c>
      <c r="C1274" s="16" t="s">
        <v>393</v>
      </c>
      <c r="D1274" s="13">
        <v>7896022201937</v>
      </c>
    </row>
    <row r="1275" spans="1:4">
      <c r="A1275" s="70" t="s">
        <v>3468</v>
      </c>
      <c r="B1275" s="17" t="s">
        <v>2284</v>
      </c>
      <c r="C1275" s="16" t="s">
        <v>416</v>
      </c>
      <c r="D1275" s="13">
        <v>7896022203146</v>
      </c>
    </row>
    <row r="1276" spans="1:4">
      <c r="A1276" s="70" t="s">
        <v>3468</v>
      </c>
      <c r="B1276" s="17" t="s">
        <v>2284</v>
      </c>
      <c r="C1276" s="16" t="s">
        <v>411</v>
      </c>
      <c r="D1276" s="13">
        <v>7896022203849</v>
      </c>
    </row>
    <row r="1277" spans="1:4">
      <c r="A1277" s="70" t="s">
        <v>3468</v>
      </c>
      <c r="B1277" s="17" t="s">
        <v>2284</v>
      </c>
      <c r="C1277" s="16" t="s">
        <v>412</v>
      </c>
      <c r="D1277" s="13">
        <v>7896022203122</v>
      </c>
    </row>
    <row r="1278" spans="1:4">
      <c r="A1278" s="70" t="s">
        <v>3468</v>
      </c>
      <c r="B1278" s="17" t="s">
        <v>2284</v>
      </c>
      <c r="C1278" s="16" t="s">
        <v>413</v>
      </c>
      <c r="D1278" s="13">
        <v>7896022203139</v>
      </c>
    </row>
    <row r="1279" spans="1:4">
      <c r="A1279" s="70" t="s">
        <v>3468</v>
      </c>
      <c r="B1279" s="17" t="s">
        <v>2284</v>
      </c>
      <c r="C1279" s="16" t="s">
        <v>414</v>
      </c>
      <c r="D1279" s="13">
        <v>7896022204006</v>
      </c>
    </row>
    <row r="1280" spans="1:4">
      <c r="A1280" s="70" t="s">
        <v>3468</v>
      </c>
      <c r="B1280" s="17" t="s">
        <v>2284</v>
      </c>
      <c r="C1280" s="16" t="s">
        <v>415</v>
      </c>
      <c r="D1280" s="13">
        <v>7896022202101</v>
      </c>
    </row>
    <row r="1281" spans="1:4">
      <c r="A1281" s="70" t="s">
        <v>3469</v>
      </c>
      <c r="B1281" s="17" t="s">
        <v>2284</v>
      </c>
      <c r="C1281" s="16" t="s">
        <v>483</v>
      </c>
      <c r="D1281" s="13">
        <v>7896022200282</v>
      </c>
    </row>
    <row r="1282" spans="1:4">
      <c r="A1282" s="70" t="s">
        <v>3469</v>
      </c>
      <c r="B1282" s="17" t="s">
        <v>2284</v>
      </c>
      <c r="C1282" s="16" t="s">
        <v>482</v>
      </c>
      <c r="D1282" s="13">
        <v>7896022200275</v>
      </c>
    </row>
    <row r="1283" spans="1:4">
      <c r="A1283" s="70" t="s">
        <v>3469</v>
      </c>
      <c r="B1283" s="17" t="s">
        <v>2284</v>
      </c>
      <c r="C1283" s="16" t="s">
        <v>481</v>
      </c>
      <c r="D1283" s="13">
        <v>7896022205478</v>
      </c>
    </row>
    <row r="1284" spans="1:4">
      <c r="A1284" s="70" t="s">
        <v>3469</v>
      </c>
      <c r="B1284" s="17" t="s">
        <v>2284</v>
      </c>
      <c r="C1284" s="16" t="s">
        <v>480</v>
      </c>
      <c r="D1284" s="13">
        <v>7896022200206</v>
      </c>
    </row>
    <row r="1285" spans="1:4">
      <c r="A1285" s="70" t="s">
        <v>1923</v>
      </c>
      <c r="B1285" s="17" t="s">
        <v>2284</v>
      </c>
      <c r="C1285" s="16" t="s">
        <v>1928</v>
      </c>
      <c r="D1285" s="13">
        <v>7896022200022</v>
      </c>
    </row>
    <row r="1286" spans="1:4">
      <c r="A1286" s="70" t="s">
        <v>1923</v>
      </c>
      <c r="B1286" s="17" t="s">
        <v>2284</v>
      </c>
      <c r="C1286" s="16" t="s">
        <v>1929</v>
      </c>
      <c r="D1286" s="13">
        <v>7896022202606</v>
      </c>
    </row>
    <row r="1287" spans="1:4">
      <c r="A1287" s="70" t="s">
        <v>1923</v>
      </c>
      <c r="B1287" s="17" t="s">
        <v>2284</v>
      </c>
      <c r="C1287" s="16" t="s">
        <v>1930</v>
      </c>
      <c r="D1287" s="13">
        <v>7896022200039</v>
      </c>
    </row>
    <row r="1288" spans="1:4">
      <c r="A1288" s="70" t="s">
        <v>1923</v>
      </c>
      <c r="B1288" s="17" t="s">
        <v>2284</v>
      </c>
      <c r="C1288" s="16" t="s">
        <v>1931</v>
      </c>
      <c r="D1288" s="13">
        <v>7896022202620</v>
      </c>
    </row>
    <row r="1289" spans="1:4">
      <c r="A1289" s="70" t="s">
        <v>1923</v>
      </c>
      <c r="B1289" s="17" t="s">
        <v>2284</v>
      </c>
      <c r="C1289" s="16" t="s">
        <v>1932</v>
      </c>
      <c r="D1289" s="13">
        <v>7896022200046</v>
      </c>
    </row>
    <row r="1290" spans="1:4">
      <c r="A1290" s="70" t="s">
        <v>75</v>
      </c>
      <c r="B1290" s="17" t="s">
        <v>2284</v>
      </c>
      <c r="C1290" s="16" t="s">
        <v>332</v>
      </c>
      <c r="D1290" s="13">
        <v>7896239821256</v>
      </c>
    </row>
    <row r="1291" spans="1:4">
      <c r="A1291" s="70" t="s">
        <v>75</v>
      </c>
      <c r="B1291" s="17" t="s">
        <v>2284</v>
      </c>
      <c r="C1291" s="16" t="s">
        <v>331</v>
      </c>
      <c r="D1291" s="13">
        <v>7896239820525</v>
      </c>
    </row>
    <row r="1292" spans="1:4">
      <c r="A1292" s="70" t="s">
        <v>75</v>
      </c>
      <c r="B1292" s="17" t="s">
        <v>2284</v>
      </c>
      <c r="C1292" s="16" t="s">
        <v>330</v>
      </c>
      <c r="D1292" s="13">
        <v>7896239821249</v>
      </c>
    </row>
    <row r="1293" spans="1:4">
      <c r="A1293" s="70" t="s">
        <v>75</v>
      </c>
      <c r="B1293" s="17" t="s">
        <v>2284</v>
      </c>
      <c r="C1293" s="16" t="s">
        <v>329</v>
      </c>
      <c r="D1293" s="13">
        <v>7896239821119</v>
      </c>
    </row>
    <row r="1294" spans="1:4">
      <c r="A1294" s="70" t="s">
        <v>144</v>
      </c>
      <c r="B1294" s="17" t="s">
        <v>2284</v>
      </c>
      <c r="C1294" s="16" t="s">
        <v>257</v>
      </c>
      <c r="D1294" s="13">
        <v>7897517205560</v>
      </c>
    </row>
    <row r="1295" spans="1:4">
      <c r="A1295" s="70" t="s">
        <v>1065</v>
      </c>
      <c r="B1295" s="17" t="s">
        <v>2284</v>
      </c>
      <c r="C1295" s="16" t="s">
        <v>1461</v>
      </c>
      <c r="D1295" s="13">
        <v>7894000050034</v>
      </c>
    </row>
    <row r="1296" spans="1:4">
      <c r="A1296" s="70" t="s">
        <v>137</v>
      </c>
      <c r="B1296" s="17" t="s">
        <v>2284</v>
      </c>
      <c r="C1296" s="16" t="s">
        <v>137</v>
      </c>
      <c r="D1296" s="13">
        <v>7891031412176</v>
      </c>
    </row>
    <row r="1297" spans="1:4">
      <c r="A1297" s="70" t="s">
        <v>2193</v>
      </c>
      <c r="B1297" s="17" t="s">
        <v>2284</v>
      </c>
      <c r="C1297" s="16" t="s">
        <v>2222</v>
      </c>
      <c r="D1297" s="13">
        <v>7896036091326</v>
      </c>
    </row>
    <row r="1298" spans="1:4">
      <c r="A1298" s="70" t="s">
        <v>601</v>
      </c>
      <c r="B1298" s="17" t="s">
        <v>2284</v>
      </c>
      <c r="C1298" s="16" t="s">
        <v>625</v>
      </c>
      <c r="D1298" s="13">
        <v>7891999004888</v>
      </c>
    </row>
    <row r="1299" spans="1:4">
      <c r="A1299" s="70" t="s">
        <v>1255</v>
      </c>
      <c r="B1299" s="17" t="s">
        <v>2288</v>
      </c>
      <c r="C1299" s="16" t="s">
        <v>1256</v>
      </c>
      <c r="D1299" s="13">
        <v>7898908207514</v>
      </c>
    </row>
    <row r="1300" spans="1:4">
      <c r="A1300" s="70" t="s">
        <v>1255</v>
      </c>
      <c r="B1300" s="17" t="s">
        <v>2288</v>
      </c>
      <c r="C1300" s="16" t="s">
        <v>1257</v>
      </c>
      <c r="D1300" s="13">
        <v>7898908207521</v>
      </c>
    </row>
    <row r="1301" spans="1:4">
      <c r="A1301" s="70" t="s">
        <v>1255</v>
      </c>
      <c r="B1301" s="17" t="s">
        <v>2288</v>
      </c>
      <c r="C1301" s="16" t="s">
        <v>1356</v>
      </c>
      <c r="D1301" s="13">
        <v>7898908207590</v>
      </c>
    </row>
    <row r="1302" spans="1:4">
      <c r="A1302" s="70" t="s">
        <v>1255</v>
      </c>
      <c r="B1302" s="17" t="s">
        <v>2288</v>
      </c>
      <c r="C1302" s="16" t="s">
        <v>1357</v>
      </c>
      <c r="D1302" s="13">
        <v>7898908207606</v>
      </c>
    </row>
    <row r="1303" spans="1:4">
      <c r="A1303" s="70" t="s">
        <v>1216</v>
      </c>
      <c r="B1303" s="17" t="s">
        <v>2288</v>
      </c>
      <c r="C1303" s="16" t="s">
        <v>1225</v>
      </c>
      <c r="D1303" s="13">
        <v>7896238101229</v>
      </c>
    </row>
    <row r="1304" spans="1:4">
      <c r="A1304" s="70" t="s">
        <v>1216</v>
      </c>
      <c r="B1304" s="17" t="s">
        <v>2288</v>
      </c>
      <c r="C1304" s="16" t="s">
        <v>1226</v>
      </c>
      <c r="D1304" s="13">
        <v>7896238101236</v>
      </c>
    </row>
    <row r="1305" spans="1:4">
      <c r="A1305" s="70" t="s">
        <v>1944</v>
      </c>
      <c r="B1305" s="17" t="s">
        <v>2288</v>
      </c>
      <c r="C1305" s="16" t="s">
        <v>1946</v>
      </c>
      <c r="D1305" s="13">
        <v>7891080400087</v>
      </c>
    </row>
    <row r="1306" spans="1:4">
      <c r="A1306" s="70" t="s">
        <v>1944</v>
      </c>
      <c r="B1306" s="17" t="s">
        <v>2288</v>
      </c>
      <c r="C1306" s="16" t="s">
        <v>1947</v>
      </c>
      <c r="D1306" s="13">
        <v>7891080400070</v>
      </c>
    </row>
    <row r="1307" spans="1:4">
      <c r="A1307" s="70" t="s">
        <v>17</v>
      </c>
      <c r="B1307" s="17" t="s">
        <v>2288</v>
      </c>
      <c r="C1307" s="16" t="s">
        <v>275</v>
      </c>
      <c r="D1307" s="13">
        <v>7894904571956</v>
      </c>
    </row>
    <row r="1308" spans="1:4">
      <c r="A1308" s="70" t="s">
        <v>17</v>
      </c>
      <c r="B1308" s="17" t="s">
        <v>2288</v>
      </c>
      <c r="C1308" s="16" t="s">
        <v>276</v>
      </c>
      <c r="D1308" s="13">
        <v>7894904571963</v>
      </c>
    </row>
    <row r="1309" spans="1:4">
      <c r="A1309" s="70" t="s">
        <v>453</v>
      </c>
      <c r="B1309" s="17" t="s">
        <v>2288</v>
      </c>
      <c r="C1309" s="16" t="s">
        <v>451</v>
      </c>
      <c r="D1309" s="13">
        <v>7893000383005</v>
      </c>
    </row>
    <row r="1310" spans="1:4">
      <c r="A1310" s="70" t="s">
        <v>453</v>
      </c>
      <c r="B1310" s="17" t="s">
        <v>2288</v>
      </c>
      <c r="C1310" s="16" t="s">
        <v>452</v>
      </c>
      <c r="D1310" s="13">
        <v>7893000394209</v>
      </c>
    </row>
    <row r="1311" spans="1:4">
      <c r="A1311" s="70" t="s">
        <v>3470</v>
      </c>
      <c r="B1311" s="17" t="s">
        <v>2288</v>
      </c>
      <c r="C1311" s="16" t="s">
        <v>787</v>
      </c>
      <c r="D1311" s="13">
        <v>7891999011039</v>
      </c>
    </row>
    <row r="1312" spans="1:4">
      <c r="A1312" s="70" t="s">
        <v>3470</v>
      </c>
      <c r="B1312" s="17" t="s">
        <v>2288</v>
      </c>
      <c r="C1312" s="16" t="s">
        <v>2616</v>
      </c>
      <c r="D1312" s="13">
        <v>7891999010995</v>
      </c>
    </row>
    <row r="1313" spans="1:4">
      <c r="A1313" s="70" t="s">
        <v>3471</v>
      </c>
      <c r="B1313" s="17" t="s">
        <v>2282</v>
      </c>
      <c r="C1313" s="16" t="s">
        <v>1698</v>
      </c>
      <c r="D1313" s="13">
        <v>7898123800026</v>
      </c>
    </row>
    <row r="1314" spans="1:4">
      <c r="A1314" s="70" t="s">
        <v>806</v>
      </c>
      <c r="B1314" s="17" t="s">
        <v>2288</v>
      </c>
      <c r="C1314" s="16" t="s">
        <v>807</v>
      </c>
      <c r="D1314" s="13">
        <v>7896002364546</v>
      </c>
    </row>
    <row r="1315" spans="1:4">
      <c r="A1315" s="70" t="s">
        <v>806</v>
      </c>
      <c r="B1315" s="17" t="s">
        <v>2288</v>
      </c>
      <c r="C1315" s="16" t="s">
        <v>808</v>
      </c>
      <c r="D1315" s="13">
        <v>7896002365420</v>
      </c>
    </row>
    <row r="1316" spans="1:4">
      <c r="A1316" s="70" t="s">
        <v>806</v>
      </c>
      <c r="B1316" s="17" t="s">
        <v>2288</v>
      </c>
      <c r="C1316" s="16" t="s">
        <v>809</v>
      </c>
      <c r="D1316" s="13">
        <v>7896002363792</v>
      </c>
    </row>
    <row r="1317" spans="1:4">
      <c r="A1317" s="70" t="s">
        <v>488</v>
      </c>
      <c r="B1317" s="17" t="s">
        <v>2284</v>
      </c>
      <c r="C1317" s="16" t="s">
        <v>511</v>
      </c>
      <c r="D1317" s="13">
        <v>7891095006984</v>
      </c>
    </row>
    <row r="1318" spans="1:4">
      <c r="A1318" s="70" t="s">
        <v>110</v>
      </c>
      <c r="B1318" s="17" t="s">
        <v>2284</v>
      </c>
      <c r="C1318" s="16" t="s">
        <v>380</v>
      </c>
      <c r="D1318" s="13">
        <v>7896280400707</v>
      </c>
    </row>
    <row r="1319" spans="1:4">
      <c r="A1319" s="70" t="s">
        <v>417</v>
      </c>
      <c r="B1319" s="17" t="s">
        <v>2284</v>
      </c>
      <c r="C1319" s="16" t="s">
        <v>426</v>
      </c>
      <c r="D1319" s="13">
        <v>7897517209391</v>
      </c>
    </row>
    <row r="1320" spans="1:4">
      <c r="A1320" s="70" t="s">
        <v>2261</v>
      </c>
      <c r="B1320" s="17" t="s">
        <v>2284</v>
      </c>
      <c r="C1320" s="16" t="s">
        <v>426</v>
      </c>
      <c r="D1320" s="13">
        <v>7897517209391</v>
      </c>
    </row>
    <row r="1321" spans="1:4">
      <c r="A1321" s="70" t="s">
        <v>1812</v>
      </c>
      <c r="B1321" s="17" t="s">
        <v>2284</v>
      </c>
      <c r="C1321" s="16" t="s">
        <v>1826</v>
      </c>
      <c r="D1321" s="13">
        <v>7897517209544</v>
      </c>
    </row>
    <row r="1322" spans="1:4">
      <c r="A1322" s="70" t="s">
        <v>804</v>
      </c>
      <c r="B1322" s="17" t="s">
        <v>2284</v>
      </c>
      <c r="C1322" s="16" t="s">
        <v>805</v>
      </c>
      <c r="D1322" s="13">
        <v>7897517209025</v>
      </c>
    </row>
    <row r="1323" spans="1:4">
      <c r="A1323" s="70" t="s">
        <v>3472</v>
      </c>
      <c r="B1323" s="17" t="s">
        <v>2284</v>
      </c>
      <c r="C1323" s="16" t="s">
        <v>438</v>
      </c>
      <c r="D1323" s="13">
        <v>7896292340503</v>
      </c>
    </row>
    <row r="1324" spans="1:4">
      <c r="A1324" s="70" t="s">
        <v>3473</v>
      </c>
      <c r="B1324" s="17" t="s">
        <v>2281</v>
      </c>
      <c r="C1324" s="16" t="s">
        <v>818</v>
      </c>
      <c r="D1324" s="13">
        <v>7896534401085</v>
      </c>
    </row>
    <row r="1325" spans="1:4">
      <c r="A1325" s="70" t="s">
        <v>456</v>
      </c>
      <c r="B1325" s="17" t="s">
        <v>2281</v>
      </c>
      <c r="C1325" s="16" t="s">
        <v>469</v>
      </c>
      <c r="D1325" s="13">
        <v>7896534401092</v>
      </c>
    </row>
    <row r="1326" spans="1:4">
      <c r="A1326" s="70" t="s">
        <v>456</v>
      </c>
      <c r="B1326" s="17" t="s">
        <v>2281</v>
      </c>
      <c r="C1326" s="16" t="s">
        <v>470</v>
      </c>
      <c r="D1326" s="13">
        <v>7896534404260</v>
      </c>
    </row>
    <row r="1327" spans="1:4">
      <c r="A1327" s="70" t="s">
        <v>456</v>
      </c>
      <c r="B1327" s="17" t="s">
        <v>2281</v>
      </c>
      <c r="C1327" s="16" t="s">
        <v>471</v>
      </c>
      <c r="D1327" s="13">
        <v>7896534401078</v>
      </c>
    </row>
    <row r="1328" spans="1:4">
      <c r="A1328" s="70" t="s">
        <v>456</v>
      </c>
      <c r="B1328" s="17" t="s">
        <v>2281</v>
      </c>
      <c r="C1328" s="16" t="s">
        <v>472</v>
      </c>
      <c r="D1328" s="13">
        <v>7896534404246</v>
      </c>
    </row>
    <row r="1329" spans="1:4">
      <c r="A1329" s="70" t="s">
        <v>456</v>
      </c>
      <c r="B1329" s="17" t="s">
        <v>2281</v>
      </c>
      <c r="C1329" s="16" t="s">
        <v>473</v>
      </c>
      <c r="D1329" s="13">
        <v>7896534401061</v>
      </c>
    </row>
    <row r="1330" spans="1:4">
      <c r="A1330" s="70" t="s">
        <v>456</v>
      </c>
      <c r="B1330" s="17" t="s">
        <v>2281</v>
      </c>
      <c r="C1330" s="16" t="s">
        <v>474</v>
      </c>
      <c r="D1330" s="13">
        <v>7896534401054</v>
      </c>
    </row>
    <row r="1331" spans="1:4">
      <c r="A1331" s="70" t="s">
        <v>3474</v>
      </c>
      <c r="B1331" s="17" t="s">
        <v>2281</v>
      </c>
      <c r="C1331" s="16" t="s">
        <v>1377</v>
      </c>
      <c r="D1331" s="13">
        <v>7896022204808</v>
      </c>
    </row>
    <row r="1332" spans="1:4">
      <c r="A1332" s="70" t="s">
        <v>3474</v>
      </c>
      <c r="B1332" s="17" t="s">
        <v>2281</v>
      </c>
      <c r="C1332" s="16" t="s">
        <v>1378</v>
      </c>
      <c r="D1332" s="13">
        <v>7896022204921</v>
      </c>
    </row>
    <row r="1333" spans="1:4">
      <c r="A1333" s="70" t="s">
        <v>3474</v>
      </c>
      <c r="B1333" s="17" t="s">
        <v>2281</v>
      </c>
      <c r="C1333" s="16" t="s">
        <v>1379</v>
      </c>
      <c r="D1333" s="13">
        <v>7896022204198</v>
      </c>
    </row>
    <row r="1334" spans="1:4">
      <c r="A1334" s="70" t="s">
        <v>3474</v>
      </c>
      <c r="B1334" s="17" t="s">
        <v>2281</v>
      </c>
      <c r="C1334" s="16" t="s">
        <v>1380</v>
      </c>
      <c r="D1334" s="13">
        <v>7896022204914</v>
      </c>
    </row>
    <row r="1335" spans="1:4">
      <c r="A1335" s="70" t="s">
        <v>3474</v>
      </c>
      <c r="B1335" s="17" t="s">
        <v>2281</v>
      </c>
      <c r="C1335" s="16" t="s">
        <v>1381</v>
      </c>
      <c r="D1335" s="13">
        <v>7896022204228</v>
      </c>
    </row>
    <row r="1336" spans="1:4">
      <c r="A1336" s="70" t="s">
        <v>3474</v>
      </c>
      <c r="B1336" s="17" t="s">
        <v>2281</v>
      </c>
      <c r="C1336" s="16" t="s">
        <v>1382</v>
      </c>
      <c r="D1336" s="13">
        <v>7896022204815</v>
      </c>
    </row>
    <row r="1337" spans="1:4">
      <c r="A1337" s="70" t="s">
        <v>3474</v>
      </c>
      <c r="B1337" s="17" t="s">
        <v>2281</v>
      </c>
      <c r="C1337" s="16" t="s">
        <v>1383</v>
      </c>
      <c r="D1337" s="13">
        <v>7896022204204</v>
      </c>
    </row>
    <row r="1338" spans="1:4">
      <c r="A1338" s="70" t="s">
        <v>3474</v>
      </c>
      <c r="B1338" s="17" t="s">
        <v>2281</v>
      </c>
      <c r="C1338" s="16" t="s">
        <v>1384</v>
      </c>
      <c r="D1338" s="13">
        <v>7896022204211</v>
      </c>
    </row>
    <row r="1339" spans="1:4">
      <c r="A1339" s="70" t="s">
        <v>3474</v>
      </c>
      <c r="B1339" s="17" t="s">
        <v>2281</v>
      </c>
      <c r="C1339" s="16" t="s">
        <v>1385</v>
      </c>
      <c r="D1339" s="13">
        <v>7896022204259</v>
      </c>
    </row>
    <row r="1340" spans="1:4">
      <c r="A1340" s="70" t="s">
        <v>3475</v>
      </c>
      <c r="B1340" s="17" t="s">
        <v>2284</v>
      </c>
      <c r="C1340" s="16" t="s">
        <v>1806</v>
      </c>
      <c r="D1340" s="13">
        <v>7897517206086</v>
      </c>
    </row>
    <row r="1341" spans="1:4">
      <c r="A1341" s="70" t="s">
        <v>3476</v>
      </c>
      <c r="B1341" s="17" t="s">
        <v>2281</v>
      </c>
      <c r="C1341" s="16" t="s">
        <v>253</v>
      </c>
      <c r="D1341" s="13">
        <v>7897517206086</v>
      </c>
    </row>
    <row r="1342" spans="1:4">
      <c r="A1342" s="70" t="s">
        <v>1674</v>
      </c>
      <c r="B1342" s="17" t="s">
        <v>2284</v>
      </c>
      <c r="C1342" s="16" t="s">
        <v>1677</v>
      </c>
      <c r="D1342" s="13">
        <v>7891032015727</v>
      </c>
    </row>
    <row r="1343" spans="1:4">
      <c r="A1343" s="70" t="s">
        <v>1965</v>
      </c>
      <c r="B1343" s="17" t="s">
        <v>2284</v>
      </c>
      <c r="C1343" s="16" t="s">
        <v>1950</v>
      </c>
      <c r="D1343" s="13">
        <v>7896292333000</v>
      </c>
    </row>
    <row r="1344" spans="1:4">
      <c r="A1344" s="70" t="s">
        <v>1965</v>
      </c>
      <c r="B1344" s="17" t="s">
        <v>2284</v>
      </c>
      <c r="C1344" s="16" t="s">
        <v>336</v>
      </c>
      <c r="D1344" s="13">
        <v>7896292303003</v>
      </c>
    </row>
    <row r="1345" spans="1:4">
      <c r="A1345" s="70" t="s">
        <v>945</v>
      </c>
      <c r="B1345" s="17" t="s">
        <v>2284</v>
      </c>
      <c r="C1345" s="16" t="s">
        <v>949</v>
      </c>
      <c r="D1345" s="13">
        <v>7896292313330</v>
      </c>
    </row>
    <row r="1346" spans="1:4">
      <c r="A1346" s="70" t="s">
        <v>665</v>
      </c>
      <c r="B1346" s="17" t="s">
        <v>2287</v>
      </c>
      <c r="C1346" s="16" t="s">
        <v>666</v>
      </c>
      <c r="D1346" s="13">
        <v>7897753669461</v>
      </c>
    </row>
    <row r="1347" spans="1:4">
      <c r="A1347" s="70" t="s">
        <v>1281</v>
      </c>
      <c r="B1347" s="17" t="s">
        <v>2287</v>
      </c>
      <c r="C1347" s="16" t="s">
        <v>1282</v>
      </c>
      <c r="D1347" s="13">
        <v>7896001000612</v>
      </c>
    </row>
    <row r="1348" spans="1:4">
      <c r="A1348" s="70" t="s">
        <v>1463</v>
      </c>
      <c r="B1348" s="17" t="s">
        <v>2282</v>
      </c>
      <c r="C1348" s="16" t="s">
        <v>2495</v>
      </c>
      <c r="D1348" s="13">
        <v>98229</v>
      </c>
    </row>
    <row r="1349" spans="1:4">
      <c r="A1349" s="70" t="s">
        <v>1463</v>
      </c>
      <c r="B1349" s="17" t="s">
        <v>2282</v>
      </c>
      <c r="C1349" s="16" t="s">
        <v>3094</v>
      </c>
      <c r="D1349" s="13">
        <v>98366</v>
      </c>
    </row>
    <row r="1350" spans="1:4">
      <c r="A1350" s="70" t="s">
        <v>1313</v>
      </c>
      <c r="B1350" s="17" t="s">
        <v>2283</v>
      </c>
      <c r="C1350" s="16" t="s">
        <v>1345</v>
      </c>
      <c r="D1350" s="13">
        <v>7896288970738</v>
      </c>
    </row>
    <row r="1351" spans="1:4">
      <c r="A1351" s="70" t="s">
        <v>1313</v>
      </c>
      <c r="B1351" s="17" t="s">
        <v>2283</v>
      </c>
      <c r="C1351" s="16" t="s">
        <v>1346</v>
      </c>
      <c r="D1351" s="13">
        <v>7896288970646</v>
      </c>
    </row>
    <row r="1352" spans="1:4">
      <c r="A1352" s="70" t="s">
        <v>1313</v>
      </c>
      <c r="B1352" s="17" t="s">
        <v>2283</v>
      </c>
      <c r="C1352" s="16" t="s">
        <v>1347</v>
      </c>
      <c r="D1352" s="13">
        <v>7896288970561</v>
      </c>
    </row>
    <row r="1353" spans="1:4">
      <c r="A1353" s="70" t="s">
        <v>1313</v>
      </c>
      <c r="B1353" s="17" t="s">
        <v>2283</v>
      </c>
      <c r="C1353" s="16" t="s">
        <v>1348</v>
      </c>
      <c r="D1353" s="13">
        <v>7896288970806</v>
      </c>
    </row>
    <row r="1354" spans="1:4">
      <c r="A1354" s="70" t="s">
        <v>1313</v>
      </c>
      <c r="B1354" s="17" t="s">
        <v>2283</v>
      </c>
      <c r="C1354" s="16" t="s">
        <v>1349</v>
      </c>
      <c r="D1354" s="13">
        <v>7896288970226</v>
      </c>
    </row>
    <row r="1355" spans="1:4">
      <c r="A1355" s="70" t="s">
        <v>1313</v>
      </c>
      <c r="B1355" s="17" t="s">
        <v>2283</v>
      </c>
      <c r="C1355" s="16" t="s">
        <v>1350</v>
      </c>
      <c r="D1355" s="13">
        <v>7896288970813</v>
      </c>
    </row>
    <row r="1356" spans="1:4">
      <c r="A1356" s="70" t="s">
        <v>1313</v>
      </c>
      <c r="B1356" s="17" t="s">
        <v>2283</v>
      </c>
      <c r="C1356" s="16" t="s">
        <v>1351</v>
      </c>
      <c r="D1356" s="13">
        <v>7896288970134</v>
      </c>
    </row>
    <row r="1357" spans="1:4">
      <c r="A1357" s="70" t="s">
        <v>1313</v>
      </c>
      <c r="B1357" s="17" t="s">
        <v>2283</v>
      </c>
      <c r="C1357" s="16" t="s">
        <v>1352</v>
      </c>
      <c r="D1357" s="13">
        <v>7896288970820</v>
      </c>
    </row>
    <row r="1358" spans="1:4">
      <c r="A1358" s="70" t="s">
        <v>1363</v>
      </c>
      <c r="B1358" s="17" t="s">
        <v>2283</v>
      </c>
      <c r="C1358" s="16" t="s">
        <v>1390</v>
      </c>
      <c r="D1358" s="13">
        <v>7896288960265</v>
      </c>
    </row>
    <row r="1359" spans="1:4">
      <c r="A1359" s="70" t="s">
        <v>1363</v>
      </c>
      <c r="B1359" s="17" t="s">
        <v>2283</v>
      </c>
      <c r="C1359" s="16" t="s">
        <v>1391</v>
      </c>
      <c r="D1359" s="13">
        <v>7896288960173</v>
      </c>
    </row>
    <row r="1360" spans="1:4">
      <c r="A1360" s="70" t="s">
        <v>1363</v>
      </c>
      <c r="B1360" s="17" t="s">
        <v>2283</v>
      </c>
      <c r="C1360" s="16" t="s">
        <v>1392</v>
      </c>
      <c r="D1360" s="13">
        <v>7896288960753</v>
      </c>
    </row>
    <row r="1361" spans="1:4">
      <c r="A1361" s="70" t="s">
        <v>1363</v>
      </c>
      <c r="B1361" s="17" t="s">
        <v>2283</v>
      </c>
      <c r="C1361" s="16" t="s">
        <v>1393</v>
      </c>
      <c r="D1361" s="13">
        <v>7896288960500</v>
      </c>
    </row>
    <row r="1362" spans="1:4">
      <c r="A1362" s="70" t="s">
        <v>1363</v>
      </c>
      <c r="B1362" s="17" t="s">
        <v>2283</v>
      </c>
      <c r="C1362" s="16" t="s">
        <v>1394</v>
      </c>
      <c r="D1362" s="13">
        <v>7896288960685</v>
      </c>
    </row>
    <row r="1363" spans="1:4">
      <c r="A1363" s="70" t="s">
        <v>1363</v>
      </c>
      <c r="B1363" s="17" t="s">
        <v>2283</v>
      </c>
      <c r="C1363" s="16" t="s">
        <v>1395</v>
      </c>
      <c r="D1363" s="13">
        <v>7896288960760</v>
      </c>
    </row>
    <row r="1364" spans="1:4">
      <c r="A1364" s="70" t="s">
        <v>1363</v>
      </c>
      <c r="B1364" s="17" t="s">
        <v>2283</v>
      </c>
      <c r="C1364" s="16" t="s">
        <v>1396</v>
      </c>
      <c r="D1364" s="13">
        <v>7896288960746</v>
      </c>
    </row>
    <row r="1365" spans="1:4">
      <c r="A1365" s="70" t="s">
        <v>1363</v>
      </c>
      <c r="B1365" s="17" t="s">
        <v>2283</v>
      </c>
      <c r="C1365" s="16" t="s">
        <v>1397</v>
      </c>
      <c r="D1365" s="13">
        <v>7896288960852</v>
      </c>
    </row>
    <row r="1366" spans="1:4">
      <c r="A1366" s="70" t="s">
        <v>76</v>
      </c>
      <c r="B1366" s="17" t="s">
        <v>2281</v>
      </c>
      <c r="C1366" s="16" t="s">
        <v>837</v>
      </c>
      <c r="D1366" s="13">
        <v>7613033279461</v>
      </c>
    </row>
    <row r="1367" spans="1:4">
      <c r="A1367" s="70" t="s">
        <v>76</v>
      </c>
      <c r="B1367" s="17" t="s">
        <v>2281</v>
      </c>
      <c r="C1367" s="16" t="s">
        <v>838</v>
      </c>
      <c r="D1367" s="13">
        <v>7501059273276</v>
      </c>
    </row>
    <row r="1368" spans="1:4">
      <c r="A1368" s="70" t="s">
        <v>76</v>
      </c>
      <c r="B1368" s="17" t="s">
        <v>2281</v>
      </c>
      <c r="C1368" s="16" t="s">
        <v>2538</v>
      </c>
      <c r="D1368" s="13">
        <v>7891000360781</v>
      </c>
    </row>
    <row r="1369" spans="1:4">
      <c r="A1369" s="70" t="s">
        <v>76</v>
      </c>
      <c r="B1369" s="17" t="s">
        <v>2281</v>
      </c>
      <c r="C1369" s="16" t="s">
        <v>839</v>
      </c>
      <c r="D1369" s="13">
        <v>7613034735034</v>
      </c>
    </row>
    <row r="1370" spans="1:4">
      <c r="A1370" s="70" t="s">
        <v>76</v>
      </c>
      <c r="B1370" s="17" t="s">
        <v>2281</v>
      </c>
      <c r="C1370" s="16" t="s">
        <v>840</v>
      </c>
      <c r="D1370" s="13">
        <v>7501059273283</v>
      </c>
    </row>
    <row r="1371" spans="1:4">
      <c r="A1371" s="70" t="s">
        <v>76</v>
      </c>
      <c r="B1371" s="17" t="s">
        <v>2281</v>
      </c>
      <c r="C1371" s="16" t="s">
        <v>841</v>
      </c>
      <c r="D1371" s="13">
        <v>7501059273252</v>
      </c>
    </row>
    <row r="1372" spans="1:4">
      <c r="A1372" s="70" t="s">
        <v>76</v>
      </c>
      <c r="B1372" s="17" t="s">
        <v>2281</v>
      </c>
      <c r="C1372" s="16" t="s">
        <v>842</v>
      </c>
      <c r="D1372" s="13">
        <v>7613033026720</v>
      </c>
    </row>
    <row r="1373" spans="1:4">
      <c r="A1373" s="70" t="s">
        <v>76</v>
      </c>
      <c r="B1373" s="17" t="s">
        <v>2281</v>
      </c>
      <c r="C1373" s="16" t="s">
        <v>1486</v>
      </c>
      <c r="D1373" s="13">
        <v>7891000302644</v>
      </c>
    </row>
    <row r="1374" spans="1:4">
      <c r="A1374" s="70" t="s">
        <v>76</v>
      </c>
      <c r="B1374" s="17" t="s">
        <v>2281</v>
      </c>
      <c r="C1374" s="16" t="s">
        <v>1487</v>
      </c>
      <c r="D1374" s="13">
        <v>7891000299098</v>
      </c>
    </row>
    <row r="1375" spans="1:4">
      <c r="A1375" s="70" t="s">
        <v>76</v>
      </c>
      <c r="B1375" s="17" t="s">
        <v>2281</v>
      </c>
      <c r="C1375" s="16" t="s">
        <v>1488</v>
      </c>
      <c r="D1375" s="13">
        <v>7613032396350</v>
      </c>
    </row>
    <row r="1376" spans="1:4">
      <c r="A1376" s="70" t="s">
        <v>76</v>
      </c>
      <c r="B1376" s="17" t="s">
        <v>2281</v>
      </c>
      <c r="C1376" s="16" t="s">
        <v>843</v>
      </c>
      <c r="D1376" s="13">
        <v>7613031526406</v>
      </c>
    </row>
    <row r="1377" spans="1:4">
      <c r="A1377" s="70" t="s">
        <v>76</v>
      </c>
      <c r="B1377" s="17" t="s">
        <v>2281</v>
      </c>
      <c r="C1377" s="16" t="s">
        <v>844</v>
      </c>
      <c r="D1377" s="13">
        <v>7501059273269</v>
      </c>
    </row>
    <row r="1378" spans="1:4">
      <c r="A1378" s="70" t="s">
        <v>76</v>
      </c>
      <c r="B1378" s="17" t="s">
        <v>2281</v>
      </c>
      <c r="C1378" s="16" t="s">
        <v>845</v>
      </c>
      <c r="D1378" s="13">
        <v>7501059273245</v>
      </c>
    </row>
    <row r="1379" spans="1:4">
      <c r="A1379" s="70" t="s">
        <v>76</v>
      </c>
      <c r="B1379" s="17" t="s">
        <v>2281</v>
      </c>
      <c r="C1379" s="16" t="s">
        <v>846</v>
      </c>
      <c r="D1379" s="13">
        <v>7891000118924</v>
      </c>
    </row>
    <row r="1380" spans="1:4">
      <c r="A1380" s="70" t="s">
        <v>76</v>
      </c>
      <c r="B1380" s="17" t="s">
        <v>2281</v>
      </c>
      <c r="C1380" s="16" t="s">
        <v>847</v>
      </c>
      <c r="D1380" s="13">
        <v>7613035177611</v>
      </c>
    </row>
    <row r="1381" spans="1:4">
      <c r="A1381" s="70" t="s">
        <v>76</v>
      </c>
      <c r="B1381" s="17" t="s">
        <v>2281</v>
      </c>
      <c r="C1381" s="16" t="s">
        <v>848</v>
      </c>
      <c r="D1381" s="13">
        <v>7613035260566</v>
      </c>
    </row>
    <row r="1382" spans="1:4">
      <c r="A1382" s="70" t="s">
        <v>76</v>
      </c>
      <c r="B1382" s="17" t="s">
        <v>2281</v>
      </c>
      <c r="C1382" s="16" t="s">
        <v>864</v>
      </c>
      <c r="D1382" s="13">
        <v>7613033174728</v>
      </c>
    </row>
    <row r="1383" spans="1:4">
      <c r="A1383" s="70" t="s">
        <v>76</v>
      </c>
      <c r="B1383" s="17" t="s">
        <v>2281</v>
      </c>
      <c r="C1383" s="16" t="s">
        <v>865</v>
      </c>
      <c r="D1383" s="13">
        <v>7891000256510</v>
      </c>
    </row>
    <row r="1384" spans="1:4">
      <c r="A1384" s="70" t="s">
        <v>76</v>
      </c>
      <c r="B1384" s="17" t="s">
        <v>2281</v>
      </c>
      <c r="C1384" s="16" t="s">
        <v>849</v>
      </c>
      <c r="D1384" s="13">
        <v>7613035260771</v>
      </c>
    </row>
    <row r="1385" spans="1:4">
      <c r="A1385" s="70" t="s">
        <v>76</v>
      </c>
      <c r="B1385" s="17" t="s">
        <v>2281</v>
      </c>
      <c r="C1385" s="16" t="s">
        <v>1877</v>
      </c>
      <c r="D1385" s="13">
        <v>7891000951378</v>
      </c>
    </row>
    <row r="1386" spans="1:4">
      <c r="A1386" s="70" t="s">
        <v>76</v>
      </c>
      <c r="B1386" s="17" t="s">
        <v>2281</v>
      </c>
      <c r="C1386" s="16" t="s">
        <v>1878</v>
      </c>
      <c r="D1386" s="13">
        <v>7891000302606</v>
      </c>
    </row>
    <row r="1387" spans="1:4">
      <c r="A1387" s="70" t="s">
        <v>76</v>
      </c>
      <c r="B1387" s="17" t="s">
        <v>2281</v>
      </c>
      <c r="C1387" s="16" t="s">
        <v>2483</v>
      </c>
      <c r="D1387" s="13">
        <v>7891000355848</v>
      </c>
    </row>
    <row r="1388" spans="1:4">
      <c r="A1388" s="70" t="s">
        <v>76</v>
      </c>
      <c r="B1388" s="17" t="s">
        <v>2281</v>
      </c>
      <c r="C1388" s="16" t="s">
        <v>2471</v>
      </c>
      <c r="D1388" s="13">
        <v>7891000600641</v>
      </c>
    </row>
    <row r="1389" spans="1:4">
      <c r="A1389" s="70" t="s">
        <v>76</v>
      </c>
      <c r="B1389" s="17" t="s">
        <v>2281</v>
      </c>
      <c r="C1389" s="16" t="s">
        <v>870</v>
      </c>
      <c r="D1389" s="13">
        <v>7891000291900</v>
      </c>
    </row>
    <row r="1390" spans="1:4">
      <c r="A1390" s="70" t="s">
        <v>76</v>
      </c>
      <c r="B1390" s="17" t="s">
        <v>2281</v>
      </c>
      <c r="C1390" s="16" t="s">
        <v>850</v>
      </c>
      <c r="D1390" s="13">
        <v>7501059273597</v>
      </c>
    </row>
    <row r="1391" spans="1:4">
      <c r="A1391" s="70" t="s">
        <v>1702</v>
      </c>
      <c r="B1391" s="17" t="s">
        <v>2284</v>
      </c>
      <c r="C1391" s="16" t="s">
        <v>1703</v>
      </c>
      <c r="D1391" s="13">
        <v>7896036096437</v>
      </c>
    </row>
    <row r="1392" spans="1:4">
      <c r="A1392" s="70" t="s">
        <v>2242</v>
      </c>
      <c r="B1392" s="17" t="s">
        <v>2284</v>
      </c>
      <c r="C1392" s="16" t="s">
        <v>2248</v>
      </c>
      <c r="D1392" s="13">
        <v>7896036098325</v>
      </c>
    </row>
    <row r="1393" spans="1:4">
      <c r="A1393" s="70" t="s">
        <v>1706</v>
      </c>
      <c r="B1393" s="17" t="s">
        <v>2280</v>
      </c>
      <c r="C1393" s="16" t="s">
        <v>1708</v>
      </c>
      <c r="D1393" s="13">
        <v>7896036090626</v>
      </c>
    </row>
    <row r="1394" spans="1:4">
      <c r="A1394" s="70" t="s">
        <v>1053</v>
      </c>
      <c r="B1394" s="17" t="s">
        <v>2280</v>
      </c>
      <c r="C1394" s="16" t="s">
        <v>1069</v>
      </c>
      <c r="D1394" s="13">
        <v>7898247780266</v>
      </c>
    </row>
    <row r="1395" spans="1:4">
      <c r="A1395" s="70" t="s">
        <v>140</v>
      </c>
      <c r="B1395" s="17" t="s">
        <v>2281</v>
      </c>
      <c r="C1395" s="16" t="s">
        <v>140</v>
      </c>
      <c r="D1395" s="13">
        <v>7896256041668</v>
      </c>
    </row>
    <row r="1396" spans="1:4">
      <c r="A1396" s="70" t="s">
        <v>1690</v>
      </c>
      <c r="B1396" s="17" t="s">
        <v>2280</v>
      </c>
      <c r="C1396" s="16" t="s">
        <v>1701</v>
      </c>
      <c r="D1396" s="13">
        <v>7896036090602</v>
      </c>
    </row>
    <row r="1397" spans="1:4">
      <c r="A1397" s="70" t="s">
        <v>109</v>
      </c>
      <c r="B1397" s="17" t="s">
        <v>2280</v>
      </c>
      <c r="C1397" s="16" t="s">
        <v>337</v>
      </c>
      <c r="D1397" s="13">
        <v>7896036098721</v>
      </c>
    </row>
    <row r="1398" spans="1:4">
      <c r="A1398" s="70" t="s">
        <v>384</v>
      </c>
      <c r="B1398" s="17" t="s">
        <v>2280</v>
      </c>
      <c r="C1398" s="16" t="s">
        <v>396</v>
      </c>
      <c r="D1398" s="13">
        <v>7898247780242</v>
      </c>
    </row>
    <row r="1399" spans="1:4">
      <c r="A1399" s="70" t="s">
        <v>1853</v>
      </c>
      <c r="B1399" s="17" t="s">
        <v>2280</v>
      </c>
      <c r="C1399" s="16" t="s">
        <v>1856</v>
      </c>
      <c r="D1399" s="13">
        <v>7896036090619</v>
      </c>
    </row>
    <row r="1400" spans="1:4">
      <c r="A1400" s="70" t="s">
        <v>46</v>
      </c>
      <c r="B1400" s="17" t="s">
        <v>2280</v>
      </c>
      <c r="C1400" s="16" t="s">
        <v>349</v>
      </c>
      <c r="D1400" s="13">
        <v>7896036098608</v>
      </c>
    </row>
    <row r="1401" spans="1:4">
      <c r="A1401" s="70" t="s">
        <v>27</v>
      </c>
      <c r="B1401" s="17" t="s">
        <v>2280</v>
      </c>
      <c r="C1401" s="16" t="s">
        <v>1689</v>
      </c>
      <c r="D1401" s="13">
        <v>7898247780075</v>
      </c>
    </row>
    <row r="1402" spans="1:4">
      <c r="A1402" s="70" t="s">
        <v>3477</v>
      </c>
      <c r="B1402" s="17" t="s">
        <v>2284</v>
      </c>
      <c r="C1402" s="16" t="s">
        <v>252</v>
      </c>
      <c r="D1402" s="13">
        <v>7896036090244</v>
      </c>
    </row>
    <row r="1403" spans="1:4">
      <c r="A1403" s="70" t="s">
        <v>3031</v>
      </c>
      <c r="B1403" s="17" t="s">
        <v>2280</v>
      </c>
      <c r="C1403" s="16" t="s">
        <v>407</v>
      </c>
      <c r="D1403" s="13">
        <v>7896277400055</v>
      </c>
    </row>
    <row r="1404" spans="1:4">
      <c r="A1404" s="70" t="s">
        <v>3031</v>
      </c>
      <c r="B1404" s="17" t="s">
        <v>2280</v>
      </c>
      <c r="C1404" s="16" t="s">
        <v>407</v>
      </c>
      <c r="D1404" s="13">
        <v>7896223709423</v>
      </c>
    </row>
    <row r="1405" spans="1:4">
      <c r="A1405" s="70" t="s">
        <v>1129</v>
      </c>
      <c r="B1405" s="17" t="s">
        <v>2299</v>
      </c>
      <c r="C1405" s="16" t="s">
        <v>1131</v>
      </c>
      <c r="D1405" s="13">
        <v>7898926529674</v>
      </c>
    </row>
    <row r="1406" spans="1:4">
      <c r="A1406" s="70" t="s">
        <v>1129</v>
      </c>
      <c r="B1406" s="17" t="s">
        <v>2299</v>
      </c>
      <c r="C1406" s="16" t="s">
        <v>1131</v>
      </c>
      <c r="D1406" s="13">
        <v>7898951441224</v>
      </c>
    </row>
    <row r="1407" spans="1:4" ht="30">
      <c r="A1407" s="70" t="s">
        <v>1604</v>
      </c>
      <c r="B1407" s="17" t="s">
        <v>2281</v>
      </c>
      <c r="C1407" s="16" t="s">
        <v>1614</v>
      </c>
      <c r="D1407" s="13">
        <v>7898142864955</v>
      </c>
    </row>
    <row r="1408" spans="1:4" ht="30">
      <c r="A1408" s="70" t="s">
        <v>1604</v>
      </c>
      <c r="B1408" s="17" t="s">
        <v>2281</v>
      </c>
      <c r="C1408" s="16" t="s">
        <v>339</v>
      </c>
      <c r="D1408" s="13">
        <v>7898142864849</v>
      </c>
    </row>
    <row r="1409" spans="1:4" ht="30">
      <c r="A1409" s="70" t="s">
        <v>1604</v>
      </c>
      <c r="B1409" s="17" t="s">
        <v>2281</v>
      </c>
      <c r="C1409" s="16" t="s">
        <v>1615</v>
      </c>
      <c r="D1409" s="13">
        <v>7898142864924</v>
      </c>
    </row>
    <row r="1410" spans="1:4" ht="30">
      <c r="A1410" s="70" t="s">
        <v>1604</v>
      </c>
      <c r="B1410" s="17" t="s">
        <v>2281</v>
      </c>
      <c r="C1410" s="16" t="s">
        <v>1616</v>
      </c>
      <c r="D1410" s="13">
        <v>7898142864863</v>
      </c>
    </row>
    <row r="1411" spans="1:4" ht="30">
      <c r="A1411" s="70" t="s">
        <v>1604</v>
      </c>
      <c r="B1411" s="17" t="s">
        <v>2281</v>
      </c>
      <c r="C1411" s="16" t="s">
        <v>1617</v>
      </c>
      <c r="D1411" s="13">
        <v>7898142864931</v>
      </c>
    </row>
    <row r="1412" spans="1:4" ht="30">
      <c r="A1412" s="70" t="s">
        <v>1604</v>
      </c>
      <c r="B1412" s="17" t="s">
        <v>2281</v>
      </c>
      <c r="C1412" s="16" t="s">
        <v>1618</v>
      </c>
      <c r="D1412" s="13">
        <v>7898142864887</v>
      </c>
    </row>
    <row r="1413" spans="1:4" ht="30">
      <c r="A1413" s="70" t="s">
        <v>1604</v>
      </c>
      <c r="B1413" s="17" t="s">
        <v>2281</v>
      </c>
      <c r="C1413" s="16" t="s">
        <v>1619</v>
      </c>
      <c r="D1413" s="13">
        <v>7898142864900</v>
      </c>
    </row>
    <row r="1414" spans="1:4">
      <c r="A1414" s="70" t="s">
        <v>1549</v>
      </c>
      <c r="B1414" s="17" t="s">
        <v>2281</v>
      </c>
      <c r="C1414" s="16" t="s">
        <v>1560</v>
      </c>
      <c r="D1414" s="13">
        <v>7898142864054</v>
      </c>
    </row>
    <row r="1415" spans="1:4">
      <c r="A1415" s="70" t="s">
        <v>1549</v>
      </c>
      <c r="B1415" s="17" t="s">
        <v>2281</v>
      </c>
      <c r="C1415" s="16" t="s">
        <v>1561</v>
      </c>
      <c r="D1415" s="13">
        <v>7898142864047</v>
      </c>
    </row>
    <row r="1416" spans="1:4">
      <c r="A1416" s="70" t="s">
        <v>1549</v>
      </c>
      <c r="B1416" s="17" t="s">
        <v>2281</v>
      </c>
      <c r="C1416" s="16" t="s">
        <v>1562</v>
      </c>
      <c r="D1416" s="13">
        <v>7898142862692</v>
      </c>
    </row>
    <row r="1417" spans="1:4">
      <c r="A1417" s="70" t="s">
        <v>1569</v>
      </c>
      <c r="B1417" s="17" t="s">
        <v>2281</v>
      </c>
      <c r="C1417" s="16" t="s">
        <v>1596</v>
      </c>
      <c r="D1417" s="13">
        <v>7898142864771</v>
      </c>
    </row>
    <row r="1418" spans="1:4">
      <c r="A1418" s="70" t="s">
        <v>1569</v>
      </c>
      <c r="B1418" s="17" t="s">
        <v>2281</v>
      </c>
      <c r="C1418" s="16" t="s">
        <v>1597</v>
      </c>
      <c r="D1418" s="13">
        <v>7898142864788</v>
      </c>
    </row>
    <row r="1419" spans="1:4">
      <c r="A1419" s="70" t="s">
        <v>113</v>
      </c>
      <c r="B1419" s="17" t="s">
        <v>2284</v>
      </c>
      <c r="C1419" s="16" t="s">
        <v>282</v>
      </c>
      <c r="D1419" s="13">
        <v>7897518300097</v>
      </c>
    </row>
    <row r="1420" spans="1:4">
      <c r="A1420" s="70" t="s">
        <v>60</v>
      </c>
      <c r="B1420" s="17" t="s">
        <v>2284</v>
      </c>
      <c r="C1420" s="16" t="s">
        <v>1229</v>
      </c>
      <c r="D1420" s="13">
        <v>7898906434103</v>
      </c>
    </row>
    <row r="1421" spans="1:4">
      <c r="A1421" s="70" t="s">
        <v>38</v>
      </c>
      <c r="B1421" s="17" t="s">
        <v>2284</v>
      </c>
      <c r="C1421" s="16" t="s">
        <v>360</v>
      </c>
      <c r="D1421" s="13">
        <v>7897518300141</v>
      </c>
    </row>
    <row r="1422" spans="1:4">
      <c r="A1422" s="70" t="s">
        <v>1453</v>
      </c>
      <c r="B1422" s="17" t="s">
        <v>2284</v>
      </c>
      <c r="C1422" s="16" t="s">
        <v>334</v>
      </c>
      <c r="D1422" s="13">
        <v>7897518300011</v>
      </c>
    </row>
    <row r="1423" spans="1:4">
      <c r="A1423" s="70" t="s">
        <v>31</v>
      </c>
      <c r="B1423" s="17" t="s">
        <v>2284</v>
      </c>
      <c r="C1423" s="16" t="s">
        <v>282</v>
      </c>
      <c r="D1423" s="13">
        <v>7897518300097</v>
      </c>
    </row>
    <row r="1424" spans="1:4">
      <c r="A1424" s="70" t="s">
        <v>1448</v>
      </c>
      <c r="B1424" s="17" t="s">
        <v>2284</v>
      </c>
      <c r="C1424" s="16" t="s">
        <v>360</v>
      </c>
      <c r="D1424" s="13">
        <v>7897518300141</v>
      </c>
    </row>
    <row r="1425" spans="1:4">
      <c r="A1425" s="70" t="s">
        <v>479</v>
      </c>
      <c r="B1425" s="17" t="s">
        <v>2284</v>
      </c>
      <c r="C1425" s="16" t="s">
        <v>334</v>
      </c>
      <c r="D1425" s="13">
        <v>7897518300011</v>
      </c>
    </row>
    <row r="1426" spans="1:4">
      <c r="A1426" s="70" t="s">
        <v>2391</v>
      </c>
      <c r="B1426" s="17" t="s">
        <v>2281</v>
      </c>
      <c r="C1426" s="16" t="s">
        <v>1942</v>
      </c>
      <c r="D1426" s="13">
        <v>7897173098599</v>
      </c>
    </row>
    <row r="1427" spans="1:4">
      <c r="A1427" s="70" t="s">
        <v>2391</v>
      </c>
      <c r="B1427" s="17" t="s">
        <v>2281</v>
      </c>
      <c r="C1427" s="16" t="s">
        <v>1943</v>
      </c>
      <c r="D1427" s="13">
        <v>7897173098605</v>
      </c>
    </row>
    <row r="1428" spans="1:4">
      <c r="A1428" s="70" t="s">
        <v>39</v>
      </c>
      <c r="B1428" s="17" t="s">
        <v>2281</v>
      </c>
      <c r="C1428" s="16" t="s">
        <v>1288</v>
      </c>
      <c r="D1428" s="13">
        <v>7896064203456</v>
      </c>
    </row>
    <row r="1429" spans="1:4">
      <c r="A1429" s="70" t="s">
        <v>39</v>
      </c>
      <c r="B1429" s="17" t="s">
        <v>2281</v>
      </c>
      <c r="C1429" s="16" t="s">
        <v>1289</v>
      </c>
      <c r="D1429" s="13">
        <v>7896064203449</v>
      </c>
    </row>
    <row r="1430" spans="1:4">
      <c r="A1430" s="70" t="s">
        <v>1482</v>
      </c>
      <c r="B1430" s="17" t="s">
        <v>2281</v>
      </c>
      <c r="C1430" s="16" t="s">
        <v>1483</v>
      </c>
      <c r="D1430" s="13">
        <v>7898904875014</v>
      </c>
    </row>
    <row r="1431" spans="1:4">
      <c r="A1431" s="70" t="s">
        <v>1482</v>
      </c>
      <c r="B1431" s="17" t="s">
        <v>2281</v>
      </c>
      <c r="C1431" s="16" t="s">
        <v>1483</v>
      </c>
      <c r="D1431" s="13">
        <v>7898904874192</v>
      </c>
    </row>
    <row r="1432" spans="1:4">
      <c r="A1432" s="70" t="s">
        <v>1482</v>
      </c>
      <c r="B1432" s="17" t="s">
        <v>2281</v>
      </c>
      <c r="C1432" s="16" t="s">
        <v>1484</v>
      </c>
      <c r="D1432" s="13">
        <v>7898904874260</v>
      </c>
    </row>
    <row r="1433" spans="1:4">
      <c r="A1433" s="70" t="s">
        <v>1482</v>
      </c>
      <c r="B1433" s="17" t="s">
        <v>2281</v>
      </c>
      <c r="C1433" s="16" t="s">
        <v>1484</v>
      </c>
      <c r="D1433" s="13">
        <v>7898904875021</v>
      </c>
    </row>
    <row r="1434" spans="1:4">
      <c r="A1434" s="70" t="s">
        <v>1887</v>
      </c>
      <c r="B1434" s="17" t="s">
        <v>2281</v>
      </c>
      <c r="C1434" s="16" t="s">
        <v>1119</v>
      </c>
      <c r="D1434" s="13">
        <v>7896011107523</v>
      </c>
    </row>
    <row r="1435" spans="1:4">
      <c r="A1435" s="70" t="s">
        <v>1887</v>
      </c>
      <c r="B1435" s="17" t="s">
        <v>2281</v>
      </c>
      <c r="C1435" s="16" t="s">
        <v>1120</v>
      </c>
      <c r="D1435" s="13">
        <v>7896011125640</v>
      </c>
    </row>
    <row r="1436" spans="1:4">
      <c r="A1436" s="70" t="s">
        <v>1887</v>
      </c>
      <c r="B1436" s="17" t="s">
        <v>2281</v>
      </c>
      <c r="C1436" s="16" t="s">
        <v>1121</v>
      </c>
      <c r="D1436" s="13">
        <v>7896011125305</v>
      </c>
    </row>
    <row r="1437" spans="1:4">
      <c r="A1437" s="70" t="s">
        <v>1269</v>
      </c>
      <c r="B1437" s="17" t="s">
        <v>2281</v>
      </c>
      <c r="C1437" s="16" t="s">
        <v>1272</v>
      </c>
      <c r="D1437" s="13">
        <v>7896058255478</v>
      </c>
    </row>
    <row r="1438" spans="1:4">
      <c r="A1438" s="70" t="s">
        <v>1269</v>
      </c>
      <c r="B1438" s="17" t="s">
        <v>2281</v>
      </c>
      <c r="C1438" s="16" t="s">
        <v>1276</v>
      </c>
      <c r="D1438" s="13">
        <v>7896058255461</v>
      </c>
    </row>
    <row r="1439" spans="1:4">
      <c r="A1439" s="70" t="s">
        <v>1202</v>
      </c>
      <c r="B1439" s="17" t="s">
        <v>2287</v>
      </c>
      <c r="C1439" s="16" t="s">
        <v>1214</v>
      </c>
      <c r="D1439" s="13">
        <v>7702425537859</v>
      </c>
    </row>
    <row r="1440" spans="1:4">
      <c r="A1440" s="70" t="s">
        <v>1055</v>
      </c>
      <c r="B1440" s="17" t="s">
        <v>2286</v>
      </c>
      <c r="C1440" s="16" t="s">
        <v>1072</v>
      </c>
      <c r="D1440" s="13">
        <v>7896090700141</v>
      </c>
    </row>
    <row r="1441" spans="1:4">
      <c r="A1441" s="70" t="s">
        <v>1055</v>
      </c>
      <c r="B1441" s="17" t="s">
        <v>2286</v>
      </c>
      <c r="C1441" s="16" t="s">
        <v>1073</v>
      </c>
      <c r="D1441" s="13">
        <v>7896090700165</v>
      </c>
    </row>
    <row r="1442" spans="1:4">
      <c r="A1442" s="70" t="s">
        <v>1055</v>
      </c>
      <c r="B1442" s="17" t="s">
        <v>2286</v>
      </c>
      <c r="C1442" s="16" t="s">
        <v>1074</v>
      </c>
      <c r="D1442" s="13">
        <v>7896090700172</v>
      </c>
    </row>
    <row r="1443" spans="1:4">
      <c r="A1443" s="70" t="s">
        <v>1055</v>
      </c>
      <c r="B1443" s="17" t="s">
        <v>2286</v>
      </c>
      <c r="C1443" s="16" t="s">
        <v>1075</v>
      </c>
      <c r="D1443" s="13">
        <v>7896090700158</v>
      </c>
    </row>
    <row r="1444" spans="1:4">
      <c r="A1444" s="70" t="s">
        <v>1359</v>
      </c>
      <c r="B1444" s="17" t="s">
        <v>2288</v>
      </c>
      <c r="C1444" s="16" t="s">
        <v>1370</v>
      </c>
      <c r="D1444" s="13">
        <v>7898938227216</v>
      </c>
    </row>
    <row r="1445" spans="1:4">
      <c r="A1445" s="70" t="s">
        <v>1359</v>
      </c>
      <c r="B1445" s="17" t="s">
        <v>2288</v>
      </c>
      <c r="C1445" s="16" t="s">
        <v>1371</v>
      </c>
      <c r="D1445" s="13">
        <v>7898938227223</v>
      </c>
    </row>
    <row r="1446" spans="1:4">
      <c r="A1446" s="70" t="s">
        <v>2911</v>
      </c>
      <c r="B1446" s="17" t="s">
        <v>2288</v>
      </c>
      <c r="C1446" s="16" t="s">
        <v>245</v>
      </c>
      <c r="D1446" s="13">
        <v>7898067340503</v>
      </c>
    </row>
    <row r="1447" spans="1:4">
      <c r="A1447" s="70" t="s">
        <v>2911</v>
      </c>
      <c r="B1447" s="17" t="s">
        <v>2288</v>
      </c>
      <c r="C1447" s="16" t="s">
        <v>2915</v>
      </c>
      <c r="D1447" s="13">
        <v>7898067340688</v>
      </c>
    </row>
    <row r="1448" spans="1:4">
      <c r="A1448" s="70" t="s">
        <v>2911</v>
      </c>
      <c r="B1448" s="17" t="s">
        <v>2288</v>
      </c>
      <c r="C1448" s="16" t="s">
        <v>246</v>
      </c>
      <c r="D1448" s="13">
        <v>7898067340404</v>
      </c>
    </row>
    <row r="1449" spans="1:4">
      <c r="A1449" s="70" t="s">
        <v>1874</v>
      </c>
      <c r="B1449" s="17" t="s">
        <v>2288</v>
      </c>
      <c r="C1449" s="16" t="s">
        <v>1875</v>
      </c>
      <c r="D1449" s="13">
        <v>7898337980262</v>
      </c>
    </row>
    <row r="1450" spans="1:4">
      <c r="A1450" s="70" t="s">
        <v>1874</v>
      </c>
      <c r="B1450" s="17" t="s">
        <v>2288</v>
      </c>
      <c r="C1450" s="16" t="s">
        <v>1876</v>
      </c>
      <c r="D1450" s="13">
        <v>7898337980248</v>
      </c>
    </row>
    <row r="1451" spans="1:4">
      <c r="A1451" s="70" t="s">
        <v>2070</v>
      </c>
      <c r="B1451" s="17" t="s">
        <v>2288</v>
      </c>
      <c r="C1451" s="16" t="s">
        <v>2073</v>
      </c>
      <c r="D1451" s="13">
        <v>7898904874307</v>
      </c>
    </row>
    <row r="1452" spans="1:4">
      <c r="A1452" s="70" t="s">
        <v>145</v>
      </c>
      <c r="B1452" s="17" t="s">
        <v>2288</v>
      </c>
      <c r="C1452" s="16" t="s">
        <v>255</v>
      </c>
      <c r="D1452" s="13">
        <v>7896002302197</v>
      </c>
    </row>
    <row r="1453" spans="1:4">
      <c r="A1453" s="70" t="s">
        <v>1203</v>
      </c>
      <c r="B1453" s="17" t="s">
        <v>2288</v>
      </c>
      <c r="C1453" s="16" t="s">
        <v>1206</v>
      </c>
      <c r="D1453" s="13">
        <v>7896002300148</v>
      </c>
    </row>
    <row r="1454" spans="1:4">
      <c r="A1454" s="70" t="s">
        <v>1712</v>
      </c>
      <c r="B1454" s="17" t="s">
        <v>2288</v>
      </c>
      <c r="C1454" s="16" t="s">
        <v>1724</v>
      </c>
      <c r="D1454" s="13">
        <v>7896002360326</v>
      </c>
    </row>
    <row r="1455" spans="1:4">
      <c r="A1455" s="70" t="s">
        <v>1712</v>
      </c>
      <c r="B1455" s="17" t="s">
        <v>2288</v>
      </c>
      <c r="C1455" s="16" t="s">
        <v>1724</v>
      </c>
      <c r="D1455" s="13">
        <v>7896002360326</v>
      </c>
    </row>
    <row r="1456" spans="1:4">
      <c r="A1456" s="70" t="s">
        <v>90</v>
      </c>
      <c r="B1456" s="17" t="s">
        <v>2288</v>
      </c>
      <c r="C1456" s="16" t="s">
        <v>260</v>
      </c>
      <c r="D1456" s="13">
        <v>7896002360326</v>
      </c>
    </row>
    <row r="1457" spans="1:4">
      <c r="A1457" s="70" t="s">
        <v>1474</v>
      </c>
      <c r="B1457" s="17" t="s">
        <v>2288</v>
      </c>
      <c r="C1457" s="16" t="s">
        <v>1480</v>
      </c>
      <c r="D1457" s="13">
        <v>7898904874000</v>
      </c>
    </row>
    <row r="1458" spans="1:4">
      <c r="A1458" s="70" t="s">
        <v>1474</v>
      </c>
      <c r="B1458" s="17" t="s">
        <v>2288</v>
      </c>
      <c r="C1458" s="16" t="s">
        <v>1481</v>
      </c>
      <c r="D1458" s="13">
        <v>7898904874017</v>
      </c>
    </row>
    <row r="1459" spans="1:4">
      <c r="A1459" s="70" t="s">
        <v>1477</v>
      </c>
      <c r="B1459" s="17" t="s">
        <v>2288</v>
      </c>
      <c r="C1459" s="16" t="s">
        <v>1478</v>
      </c>
      <c r="D1459" s="13">
        <v>7898904875144</v>
      </c>
    </row>
    <row r="1460" spans="1:4">
      <c r="A1460" s="70" t="s">
        <v>1477</v>
      </c>
      <c r="B1460" s="17" t="s">
        <v>2288</v>
      </c>
      <c r="C1460" s="16" t="s">
        <v>1479</v>
      </c>
      <c r="D1460" s="13">
        <v>7898904875069</v>
      </c>
    </row>
    <row r="1461" spans="1:4">
      <c r="A1461" s="70" t="s">
        <v>1477</v>
      </c>
      <c r="B1461" s="17" t="s">
        <v>2288</v>
      </c>
      <c r="C1461" s="16" t="s">
        <v>1478</v>
      </c>
      <c r="D1461" s="13">
        <v>7898904874291</v>
      </c>
    </row>
    <row r="1462" spans="1:4">
      <c r="A1462" s="70" t="s">
        <v>1477</v>
      </c>
      <c r="B1462" s="17" t="s">
        <v>2288</v>
      </c>
      <c r="C1462" s="16" t="s">
        <v>1479</v>
      </c>
      <c r="D1462" s="13">
        <v>7898904874277</v>
      </c>
    </row>
    <row r="1463" spans="1:4">
      <c r="A1463" s="70" t="s">
        <v>1714</v>
      </c>
      <c r="B1463" s="17" t="s">
        <v>2288</v>
      </c>
      <c r="C1463" s="16" t="s">
        <v>1716</v>
      </c>
      <c r="D1463" s="13">
        <v>7896062534088</v>
      </c>
    </row>
    <row r="1464" spans="1:4">
      <c r="A1464" s="70" t="s">
        <v>1692</v>
      </c>
      <c r="B1464" s="17" t="s">
        <v>2288</v>
      </c>
      <c r="C1464" s="16" t="s">
        <v>1697</v>
      </c>
      <c r="D1464" s="13">
        <v>7896062537225</v>
      </c>
    </row>
    <row r="1465" spans="1:4">
      <c r="A1465" s="70" t="s">
        <v>1707</v>
      </c>
      <c r="B1465" s="17" t="s">
        <v>2288</v>
      </c>
      <c r="C1465" s="16" t="s">
        <v>1709</v>
      </c>
      <c r="D1465" s="13">
        <v>7896074600092</v>
      </c>
    </row>
    <row r="1466" spans="1:4">
      <c r="A1466" s="70" t="s">
        <v>1707</v>
      </c>
      <c r="B1466" s="17" t="s">
        <v>2288</v>
      </c>
      <c r="C1466" s="16" t="s">
        <v>1710</v>
      </c>
      <c r="D1466" s="13" t="s">
        <v>2318</v>
      </c>
    </row>
    <row r="1467" spans="1:4">
      <c r="A1467" s="70" t="s">
        <v>1707</v>
      </c>
      <c r="B1467" s="17" t="s">
        <v>2288</v>
      </c>
      <c r="C1467" s="16" t="s">
        <v>1711</v>
      </c>
      <c r="D1467" s="13" t="s">
        <v>2319</v>
      </c>
    </row>
    <row r="1468" spans="1:4">
      <c r="A1468" s="70" t="s">
        <v>1836</v>
      </c>
      <c r="B1468" s="17" t="s">
        <v>2288</v>
      </c>
      <c r="C1468" s="16" t="s">
        <v>1709</v>
      </c>
      <c r="D1468" s="13">
        <v>7896074600092</v>
      </c>
    </row>
    <row r="1469" spans="1:4">
      <c r="A1469" s="70" t="s">
        <v>1836</v>
      </c>
      <c r="B1469" s="17" t="s">
        <v>2288</v>
      </c>
      <c r="C1469" s="16" t="s">
        <v>1710</v>
      </c>
      <c r="D1469" s="13">
        <v>7896074600085</v>
      </c>
    </row>
    <row r="1470" spans="1:4">
      <c r="A1470" s="70" t="s">
        <v>1836</v>
      </c>
      <c r="B1470" s="17" t="s">
        <v>2288</v>
      </c>
      <c r="C1470" s="16" t="s">
        <v>1837</v>
      </c>
      <c r="D1470" s="13">
        <v>7896074604380</v>
      </c>
    </row>
    <row r="1471" spans="1:4">
      <c r="A1471" s="70" t="s">
        <v>1836</v>
      </c>
      <c r="B1471" s="17" t="s">
        <v>2288</v>
      </c>
      <c r="C1471" s="16" t="s">
        <v>1711</v>
      </c>
      <c r="D1471" s="13">
        <v>7896074603468</v>
      </c>
    </row>
    <row r="1472" spans="1:4" ht="30">
      <c r="A1472" s="70" t="s">
        <v>810</v>
      </c>
      <c r="B1472" s="17" t="s">
        <v>2288</v>
      </c>
      <c r="C1472" s="16" t="s">
        <v>811</v>
      </c>
      <c r="D1472" s="13">
        <v>7896074600993</v>
      </c>
    </row>
    <row r="1473" spans="1:4" ht="30">
      <c r="A1473" s="70" t="s">
        <v>810</v>
      </c>
      <c r="B1473" s="17" t="s">
        <v>2288</v>
      </c>
      <c r="C1473" s="16" t="s">
        <v>812</v>
      </c>
      <c r="D1473" s="13">
        <v>7896074604489</v>
      </c>
    </row>
    <row r="1474" spans="1:4" ht="30">
      <c r="A1474" s="70" t="s">
        <v>810</v>
      </c>
      <c r="B1474" s="17" t="s">
        <v>2288</v>
      </c>
      <c r="C1474" s="16" t="s">
        <v>813</v>
      </c>
      <c r="D1474" s="13">
        <v>7896074602416</v>
      </c>
    </row>
    <row r="1475" spans="1:4" ht="30">
      <c r="A1475" s="70" t="s">
        <v>810</v>
      </c>
      <c r="B1475" s="17" t="s">
        <v>2288</v>
      </c>
      <c r="C1475" s="16" t="s">
        <v>814</v>
      </c>
      <c r="D1475" s="13">
        <v>7896074602720</v>
      </c>
    </row>
    <row r="1476" spans="1:4" ht="30">
      <c r="A1476" s="70" t="s">
        <v>810</v>
      </c>
      <c r="B1476" s="17" t="s">
        <v>2288</v>
      </c>
      <c r="C1476" s="16" t="s">
        <v>815</v>
      </c>
      <c r="D1476" s="13">
        <v>7896074603222</v>
      </c>
    </row>
    <row r="1477" spans="1:4" ht="30">
      <c r="A1477" s="70" t="s">
        <v>810</v>
      </c>
      <c r="B1477" s="17" t="s">
        <v>2288</v>
      </c>
      <c r="C1477" s="16" t="s">
        <v>833</v>
      </c>
      <c r="D1477" s="13">
        <v>7896074601068</v>
      </c>
    </row>
    <row r="1478" spans="1:4">
      <c r="A1478" s="70" t="s">
        <v>2071</v>
      </c>
      <c r="B1478" s="17" t="s">
        <v>2288</v>
      </c>
      <c r="C1478" s="16" t="s">
        <v>833</v>
      </c>
      <c r="D1478" s="13">
        <v>7896074601068</v>
      </c>
    </row>
    <row r="1479" spans="1:4">
      <c r="A1479" s="70" t="s">
        <v>2071</v>
      </c>
      <c r="B1479" s="17" t="s">
        <v>2288</v>
      </c>
      <c r="C1479" s="16" t="s">
        <v>811</v>
      </c>
      <c r="D1479" s="13">
        <v>7896074600993</v>
      </c>
    </row>
    <row r="1480" spans="1:4">
      <c r="A1480" s="70" t="s">
        <v>3478</v>
      </c>
      <c r="B1480" s="17" t="s">
        <v>2285</v>
      </c>
      <c r="C1480" s="16" t="s">
        <v>370</v>
      </c>
      <c r="D1480" s="13">
        <v>7898327431262</v>
      </c>
    </row>
    <row r="1481" spans="1:4">
      <c r="A1481" s="70" t="s">
        <v>3479</v>
      </c>
      <c r="B1481" s="17" t="s">
        <v>2285</v>
      </c>
      <c r="C1481" s="16" t="s">
        <v>564</v>
      </c>
      <c r="D1481" s="13">
        <v>7896075301448</v>
      </c>
    </row>
    <row r="1482" spans="1:4">
      <c r="A1482" s="70" t="s">
        <v>132</v>
      </c>
      <c r="B1482" s="17" t="s">
        <v>2285</v>
      </c>
      <c r="C1482" s="16" t="s">
        <v>278</v>
      </c>
      <c r="D1482" s="13">
        <v>7891172421174</v>
      </c>
    </row>
    <row r="1483" spans="1:4">
      <c r="A1483" s="70" t="s">
        <v>3480</v>
      </c>
      <c r="B1483" s="17" t="s">
        <v>2285</v>
      </c>
      <c r="C1483" s="16" t="s">
        <v>166</v>
      </c>
      <c r="D1483" s="13">
        <v>7891172432026</v>
      </c>
    </row>
    <row r="1484" spans="1:4">
      <c r="A1484" s="70" t="s">
        <v>1884</v>
      </c>
      <c r="B1484" s="17" t="s">
        <v>2285</v>
      </c>
      <c r="C1484" s="16" t="s">
        <v>359</v>
      </c>
      <c r="D1484" s="13">
        <v>7891172422607</v>
      </c>
    </row>
    <row r="1485" spans="1:4">
      <c r="A1485" s="70" t="s">
        <v>458</v>
      </c>
      <c r="B1485" s="17" t="s">
        <v>2285</v>
      </c>
      <c r="C1485" s="16" t="s">
        <v>476</v>
      </c>
      <c r="D1485" s="13">
        <v>7896061915208</v>
      </c>
    </row>
    <row r="1486" spans="1:4">
      <c r="A1486" s="70" t="s">
        <v>73</v>
      </c>
      <c r="B1486" s="17" t="s">
        <v>2285</v>
      </c>
      <c r="C1486" s="16" t="s">
        <v>400</v>
      </c>
      <c r="D1486" s="13">
        <v>7896061915307</v>
      </c>
    </row>
    <row r="1487" spans="1:4">
      <c r="A1487" s="70" t="s">
        <v>1266</v>
      </c>
      <c r="B1487" s="17" t="s">
        <v>2284</v>
      </c>
      <c r="C1487" s="16" t="s">
        <v>1273</v>
      </c>
      <c r="D1487" s="13">
        <v>7896009301193</v>
      </c>
    </row>
    <row r="1488" spans="1:4">
      <c r="A1488" s="70" t="s">
        <v>1266</v>
      </c>
      <c r="B1488" s="17" t="s">
        <v>2284</v>
      </c>
      <c r="C1488" s="16" t="s">
        <v>1273</v>
      </c>
      <c r="D1488" s="13">
        <v>7894321841014</v>
      </c>
    </row>
    <row r="1489" spans="1:4">
      <c r="A1489" s="70" t="s">
        <v>1492</v>
      </c>
      <c r="B1489" s="17" t="s">
        <v>2284</v>
      </c>
      <c r="C1489" s="16" t="s">
        <v>1273</v>
      </c>
      <c r="D1489" s="13">
        <v>7896009301193</v>
      </c>
    </row>
    <row r="1490" spans="1:4">
      <c r="A1490" s="70" t="s">
        <v>1492</v>
      </c>
      <c r="B1490" s="17" t="s">
        <v>2284</v>
      </c>
      <c r="C1490" s="16" t="s">
        <v>1273</v>
      </c>
      <c r="D1490" s="13">
        <v>7894321841014</v>
      </c>
    </row>
    <row r="1491" spans="1:4">
      <c r="A1491" s="70" t="s">
        <v>1492</v>
      </c>
      <c r="B1491" s="17" t="s">
        <v>2284</v>
      </c>
      <c r="C1491" s="16" t="s">
        <v>1498</v>
      </c>
      <c r="D1491" s="13">
        <v>7896009301186</v>
      </c>
    </row>
    <row r="1492" spans="1:4">
      <c r="A1492" s="70" t="s">
        <v>1492</v>
      </c>
      <c r="B1492" s="17" t="s">
        <v>2284</v>
      </c>
      <c r="C1492" s="16" t="s">
        <v>1499</v>
      </c>
      <c r="D1492" s="13">
        <v>7896009500220</v>
      </c>
    </row>
    <row r="1493" spans="1:4">
      <c r="A1493" s="70" t="s">
        <v>1066</v>
      </c>
      <c r="B1493" s="17" t="s">
        <v>2282</v>
      </c>
      <c r="C1493" s="16" t="s">
        <v>1090</v>
      </c>
      <c r="D1493" s="13">
        <v>99592</v>
      </c>
    </row>
    <row r="1494" spans="1:4">
      <c r="A1494" s="70" t="s">
        <v>1815</v>
      </c>
      <c r="B1494" s="17" t="s">
        <v>2282</v>
      </c>
      <c r="C1494" s="16" t="s">
        <v>1196</v>
      </c>
      <c r="D1494" s="13">
        <v>98151</v>
      </c>
    </row>
    <row r="1495" spans="1:4">
      <c r="A1495" s="70" t="s">
        <v>1311</v>
      </c>
      <c r="B1495" s="17" t="s">
        <v>2282</v>
      </c>
      <c r="C1495" s="16" t="s">
        <v>1355</v>
      </c>
      <c r="D1495" s="13">
        <v>98106</v>
      </c>
    </row>
    <row r="1496" spans="1:4">
      <c r="A1496" s="70" t="s">
        <v>1400</v>
      </c>
      <c r="B1496" s="17" t="s">
        <v>2282</v>
      </c>
      <c r="C1496" s="16" t="s">
        <v>1400</v>
      </c>
      <c r="D1496" s="13">
        <v>98199</v>
      </c>
    </row>
    <row r="1497" spans="1:4">
      <c r="A1497" s="70" t="s">
        <v>3481</v>
      </c>
      <c r="B1497" s="17" t="s">
        <v>2288</v>
      </c>
      <c r="C1497" s="16" t="s">
        <v>2503</v>
      </c>
      <c r="D1497" s="13">
        <v>7891025122722</v>
      </c>
    </row>
    <row r="1498" spans="1:4">
      <c r="A1498" s="70" t="s">
        <v>3481</v>
      </c>
      <c r="B1498" s="17" t="s">
        <v>2288</v>
      </c>
      <c r="C1498" s="16" t="s">
        <v>1304</v>
      </c>
      <c r="D1498" s="13">
        <v>7891025109884</v>
      </c>
    </row>
    <row r="1499" spans="1:4">
      <c r="A1499" s="70" t="s">
        <v>3481</v>
      </c>
      <c r="B1499" s="17" t="s">
        <v>2288</v>
      </c>
      <c r="C1499" s="16" t="s">
        <v>1305</v>
      </c>
      <c r="D1499" s="13">
        <v>7891025112204</v>
      </c>
    </row>
    <row r="1500" spans="1:4">
      <c r="A1500" s="70" t="s">
        <v>3481</v>
      </c>
      <c r="B1500" s="17" t="s">
        <v>2288</v>
      </c>
      <c r="C1500" s="16" t="s">
        <v>2118</v>
      </c>
      <c r="D1500" s="13">
        <v>7891025120353</v>
      </c>
    </row>
    <row r="1501" spans="1:4">
      <c r="A1501" s="70" t="s">
        <v>3481</v>
      </c>
      <c r="B1501" s="17" t="s">
        <v>2288</v>
      </c>
      <c r="C1501" s="16" t="s">
        <v>1306</v>
      </c>
      <c r="D1501" s="13">
        <v>7891025109891</v>
      </c>
    </row>
    <row r="1502" spans="1:4">
      <c r="A1502" s="70" t="s">
        <v>1956</v>
      </c>
      <c r="B1502" s="17" t="s">
        <v>2288</v>
      </c>
      <c r="C1502" s="16" t="s">
        <v>1964</v>
      </c>
      <c r="D1502" s="13">
        <v>7891000103937</v>
      </c>
    </row>
    <row r="1503" spans="1:4">
      <c r="A1503" s="70" t="s">
        <v>2634</v>
      </c>
      <c r="B1503" s="17" t="s">
        <v>2284</v>
      </c>
      <c r="C1503" s="16" t="s">
        <v>574</v>
      </c>
      <c r="D1503" s="13">
        <v>7891095100729</v>
      </c>
    </row>
    <row r="1504" spans="1:4">
      <c r="A1504" s="70" t="s">
        <v>2634</v>
      </c>
      <c r="B1504" s="17" t="s">
        <v>2284</v>
      </c>
      <c r="C1504" s="16" t="s">
        <v>575</v>
      </c>
      <c r="D1504" s="13">
        <v>7891095002207</v>
      </c>
    </row>
    <row r="1505" spans="1:4">
      <c r="A1505" s="70" t="s">
        <v>2634</v>
      </c>
      <c r="B1505" s="17" t="s">
        <v>2284</v>
      </c>
      <c r="C1505" s="16" t="s">
        <v>2660</v>
      </c>
      <c r="D1505" s="13">
        <v>7891095911141</v>
      </c>
    </row>
    <row r="1506" spans="1:4">
      <c r="A1506" s="70" t="s">
        <v>2634</v>
      </c>
      <c r="B1506" s="17" t="s">
        <v>2284</v>
      </c>
      <c r="C1506" s="16" t="s">
        <v>576</v>
      </c>
      <c r="D1506" s="13">
        <v>7891095021420</v>
      </c>
    </row>
    <row r="1507" spans="1:4">
      <c r="A1507" s="70" t="s">
        <v>2634</v>
      </c>
      <c r="B1507" s="17" t="s">
        <v>2284</v>
      </c>
      <c r="C1507" s="16" t="s">
        <v>577</v>
      </c>
      <c r="D1507" s="13">
        <v>7891095100934</v>
      </c>
    </row>
    <row r="1508" spans="1:4">
      <c r="A1508" s="70" t="s">
        <v>2634</v>
      </c>
      <c r="B1508" s="17" t="s">
        <v>2284</v>
      </c>
      <c r="C1508" s="16" t="s">
        <v>578</v>
      </c>
      <c r="D1508" s="13">
        <v>7891095008452</v>
      </c>
    </row>
    <row r="1509" spans="1:4">
      <c r="A1509" s="70" t="s">
        <v>2634</v>
      </c>
      <c r="B1509" s="17" t="s">
        <v>2284</v>
      </c>
      <c r="C1509" s="16" t="s">
        <v>579</v>
      </c>
      <c r="D1509" s="13">
        <v>7891095021437</v>
      </c>
    </row>
    <row r="1510" spans="1:4">
      <c r="A1510" s="70" t="s">
        <v>2634</v>
      </c>
      <c r="B1510" s="17" t="s">
        <v>2284</v>
      </c>
      <c r="C1510" s="16" t="s">
        <v>580</v>
      </c>
      <c r="D1510" s="13">
        <v>7891095100125</v>
      </c>
    </row>
    <row r="1511" spans="1:4">
      <c r="A1511" s="70" t="s">
        <v>2634</v>
      </c>
      <c r="B1511" s="17" t="s">
        <v>2284</v>
      </c>
      <c r="C1511" s="16" t="s">
        <v>581</v>
      </c>
      <c r="D1511" s="13">
        <v>7891095006274</v>
      </c>
    </row>
    <row r="1512" spans="1:4">
      <c r="A1512" s="70" t="s">
        <v>102</v>
      </c>
      <c r="B1512" s="17" t="s">
        <v>2284</v>
      </c>
      <c r="C1512" s="16" t="s">
        <v>242</v>
      </c>
      <c r="D1512" s="13">
        <v>7896280401667</v>
      </c>
    </row>
    <row r="1513" spans="1:4">
      <c r="A1513" s="70" t="s">
        <v>102</v>
      </c>
      <c r="B1513" s="17" t="s">
        <v>2284</v>
      </c>
      <c r="C1513" s="16" t="s">
        <v>241</v>
      </c>
      <c r="D1513" s="13">
        <v>7896280400974</v>
      </c>
    </row>
    <row r="1514" spans="1:4">
      <c r="A1514" s="70" t="s">
        <v>102</v>
      </c>
      <c r="B1514" s="17" t="s">
        <v>2284</v>
      </c>
      <c r="C1514" s="16" t="s">
        <v>240</v>
      </c>
      <c r="D1514" s="13">
        <v>7896280402374</v>
      </c>
    </row>
    <row r="1515" spans="1:4">
      <c r="A1515" s="70" t="s">
        <v>102</v>
      </c>
      <c r="B1515" s="17" t="s">
        <v>2284</v>
      </c>
      <c r="C1515" s="16" t="s">
        <v>239</v>
      </c>
      <c r="D1515" s="13">
        <v>7896280400981</v>
      </c>
    </row>
    <row r="1516" spans="1:4">
      <c r="A1516" s="70" t="s">
        <v>102</v>
      </c>
      <c r="B1516" s="17" t="s">
        <v>2284</v>
      </c>
      <c r="C1516" s="16" t="s">
        <v>238</v>
      </c>
      <c r="D1516" s="13">
        <v>7896280401650</v>
      </c>
    </row>
    <row r="1517" spans="1:4">
      <c r="A1517" s="70" t="s">
        <v>102</v>
      </c>
      <c r="B1517" s="17" t="s">
        <v>2284</v>
      </c>
      <c r="C1517" s="16" t="s">
        <v>1132</v>
      </c>
      <c r="D1517" s="13">
        <v>7896280402022</v>
      </c>
    </row>
    <row r="1518" spans="1:4">
      <c r="A1518" s="70" t="s">
        <v>102</v>
      </c>
      <c r="B1518" s="17" t="s">
        <v>2284</v>
      </c>
      <c r="C1518" s="16" t="s">
        <v>1133</v>
      </c>
      <c r="D1518" s="13">
        <v>7896280402039</v>
      </c>
    </row>
    <row r="1519" spans="1:4">
      <c r="A1519" s="70" t="s">
        <v>1277</v>
      </c>
      <c r="B1519" s="17" t="s">
        <v>2284</v>
      </c>
      <c r="C1519" s="16" t="s">
        <v>1284</v>
      </c>
      <c r="D1519" s="13">
        <v>7891032015154</v>
      </c>
    </row>
    <row r="1520" spans="1:4">
      <c r="A1520" s="70" t="s">
        <v>1439</v>
      </c>
      <c r="B1520" s="17" t="s">
        <v>2282</v>
      </c>
      <c r="C1520" s="16" t="s">
        <v>1445</v>
      </c>
      <c r="D1520" s="13">
        <v>99080</v>
      </c>
    </row>
    <row r="1521" spans="1:4">
      <c r="A1521" s="70" t="s">
        <v>436</v>
      </c>
      <c r="B1521" s="17" t="s">
        <v>2282</v>
      </c>
      <c r="C1521" s="16" t="s">
        <v>447</v>
      </c>
      <c r="D1521" s="13">
        <v>99394</v>
      </c>
    </row>
    <row r="1522" spans="1:4">
      <c r="A1522" s="70" t="s">
        <v>127</v>
      </c>
      <c r="B1522" s="17" t="s">
        <v>2282</v>
      </c>
      <c r="C1522" s="16" t="s">
        <v>127</v>
      </c>
      <c r="D1522" s="13">
        <v>99837</v>
      </c>
    </row>
    <row r="1523" spans="1:4">
      <c r="A1523" s="70" t="s">
        <v>373</v>
      </c>
      <c r="B1523" s="17" t="s">
        <v>2282</v>
      </c>
      <c r="C1523" s="16" t="s">
        <v>374</v>
      </c>
      <c r="D1523" s="13">
        <v>99264</v>
      </c>
    </row>
    <row r="1524" spans="1:4">
      <c r="A1524" s="70" t="s">
        <v>1299</v>
      </c>
      <c r="B1524" s="17" t="s">
        <v>2288</v>
      </c>
      <c r="C1524" s="16" t="s">
        <v>1309</v>
      </c>
      <c r="D1524" s="13">
        <v>98052</v>
      </c>
    </row>
    <row r="1525" spans="1:4">
      <c r="A1525" s="70" t="s">
        <v>1765</v>
      </c>
      <c r="B1525" s="17" t="s">
        <v>2288</v>
      </c>
      <c r="C1525" s="16" t="s">
        <v>1687</v>
      </c>
      <c r="D1525" s="13">
        <v>98397</v>
      </c>
    </row>
    <row r="1526" spans="1:4">
      <c r="A1526" s="70" t="s">
        <v>1765</v>
      </c>
      <c r="B1526" s="17" t="s">
        <v>2288</v>
      </c>
      <c r="C1526" s="16" t="s">
        <v>1688</v>
      </c>
      <c r="D1526" s="13">
        <v>98441</v>
      </c>
    </row>
    <row r="1527" spans="1:4">
      <c r="A1527" s="70" t="s">
        <v>1508</v>
      </c>
      <c r="B1527" s="17" t="s">
        <v>2288</v>
      </c>
      <c r="C1527" s="16" t="s">
        <v>1516</v>
      </c>
      <c r="D1527" s="13">
        <v>98243</v>
      </c>
    </row>
    <row r="1528" spans="1:4">
      <c r="A1528" s="70" t="s">
        <v>1508</v>
      </c>
      <c r="B1528" s="17" t="s">
        <v>2288</v>
      </c>
      <c r="C1528" s="16" t="s">
        <v>1517</v>
      </c>
      <c r="D1528" s="13">
        <v>98274</v>
      </c>
    </row>
    <row r="1529" spans="1:4">
      <c r="A1529" s="70" t="s">
        <v>1234</v>
      </c>
      <c r="B1529" s="17" t="s">
        <v>2288</v>
      </c>
      <c r="C1529" s="16" t="s">
        <v>1241</v>
      </c>
      <c r="D1529" s="13">
        <v>7891999960054</v>
      </c>
    </row>
    <row r="1530" spans="1:4">
      <c r="A1530" s="70" t="s">
        <v>1452</v>
      </c>
      <c r="B1530" s="17" t="s">
        <v>2288</v>
      </c>
      <c r="C1530" s="16" t="s">
        <v>1429</v>
      </c>
      <c r="D1530" s="13">
        <v>7896238100017</v>
      </c>
    </row>
    <row r="1531" spans="1:4">
      <c r="A1531" s="70" t="s">
        <v>3482</v>
      </c>
      <c r="B1531" s="17" t="s">
        <v>2288</v>
      </c>
      <c r="C1531" s="16" t="s">
        <v>1116</v>
      </c>
      <c r="D1531" s="13">
        <v>7891999970053</v>
      </c>
    </row>
    <row r="1532" spans="1:4">
      <c r="A1532" s="70" t="s">
        <v>1135</v>
      </c>
      <c r="B1532" s="17" t="s">
        <v>2284</v>
      </c>
      <c r="C1532" s="16" t="s">
        <v>1140</v>
      </c>
      <c r="D1532" s="13">
        <v>7898908207484</v>
      </c>
    </row>
    <row r="1533" spans="1:4">
      <c r="A1533" s="70" t="s">
        <v>1135</v>
      </c>
      <c r="B1533" s="17" t="s">
        <v>2284</v>
      </c>
      <c r="C1533" s="16" t="s">
        <v>1140</v>
      </c>
      <c r="D1533" s="13">
        <v>7898670300185</v>
      </c>
    </row>
    <row r="1534" spans="1:4">
      <c r="A1534" s="70" t="s">
        <v>3483</v>
      </c>
      <c r="B1534" s="17" t="s">
        <v>2287</v>
      </c>
      <c r="C1534" s="16" t="s">
        <v>441</v>
      </c>
      <c r="D1534" s="13">
        <v>7891000020487</v>
      </c>
    </row>
    <row r="1535" spans="1:4">
      <c r="A1535" s="70" t="s">
        <v>3483</v>
      </c>
      <c r="B1535" s="17" t="s">
        <v>2287</v>
      </c>
      <c r="C1535" s="16" t="s">
        <v>442</v>
      </c>
      <c r="D1535" s="13">
        <v>7896015606466</v>
      </c>
    </row>
    <row r="1536" spans="1:4">
      <c r="A1536" s="70" t="s">
        <v>3483</v>
      </c>
      <c r="B1536" s="17" t="s">
        <v>2287</v>
      </c>
      <c r="C1536" s="16" t="s">
        <v>443</v>
      </c>
      <c r="D1536" s="13">
        <v>7891000246832</v>
      </c>
    </row>
    <row r="1537" spans="1:4">
      <c r="A1537" s="70" t="s">
        <v>3483</v>
      </c>
      <c r="B1537" s="17" t="s">
        <v>2287</v>
      </c>
      <c r="C1537" s="16" t="s">
        <v>444</v>
      </c>
      <c r="D1537" s="13">
        <v>7891000246801</v>
      </c>
    </row>
    <row r="1538" spans="1:4">
      <c r="A1538" s="70" t="s">
        <v>3483</v>
      </c>
      <c r="B1538" s="17" t="s">
        <v>2287</v>
      </c>
      <c r="C1538" s="16" t="s">
        <v>445</v>
      </c>
      <c r="D1538" s="13">
        <v>7896015606237</v>
      </c>
    </row>
    <row r="1539" spans="1:4">
      <c r="A1539" s="70" t="s">
        <v>3483</v>
      </c>
      <c r="B1539" s="17" t="s">
        <v>2287</v>
      </c>
      <c r="C1539" s="16" t="s">
        <v>446</v>
      </c>
      <c r="D1539" s="13">
        <v>7891000032701</v>
      </c>
    </row>
    <row r="1540" spans="1:4">
      <c r="A1540" s="70" t="s">
        <v>3483</v>
      </c>
      <c r="B1540" s="17" t="s">
        <v>2287</v>
      </c>
      <c r="C1540" s="16" t="s">
        <v>866</v>
      </c>
      <c r="D1540" s="13">
        <v>7891000094846</v>
      </c>
    </row>
    <row r="1541" spans="1:4">
      <c r="A1541" s="70" t="s">
        <v>3483</v>
      </c>
      <c r="B1541" s="17" t="s">
        <v>2287</v>
      </c>
      <c r="C1541" s="16" t="s">
        <v>867</v>
      </c>
      <c r="D1541" s="13">
        <v>7891000094860</v>
      </c>
    </row>
    <row r="1542" spans="1:4">
      <c r="A1542" s="70" t="s">
        <v>3483</v>
      </c>
      <c r="B1542" s="17" t="s">
        <v>2287</v>
      </c>
      <c r="C1542" s="16" t="s">
        <v>868</v>
      </c>
      <c r="D1542" s="13">
        <v>7896015606534</v>
      </c>
    </row>
    <row r="1543" spans="1:4">
      <c r="A1543" s="70" t="s">
        <v>3483</v>
      </c>
      <c r="B1543" s="17" t="s">
        <v>2287</v>
      </c>
      <c r="C1543" s="16" t="s">
        <v>2075</v>
      </c>
      <c r="D1543" s="13">
        <v>7891000116616</v>
      </c>
    </row>
    <row r="1544" spans="1:4">
      <c r="A1544" s="70" t="s">
        <v>3483</v>
      </c>
      <c r="B1544" s="17" t="s">
        <v>2287</v>
      </c>
      <c r="C1544" s="16" t="s">
        <v>2076</v>
      </c>
      <c r="D1544" s="13">
        <v>7891000116678</v>
      </c>
    </row>
    <row r="1545" spans="1:4">
      <c r="A1545" s="70" t="s">
        <v>3483</v>
      </c>
      <c r="B1545" s="17" t="s">
        <v>2287</v>
      </c>
      <c r="C1545" s="16" t="s">
        <v>869</v>
      </c>
      <c r="D1545" s="13">
        <v>7891000105139</v>
      </c>
    </row>
    <row r="1546" spans="1:4">
      <c r="A1546" s="70" t="s">
        <v>3483</v>
      </c>
      <c r="B1546" s="17" t="s">
        <v>2287</v>
      </c>
      <c r="C1546" s="16" t="s">
        <v>3059</v>
      </c>
      <c r="D1546" s="13">
        <v>7891000350881</v>
      </c>
    </row>
    <row r="1547" spans="1:4">
      <c r="A1547" s="70" t="s">
        <v>3483</v>
      </c>
      <c r="B1547" s="17" t="s">
        <v>2287</v>
      </c>
      <c r="C1547" s="16" t="s">
        <v>1194</v>
      </c>
      <c r="D1547" s="13">
        <v>7896015606589</v>
      </c>
    </row>
    <row r="1548" spans="1:4">
      <c r="A1548" s="70" t="s">
        <v>3484</v>
      </c>
      <c r="B1548" s="17" t="s">
        <v>2287</v>
      </c>
      <c r="C1548" s="16" t="s">
        <v>1645</v>
      </c>
      <c r="D1548" s="13">
        <v>7891000069905</v>
      </c>
    </row>
    <row r="1549" spans="1:4">
      <c r="A1549" s="70" t="s">
        <v>3484</v>
      </c>
      <c r="B1549" s="17" t="s">
        <v>2287</v>
      </c>
      <c r="C1549" s="16" t="s">
        <v>1646</v>
      </c>
      <c r="D1549" s="13">
        <v>7891000069783</v>
      </c>
    </row>
    <row r="1550" spans="1:4">
      <c r="A1550" s="70" t="s">
        <v>3484</v>
      </c>
      <c r="B1550" s="17" t="s">
        <v>2287</v>
      </c>
      <c r="C1550" s="16" t="s">
        <v>1647</v>
      </c>
      <c r="D1550" s="13">
        <v>7891000257944</v>
      </c>
    </row>
    <row r="1551" spans="1:4">
      <c r="A1551" s="70" t="s">
        <v>3484</v>
      </c>
      <c r="B1551" s="17" t="s">
        <v>2287</v>
      </c>
      <c r="C1551" s="16" t="s">
        <v>1659</v>
      </c>
      <c r="D1551" s="13">
        <v>7891000077276</v>
      </c>
    </row>
    <row r="1552" spans="1:4">
      <c r="A1552" s="70" t="s">
        <v>3484</v>
      </c>
      <c r="B1552" s="17" t="s">
        <v>2287</v>
      </c>
      <c r="C1552" s="16" t="s">
        <v>1648</v>
      </c>
      <c r="D1552" s="13">
        <v>7891000621608</v>
      </c>
    </row>
    <row r="1553" spans="1:4">
      <c r="A1553" s="70" t="s">
        <v>3484</v>
      </c>
      <c r="B1553" s="17" t="s">
        <v>2287</v>
      </c>
      <c r="C1553" s="16" t="s">
        <v>1649</v>
      </c>
      <c r="D1553" s="13">
        <v>7891000069714</v>
      </c>
    </row>
    <row r="1554" spans="1:4">
      <c r="A1554" s="70" t="s">
        <v>2228</v>
      </c>
      <c r="B1554" s="17" t="s">
        <v>2287</v>
      </c>
      <c r="C1554" s="16" t="s">
        <v>2238</v>
      </c>
      <c r="D1554" s="13">
        <v>7896029006948</v>
      </c>
    </row>
    <row r="1555" spans="1:4">
      <c r="A1555" s="70" t="s">
        <v>2228</v>
      </c>
      <c r="B1555" s="17" t="s">
        <v>2287</v>
      </c>
      <c r="C1555" s="16" t="s">
        <v>2239</v>
      </c>
      <c r="D1555" s="13">
        <v>7896029075685</v>
      </c>
    </row>
    <row r="1556" spans="1:4">
      <c r="A1556" s="70" t="s">
        <v>2195</v>
      </c>
      <c r="B1556" s="17" t="s">
        <v>2287</v>
      </c>
      <c r="C1556" s="16" t="s">
        <v>2213</v>
      </c>
      <c r="D1556" s="13">
        <v>7896029095768</v>
      </c>
    </row>
    <row r="1557" spans="1:4">
      <c r="A1557" s="70" t="s">
        <v>2195</v>
      </c>
      <c r="B1557" s="17" t="s">
        <v>2287</v>
      </c>
      <c r="C1557" s="16" t="s">
        <v>2212</v>
      </c>
      <c r="D1557" s="13">
        <v>7896029057988</v>
      </c>
    </row>
    <row r="1558" spans="1:4">
      <c r="A1558" s="70" t="s">
        <v>2195</v>
      </c>
      <c r="B1558" s="17" t="s">
        <v>2287</v>
      </c>
      <c r="C1558" s="16" t="s">
        <v>2214</v>
      </c>
      <c r="D1558" s="13">
        <v>7896029095645</v>
      </c>
    </row>
    <row r="1559" spans="1:4">
      <c r="A1559" s="70" t="s">
        <v>2293</v>
      </c>
      <c r="B1559" s="17" t="s">
        <v>2287</v>
      </c>
      <c r="C1559" s="16" t="s">
        <v>2296</v>
      </c>
      <c r="D1559" s="13">
        <v>7896029069486</v>
      </c>
    </row>
    <row r="1560" spans="1:4">
      <c r="A1560" s="70" t="s">
        <v>62</v>
      </c>
      <c r="B1560" s="17" t="s">
        <v>2287</v>
      </c>
      <c r="C1560" s="16" t="s">
        <v>584</v>
      </c>
      <c r="D1560" s="13">
        <v>7898363311894</v>
      </c>
    </row>
    <row r="1561" spans="1:4">
      <c r="A1561" s="70" t="s">
        <v>62</v>
      </c>
      <c r="B1561" s="17" t="s">
        <v>2287</v>
      </c>
      <c r="C1561" s="16" t="s">
        <v>1777</v>
      </c>
      <c r="D1561" s="13">
        <v>7898363313959</v>
      </c>
    </row>
    <row r="1562" spans="1:4">
      <c r="A1562" s="70" t="s">
        <v>62</v>
      </c>
      <c r="B1562" s="17" t="s">
        <v>2287</v>
      </c>
      <c r="C1562" s="16" t="s">
        <v>598</v>
      </c>
      <c r="D1562" s="13">
        <v>7898363312556</v>
      </c>
    </row>
    <row r="1563" spans="1:4">
      <c r="A1563" s="70" t="s">
        <v>62</v>
      </c>
      <c r="B1563" s="17" t="s">
        <v>2287</v>
      </c>
      <c r="C1563" s="16" t="s">
        <v>2140</v>
      </c>
      <c r="D1563" s="13">
        <v>7898363316110</v>
      </c>
    </row>
    <row r="1564" spans="1:4">
      <c r="A1564" s="70" t="s">
        <v>62</v>
      </c>
      <c r="B1564" s="17" t="s">
        <v>2287</v>
      </c>
      <c r="C1564" s="16" t="s">
        <v>585</v>
      </c>
      <c r="D1564" s="13">
        <v>7898363313263</v>
      </c>
    </row>
    <row r="1565" spans="1:4">
      <c r="A1565" s="70" t="s">
        <v>3485</v>
      </c>
      <c r="B1565" s="17" t="s">
        <v>2287</v>
      </c>
      <c r="C1565" s="16" t="s">
        <v>651</v>
      </c>
      <c r="D1565" s="13">
        <v>7898363313959</v>
      </c>
    </row>
    <row r="1566" spans="1:4">
      <c r="A1566" s="70" t="s">
        <v>54</v>
      </c>
      <c r="B1566" s="17" t="s">
        <v>2287</v>
      </c>
      <c r="C1566" s="16" t="s">
        <v>713</v>
      </c>
      <c r="D1566" s="13">
        <v>7898363313881</v>
      </c>
    </row>
    <row r="1567" spans="1:4">
      <c r="A1567" s="70" t="s">
        <v>2196</v>
      </c>
      <c r="B1567" s="17" t="s">
        <v>2287</v>
      </c>
      <c r="C1567" s="16" t="s">
        <v>2215</v>
      </c>
      <c r="D1567" s="51">
        <v>7896029007112</v>
      </c>
    </row>
    <row r="1568" spans="1:4">
      <c r="A1568" s="70" t="s">
        <v>2196</v>
      </c>
      <c r="B1568" s="17" t="s">
        <v>2287</v>
      </c>
      <c r="C1568" s="16" t="s">
        <v>2216</v>
      </c>
      <c r="D1568" s="51">
        <v>7896029007334</v>
      </c>
    </row>
    <row r="1569" spans="1:4">
      <c r="A1569" s="70" t="s">
        <v>2196</v>
      </c>
      <c r="B1569" s="17" t="s">
        <v>2287</v>
      </c>
      <c r="C1569" s="16" t="s">
        <v>2217</v>
      </c>
      <c r="D1569" s="51">
        <v>7896029003824</v>
      </c>
    </row>
    <row r="1570" spans="1:4">
      <c r="A1570" s="70" t="s">
        <v>2196</v>
      </c>
      <c r="B1570" s="17" t="s">
        <v>2287</v>
      </c>
      <c r="C1570" s="16" t="s">
        <v>2218</v>
      </c>
      <c r="D1570" s="13">
        <v>7896029041338</v>
      </c>
    </row>
    <row r="1571" spans="1:4">
      <c r="A1571" s="70" t="s">
        <v>2196</v>
      </c>
      <c r="B1571" s="17" t="s">
        <v>2287</v>
      </c>
      <c r="C1571" s="16" t="s">
        <v>2219</v>
      </c>
      <c r="D1571" s="51">
        <v>7896029007129</v>
      </c>
    </row>
    <row r="1572" spans="1:4">
      <c r="A1572" s="70" t="s">
        <v>131</v>
      </c>
      <c r="B1572" s="17" t="s">
        <v>2287</v>
      </c>
      <c r="C1572" s="16" t="s">
        <v>980</v>
      </c>
      <c r="D1572" s="13">
        <v>7896015603236</v>
      </c>
    </row>
    <row r="1573" spans="1:4">
      <c r="A1573" s="70" t="s">
        <v>93</v>
      </c>
      <c r="B1573" s="17" t="s">
        <v>2283</v>
      </c>
      <c r="C1573" s="16" t="s">
        <v>999</v>
      </c>
      <c r="D1573" s="13">
        <v>7898027656620</v>
      </c>
    </row>
    <row r="1574" spans="1:4">
      <c r="A1574" s="70" t="s">
        <v>93</v>
      </c>
      <c r="B1574" s="17" t="s">
        <v>2283</v>
      </c>
      <c r="C1574" s="16" t="s">
        <v>1000</v>
      </c>
      <c r="D1574" s="13">
        <v>7898027656828</v>
      </c>
    </row>
    <row r="1575" spans="1:4">
      <c r="A1575" s="70" t="s">
        <v>93</v>
      </c>
      <c r="B1575" s="17" t="s">
        <v>2283</v>
      </c>
      <c r="C1575" s="16" t="s">
        <v>1001</v>
      </c>
      <c r="D1575" s="13">
        <v>7898027656866</v>
      </c>
    </row>
    <row r="1576" spans="1:4">
      <c r="A1576" s="70" t="s">
        <v>93</v>
      </c>
      <c r="B1576" s="17" t="s">
        <v>2283</v>
      </c>
      <c r="C1576" s="16" t="s">
        <v>1002</v>
      </c>
      <c r="D1576" s="13">
        <v>7898027656842</v>
      </c>
    </row>
    <row r="1577" spans="1:4">
      <c r="A1577" s="70" t="s">
        <v>93</v>
      </c>
      <c r="B1577" s="17" t="s">
        <v>2283</v>
      </c>
      <c r="C1577" s="16" t="s">
        <v>1003</v>
      </c>
      <c r="D1577" s="13">
        <v>7898027653506</v>
      </c>
    </row>
    <row r="1578" spans="1:4">
      <c r="A1578" s="70" t="s">
        <v>93</v>
      </c>
      <c r="B1578" s="17" t="s">
        <v>2283</v>
      </c>
      <c r="C1578" s="16" t="s">
        <v>1004</v>
      </c>
      <c r="D1578" s="13">
        <v>7898027653520</v>
      </c>
    </row>
    <row r="1579" spans="1:4">
      <c r="A1579" s="70" t="s">
        <v>93</v>
      </c>
      <c r="B1579" s="17" t="s">
        <v>2283</v>
      </c>
      <c r="C1579" s="16" t="s">
        <v>1005</v>
      </c>
      <c r="D1579" s="13">
        <v>7898027656743</v>
      </c>
    </row>
    <row r="1580" spans="1:4">
      <c r="A1580" s="70" t="s">
        <v>93</v>
      </c>
      <c r="B1580" s="17" t="s">
        <v>2283</v>
      </c>
      <c r="C1580" s="16" t="s">
        <v>1006</v>
      </c>
      <c r="D1580" s="13">
        <v>7898027656804</v>
      </c>
    </row>
    <row r="1581" spans="1:4">
      <c r="A1581" s="70" t="s">
        <v>93</v>
      </c>
      <c r="B1581" s="17" t="s">
        <v>2283</v>
      </c>
      <c r="C1581" s="16" t="s">
        <v>1007</v>
      </c>
      <c r="D1581" s="13">
        <v>7898027656767</v>
      </c>
    </row>
    <row r="1582" spans="1:4">
      <c r="A1582" s="70" t="s">
        <v>93</v>
      </c>
      <c r="B1582" s="17" t="s">
        <v>2283</v>
      </c>
      <c r="C1582" s="16" t="s">
        <v>1008</v>
      </c>
      <c r="D1582" s="13">
        <v>7898027656583</v>
      </c>
    </row>
    <row r="1583" spans="1:4">
      <c r="A1583" s="70" t="s">
        <v>93</v>
      </c>
      <c r="B1583" s="17" t="s">
        <v>2283</v>
      </c>
      <c r="C1583" s="16" t="s">
        <v>1009</v>
      </c>
      <c r="D1583" s="13">
        <v>7898027656682</v>
      </c>
    </row>
    <row r="1584" spans="1:4">
      <c r="A1584" s="70" t="s">
        <v>93</v>
      </c>
      <c r="B1584" s="17" t="s">
        <v>2283</v>
      </c>
      <c r="C1584" s="16" t="s">
        <v>1010</v>
      </c>
      <c r="D1584" s="13">
        <v>7898027656644</v>
      </c>
    </row>
    <row r="1585" spans="1:4">
      <c r="A1585" s="70" t="s">
        <v>93</v>
      </c>
      <c r="B1585" s="17" t="s">
        <v>2283</v>
      </c>
      <c r="C1585" s="16" t="s">
        <v>1011</v>
      </c>
      <c r="D1585" s="13">
        <v>7898027656606</v>
      </c>
    </row>
    <row r="1586" spans="1:4">
      <c r="A1586" s="70" t="s">
        <v>93</v>
      </c>
      <c r="B1586" s="17" t="s">
        <v>2283</v>
      </c>
      <c r="C1586" s="16" t="s">
        <v>1012</v>
      </c>
      <c r="D1586" s="13">
        <v>7898027656781</v>
      </c>
    </row>
    <row r="1587" spans="1:4">
      <c r="A1587" s="70" t="s">
        <v>93</v>
      </c>
      <c r="B1587" s="17" t="s">
        <v>2283</v>
      </c>
      <c r="C1587" s="16" t="s">
        <v>1013</v>
      </c>
      <c r="D1587" s="13">
        <v>7898027656729</v>
      </c>
    </row>
    <row r="1588" spans="1:4">
      <c r="A1588" s="70" t="s">
        <v>93</v>
      </c>
      <c r="B1588" s="17" t="s">
        <v>2283</v>
      </c>
      <c r="C1588" s="16" t="s">
        <v>1014</v>
      </c>
      <c r="D1588" s="13">
        <v>7898027656705</v>
      </c>
    </row>
    <row r="1589" spans="1:4">
      <c r="A1589" s="70" t="s">
        <v>93</v>
      </c>
      <c r="B1589" s="17" t="s">
        <v>2283</v>
      </c>
      <c r="C1589" s="16" t="s">
        <v>1015</v>
      </c>
      <c r="D1589" s="13">
        <v>7898027656668</v>
      </c>
    </row>
    <row r="1590" spans="1:4">
      <c r="A1590" s="70" t="s">
        <v>1057</v>
      </c>
      <c r="B1590" s="17" t="s">
        <v>2283</v>
      </c>
      <c r="C1590" s="16" t="s">
        <v>1080</v>
      </c>
      <c r="D1590" s="13">
        <v>7896292050020</v>
      </c>
    </row>
    <row r="1591" spans="1:4">
      <c r="A1591" s="70" t="s">
        <v>1057</v>
      </c>
      <c r="B1591" s="17" t="s">
        <v>2283</v>
      </c>
      <c r="C1591" s="16" t="s">
        <v>1081</v>
      </c>
      <c r="D1591" s="13">
        <v>7896292050594</v>
      </c>
    </row>
    <row r="1592" spans="1:4">
      <c r="A1592" s="70" t="s">
        <v>1057</v>
      </c>
      <c r="B1592" s="17" t="s">
        <v>2283</v>
      </c>
      <c r="C1592" s="16" t="s">
        <v>1082</v>
      </c>
      <c r="D1592" s="13">
        <v>7896292050563</v>
      </c>
    </row>
    <row r="1593" spans="1:4">
      <c r="A1593" s="70" t="s">
        <v>1057</v>
      </c>
      <c r="B1593" s="17" t="s">
        <v>2283</v>
      </c>
      <c r="C1593" s="16" t="s">
        <v>1083</v>
      </c>
      <c r="D1593" s="13">
        <v>7896292050150</v>
      </c>
    </row>
    <row r="1594" spans="1:4">
      <c r="A1594" s="70" t="s">
        <v>1057</v>
      </c>
      <c r="B1594" s="17" t="s">
        <v>2283</v>
      </c>
      <c r="C1594" s="16" t="s">
        <v>1084</v>
      </c>
      <c r="D1594" s="13">
        <v>7896292050600</v>
      </c>
    </row>
    <row r="1595" spans="1:4">
      <c r="A1595" s="70" t="s">
        <v>1057</v>
      </c>
      <c r="B1595" s="17" t="s">
        <v>2283</v>
      </c>
      <c r="C1595" s="16" t="s">
        <v>1085</v>
      </c>
      <c r="D1595" s="13">
        <v>7896292050037</v>
      </c>
    </row>
    <row r="1596" spans="1:4">
      <c r="A1596" s="70" t="s">
        <v>1057</v>
      </c>
      <c r="B1596" s="17" t="s">
        <v>2283</v>
      </c>
      <c r="C1596" s="16" t="s">
        <v>1086</v>
      </c>
      <c r="D1596" s="13">
        <v>7896292050556</v>
      </c>
    </row>
    <row r="1597" spans="1:4">
      <c r="A1597" s="70" t="s">
        <v>1057</v>
      </c>
      <c r="B1597" s="17" t="s">
        <v>2283</v>
      </c>
      <c r="C1597" s="16" t="s">
        <v>1087</v>
      </c>
      <c r="D1597" s="13">
        <v>7896292050013</v>
      </c>
    </row>
    <row r="1598" spans="1:4">
      <c r="A1598" s="70" t="s">
        <v>1057</v>
      </c>
      <c r="B1598" s="17" t="s">
        <v>2283</v>
      </c>
      <c r="C1598" s="16" t="s">
        <v>1088</v>
      </c>
      <c r="D1598" s="13">
        <v>7896292050044</v>
      </c>
    </row>
    <row r="1599" spans="1:4">
      <c r="A1599" s="70" t="s">
        <v>3486</v>
      </c>
      <c r="B1599" s="17" t="s">
        <v>2283</v>
      </c>
      <c r="C1599" s="16" t="s">
        <v>589</v>
      </c>
      <c r="D1599" s="13">
        <v>7898963997047</v>
      </c>
    </row>
    <row r="1600" spans="1:4">
      <c r="A1600" s="70" t="s">
        <v>3486</v>
      </c>
      <c r="B1600" s="17" t="s">
        <v>2283</v>
      </c>
      <c r="C1600" s="16" t="s">
        <v>590</v>
      </c>
      <c r="D1600" s="13">
        <v>7898963997085</v>
      </c>
    </row>
    <row r="1601" spans="1:4">
      <c r="A1601" s="70" t="s">
        <v>3486</v>
      </c>
      <c r="B1601" s="17" t="s">
        <v>2283</v>
      </c>
      <c r="C1601" s="16" t="s">
        <v>591</v>
      </c>
      <c r="D1601" s="13">
        <v>7898963997016</v>
      </c>
    </row>
    <row r="1602" spans="1:4">
      <c r="A1602" s="70" t="s">
        <v>3486</v>
      </c>
      <c r="B1602" s="17" t="s">
        <v>2283</v>
      </c>
      <c r="C1602" s="16" t="s">
        <v>592</v>
      </c>
      <c r="D1602" s="13">
        <v>7898963997061</v>
      </c>
    </row>
    <row r="1603" spans="1:4">
      <c r="A1603" s="70" t="s">
        <v>3486</v>
      </c>
      <c r="B1603" s="17" t="s">
        <v>2283</v>
      </c>
      <c r="C1603" s="16" t="s">
        <v>593</v>
      </c>
      <c r="D1603" s="13">
        <v>7898963997030</v>
      </c>
    </row>
    <row r="1604" spans="1:4">
      <c r="A1604" s="70" t="s">
        <v>3486</v>
      </c>
      <c r="B1604" s="17" t="s">
        <v>2283</v>
      </c>
      <c r="C1604" s="16" t="s">
        <v>594</v>
      </c>
      <c r="D1604" s="13">
        <v>7898963997092</v>
      </c>
    </row>
    <row r="1605" spans="1:4">
      <c r="A1605" s="70" t="s">
        <v>3486</v>
      </c>
      <c r="B1605" s="17" t="s">
        <v>2283</v>
      </c>
      <c r="C1605" s="16" t="s">
        <v>595</v>
      </c>
      <c r="D1605" s="13">
        <v>7898963997023</v>
      </c>
    </row>
    <row r="1606" spans="1:4">
      <c r="A1606" s="70" t="s">
        <v>3486</v>
      </c>
      <c r="B1606" s="17" t="s">
        <v>2283</v>
      </c>
      <c r="C1606" s="16" t="s">
        <v>1436</v>
      </c>
      <c r="D1606" s="13">
        <v>7898963997412</v>
      </c>
    </row>
    <row r="1607" spans="1:4">
      <c r="A1607" s="70" t="s">
        <v>3486</v>
      </c>
      <c r="B1607" s="17" t="s">
        <v>2283</v>
      </c>
      <c r="C1607" s="16" t="s">
        <v>596</v>
      </c>
      <c r="D1607" s="13">
        <v>7898963997078</v>
      </c>
    </row>
    <row r="1608" spans="1:4">
      <c r="A1608" s="70" t="s">
        <v>3486</v>
      </c>
      <c r="B1608" s="17" t="s">
        <v>2283</v>
      </c>
      <c r="C1608" s="16" t="s">
        <v>597</v>
      </c>
      <c r="D1608" s="13">
        <v>7898963997054</v>
      </c>
    </row>
    <row r="1609" spans="1:4">
      <c r="A1609" s="70" t="s">
        <v>22</v>
      </c>
      <c r="B1609" s="17" t="s">
        <v>2283</v>
      </c>
      <c r="C1609" s="16" t="s">
        <v>214</v>
      </c>
      <c r="D1609" s="13">
        <v>7894900700015</v>
      </c>
    </row>
    <row r="1610" spans="1:4">
      <c r="A1610" s="70" t="s">
        <v>22</v>
      </c>
      <c r="B1610" s="17" t="s">
        <v>2283</v>
      </c>
      <c r="C1610" s="16" t="s">
        <v>215</v>
      </c>
      <c r="D1610" s="13">
        <v>7894900010015</v>
      </c>
    </row>
    <row r="1611" spans="1:4">
      <c r="A1611" s="70" t="s">
        <v>22</v>
      </c>
      <c r="B1611" s="17" t="s">
        <v>2283</v>
      </c>
      <c r="C1611" s="16" t="s">
        <v>1303</v>
      </c>
      <c r="D1611" s="13">
        <v>7894900010220</v>
      </c>
    </row>
    <row r="1612" spans="1:4">
      <c r="A1612" s="70" t="s">
        <v>960</v>
      </c>
      <c r="B1612" s="17" t="s">
        <v>2283</v>
      </c>
      <c r="C1612" s="16" t="s">
        <v>1472</v>
      </c>
      <c r="D1612" s="13">
        <v>7894900027013</v>
      </c>
    </row>
    <row r="1613" spans="1:4">
      <c r="A1613" s="70" t="s">
        <v>960</v>
      </c>
      <c r="B1613" s="17" t="s">
        <v>2283</v>
      </c>
      <c r="C1613" s="16" t="s">
        <v>1472</v>
      </c>
      <c r="D1613" s="13">
        <v>7894900011517</v>
      </c>
    </row>
    <row r="1614" spans="1:4">
      <c r="A1614" s="70" t="s">
        <v>1888</v>
      </c>
      <c r="B1614" s="17" t="s">
        <v>2283</v>
      </c>
      <c r="C1614" s="16" t="s">
        <v>1890</v>
      </c>
      <c r="D1614" s="13">
        <v>7891991001342</v>
      </c>
    </row>
    <row r="1615" spans="1:4">
      <c r="A1615" s="70" t="s">
        <v>1634</v>
      </c>
      <c r="B1615" s="17" t="s">
        <v>2283</v>
      </c>
      <c r="C1615" s="16" t="s">
        <v>1636</v>
      </c>
      <c r="D1615" s="13">
        <v>7897395030513</v>
      </c>
    </row>
    <row r="1616" spans="1:4">
      <c r="A1616" s="70" t="s">
        <v>1634</v>
      </c>
      <c r="B1616" s="17" t="s">
        <v>2283</v>
      </c>
      <c r="C1616" s="16" t="s">
        <v>1637</v>
      </c>
      <c r="D1616" s="13">
        <v>7897395030315</v>
      </c>
    </row>
    <row r="1617" spans="1:4">
      <c r="A1617" s="70" t="s">
        <v>1634</v>
      </c>
      <c r="B1617" s="17" t="s">
        <v>2283</v>
      </c>
      <c r="C1617" s="16" t="s">
        <v>1638</v>
      </c>
      <c r="D1617" s="13">
        <v>7897395030216</v>
      </c>
    </row>
    <row r="1618" spans="1:4">
      <c r="A1618" s="70" t="s">
        <v>1634</v>
      </c>
      <c r="B1618" s="17" t="s">
        <v>2283</v>
      </c>
      <c r="C1618" s="16" t="s">
        <v>1639</v>
      </c>
      <c r="D1618" s="13">
        <v>7897395030414</v>
      </c>
    </row>
    <row r="1619" spans="1:4">
      <c r="A1619" s="70" t="s">
        <v>1634</v>
      </c>
      <c r="B1619" s="17" t="s">
        <v>2283</v>
      </c>
      <c r="C1619" s="16" t="s">
        <v>1640</v>
      </c>
      <c r="D1619" s="13">
        <v>7897395030117</v>
      </c>
    </row>
    <row r="1620" spans="1:4">
      <c r="A1620" s="70" t="s">
        <v>1862</v>
      </c>
      <c r="B1620" s="17" t="s">
        <v>2283</v>
      </c>
      <c r="C1620" s="16" t="s">
        <v>1863</v>
      </c>
      <c r="D1620" s="13">
        <v>7892840800000</v>
      </c>
    </row>
    <row r="1621" spans="1:4">
      <c r="A1621" s="70" t="s">
        <v>3243</v>
      </c>
      <c r="B1621" s="17" t="s">
        <v>2283</v>
      </c>
      <c r="C1621" s="16" t="s">
        <v>2773</v>
      </c>
      <c r="D1621" s="13">
        <v>7898295300584</v>
      </c>
    </row>
    <row r="1622" spans="1:4">
      <c r="A1622" s="70" t="s">
        <v>1301</v>
      </c>
      <c r="B1622" s="17" t="s">
        <v>2286</v>
      </c>
      <c r="C1622" s="16" t="s">
        <v>1308</v>
      </c>
      <c r="D1622" s="13">
        <v>7896084940423</v>
      </c>
    </row>
    <row r="1623" spans="1:4">
      <c r="A1623" s="70" t="s">
        <v>1781</v>
      </c>
      <c r="B1623" s="17" t="s">
        <v>2288</v>
      </c>
      <c r="C1623" s="16" t="s">
        <v>1786</v>
      </c>
      <c r="D1623" s="13">
        <v>7896353301184</v>
      </c>
    </row>
    <row r="1624" spans="1:4">
      <c r="A1624" s="70" t="s">
        <v>1781</v>
      </c>
      <c r="B1624" s="17" t="s">
        <v>2288</v>
      </c>
      <c r="C1624" s="16" t="s">
        <v>1785</v>
      </c>
      <c r="D1624" s="13">
        <v>7896353301191</v>
      </c>
    </row>
    <row r="1625" spans="1:4">
      <c r="A1625" s="70" t="s">
        <v>1781</v>
      </c>
      <c r="B1625" s="17" t="s">
        <v>2288</v>
      </c>
      <c r="C1625" s="16" t="s">
        <v>3511</v>
      </c>
      <c r="D1625" s="13">
        <v>7896353300194</v>
      </c>
    </row>
    <row r="1626" spans="1:4">
      <c r="A1626" s="70" t="s">
        <v>1781</v>
      </c>
      <c r="B1626" s="17" t="s">
        <v>2288</v>
      </c>
      <c r="C1626" s="16" t="s">
        <v>3512</v>
      </c>
      <c r="D1626" s="13">
        <v>7896353300187</v>
      </c>
    </row>
    <row r="1627" spans="1:4">
      <c r="A1627" s="70" t="s">
        <v>1654</v>
      </c>
      <c r="B1627" s="17" t="s">
        <v>2288</v>
      </c>
      <c r="C1627" s="16" t="s">
        <v>1663</v>
      </c>
      <c r="D1627" s="13">
        <v>7896275960193</v>
      </c>
    </row>
    <row r="1628" spans="1:4">
      <c r="A1628" s="70" t="s">
        <v>1654</v>
      </c>
      <c r="B1628" s="17" t="s">
        <v>2288</v>
      </c>
      <c r="C1628" s="16" t="s">
        <v>1664</v>
      </c>
      <c r="D1628" s="13">
        <v>7896275960209</v>
      </c>
    </row>
    <row r="1629" spans="1:4">
      <c r="A1629" s="70" t="s">
        <v>883</v>
      </c>
      <c r="B1629" s="17" t="s">
        <v>2288</v>
      </c>
      <c r="C1629" s="16" t="s">
        <v>899</v>
      </c>
      <c r="D1629" s="13">
        <v>7898908207149</v>
      </c>
    </row>
    <row r="1630" spans="1:4">
      <c r="A1630" s="70" t="s">
        <v>1232</v>
      </c>
      <c r="B1630" s="17" t="s">
        <v>2288</v>
      </c>
      <c r="C1630" s="16" t="s">
        <v>1240</v>
      </c>
      <c r="D1630" s="13">
        <v>7898908207354</v>
      </c>
    </row>
    <row r="1631" spans="1:4">
      <c r="A1631" s="70" t="s">
        <v>1232</v>
      </c>
      <c r="B1631" s="17" t="s">
        <v>2288</v>
      </c>
      <c r="C1631" s="16" t="s">
        <v>899</v>
      </c>
      <c r="D1631" s="13">
        <v>7898908207149</v>
      </c>
    </row>
    <row r="1632" spans="1:4">
      <c r="A1632" s="70" t="s">
        <v>114</v>
      </c>
      <c r="B1632" s="17" t="s">
        <v>2288</v>
      </c>
      <c r="C1632" s="16" t="s">
        <v>273</v>
      </c>
      <c r="D1632" s="13">
        <v>7891000084663</v>
      </c>
    </row>
    <row r="1633" spans="1:4">
      <c r="A1633" s="70" t="s">
        <v>114</v>
      </c>
      <c r="B1633" s="17" t="s">
        <v>2288</v>
      </c>
      <c r="C1633" s="16" t="s">
        <v>274</v>
      </c>
      <c r="D1633" s="13">
        <v>7891000084649</v>
      </c>
    </row>
    <row r="1634" spans="1:4">
      <c r="A1634" s="70" t="s">
        <v>946</v>
      </c>
      <c r="B1634" s="17" t="s">
        <v>2288</v>
      </c>
      <c r="C1634" s="16" t="s">
        <v>951</v>
      </c>
      <c r="D1634" s="13">
        <v>7891999144461</v>
      </c>
    </row>
    <row r="1635" spans="1:4">
      <c r="A1635" s="70" t="s">
        <v>946</v>
      </c>
      <c r="B1635" s="17" t="s">
        <v>2288</v>
      </c>
      <c r="C1635" s="16" t="s">
        <v>950</v>
      </c>
      <c r="D1635" s="13">
        <v>7891999144485</v>
      </c>
    </row>
    <row r="1636" spans="1:4">
      <c r="A1636" s="70" t="s">
        <v>343</v>
      </c>
      <c r="B1636" s="17" t="s">
        <v>2285</v>
      </c>
      <c r="C1636" s="16" t="s">
        <v>347</v>
      </c>
      <c r="D1636" s="13">
        <v>7896007547173</v>
      </c>
    </row>
    <row r="1637" spans="1:4">
      <c r="A1637" s="70" t="s">
        <v>343</v>
      </c>
      <c r="B1637" s="17" t="s">
        <v>2285</v>
      </c>
      <c r="C1637" s="16" t="s">
        <v>348</v>
      </c>
      <c r="D1637" s="13">
        <v>7896007547128</v>
      </c>
    </row>
    <row r="1638" spans="1:4">
      <c r="A1638" s="70" t="s">
        <v>2532</v>
      </c>
      <c r="B1638" s="17" t="s">
        <v>2285</v>
      </c>
      <c r="C1638" s="16" t="s">
        <v>900</v>
      </c>
      <c r="D1638" s="13">
        <v>7898422746759</v>
      </c>
    </row>
    <row r="1639" spans="1:4">
      <c r="A1639" s="70" t="s">
        <v>2226</v>
      </c>
      <c r="B1639" s="17" t="s">
        <v>2285</v>
      </c>
      <c r="C1639" s="16" t="s">
        <v>2236</v>
      </c>
      <c r="D1639" s="13">
        <v>7896061913105</v>
      </c>
    </row>
    <row r="1640" spans="1:4">
      <c r="A1640" s="70" t="s">
        <v>2226</v>
      </c>
      <c r="B1640" s="17" t="s">
        <v>2285</v>
      </c>
      <c r="C1640" s="16" t="s">
        <v>2237</v>
      </c>
      <c r="D1640" s="13">
        <v>7896061913112</v>
      </c>
    </row>
    <row r="1641" spans="1:4">
      <c r="A1641" s="70" t="s">
        <v>634</v>
      </c>
      <c r="B1641" s="17" t="s">
        <v>2285</v>
      </c>
      <c r="C1641" s="16" t="s">
        <v>640</v>
      </c>
      <c r="D1641" s="13">
        <v>7897751900214</v>
      </c>
    </row>
    <row r="1642" spans="1:4">
      <c r="A1642" s="70" t="s">
        <v>634</v>
      </c>
      <c r="B1642" s="17" t="s">
        <v>2285</v>
      </c>
      <c r="C1642" s="16" t="s">
        <v>2457</v>
      </c>
      <c r="D1642" s="13">
        <v>7897751900221</v>
      </c>
    </row>
    <row r="1643" spans="1:4">
      <c r="A1643" s="70" t="s">
        <v>634</v>
      </c>
      <c r="B1643" s="17" t="s">
        <v>2285</v>
      </c>
      <c r="C1643" s="16" t="s">
        <v>641</v>
      </c>
      <c r="D1643" s="13">
        <v>7897751900184</v>
      </c>
    </row>
    <row r="1644" spans="1:4">
      <c r="A1644" s="70" t="s">
        <v>634</v>
      </c>
      <c r="B1644" s="17" t="s">
        <v>2285</v>
      </c>
      <c r="C1644" s="16" t="s">
        <v>642</v>
      </c>
      <c r="D1644" s="13">
        <v>7897751900207</v>
      </c>
    </row>
    <row r="1645" spans="1:4">
      <c r="A1645" s="70" t="s">
        <v>634</v>
      </c>
      <c r="B1645" s="17" t="s">
        <v>2285</v>
      </c>
      <c r="C1645" s="16" t="s">
        <v>2018</v>
      </c>
      <c r="D1645" s="13">
        <v>7897751902102</v>
      </c>
    </row>
    <row r="1646" spans="1:4">
      <c r="A1646" s="70" t="s">
        <v>634</v>
      </c>
      <c r="B1646" s="17" t="s">
        <v>2285</v>
      </c>
      <c r="C1646" s="16" t="s">
        <v>643</v>
      </c>
      <c r="D1646" s="13">
        <v>7897751900191</v>
      </c>
    </row>
    <row r="1647" spans="1:4">
      <c r="A1647" s="70" t="s">
        <v>634</v>
      </c>
      <c r="B1647" s="17" t="s">
        <v>2285</v>
      </c>
      <c r="C1647" s="16" t="s">
        <v>644</v>
      </c>
      <c r="D1647" s="13">
        <v>7897751900238</v>
      </c>
    </row>
    <row r="1648" spans="1:4">
      <c r="A1648" s="70" t="s">
        <v>1279</v>
      </c>
      <c r="B1648" s="17" t="s">
        <v>2285</v>
      </c>
      <c r="C1648" s="16" t="s">
        <v>1290</v>
      </c>
      <c r="D1648" s="13">
        <v>7897751902263</v>
      </c>
    </row>
    <row r="1649" spans="1:4">
      <c r="A1649" s="70" t="s">
        <v>1279</v>
      </c>
      <c r="B1649" s="17" t="s">
        <v>2285</v>
      </c>
      <c r="C1649" s="16" t="s">
        <v>1291</v>
      </c>
      <c r="D1649" s="13">
        <v>7897751902256</v>
      </c>
    </row>
    <row r="1650" spans="1:4">
      <c r="A1650" s="70" t="s">
        <v>663</v>
      </c>
      <c r="B1650" s="17" t="s">
        <v>2285</v>
      </c>
      <c r="C1650" s="16" t="s">
        <v>697</v>
      </c>
      <c r="D1650" s="13">
        <v>7897751900542</v>
      </c>
    </row>
    <row r="1651" spans="1:4">
      <c r="A1651" s="70" t="s">
        <v>663</v>
      </c>
      <c r="B1651" s="17" t="s">
        <v>2285</v>
      </c>
      <c r="C1651" s="16" t="s">
        <v>698</v>
      </c>
      <c r="D1651" s="13">
        <v>7897751900078</v>
      </c>
    </row>
    <row r="1652" spans="1:4">
      <c r="A1652" s="70" t="s">
        <v>663</v>
      </c>
      <c r="B1652" s="17" t="s">
        <v>2285</v>
      </c>
      <c r="C1652" s="16" t="s">
        <v>699</v>
      </c>
      <c r="D1652" s="13">
        <v>7897751900092</v>
      </c>
    </row>
    <row r="1653" spans="1:4">
      <c r="A1653" s="70" t="s">
        <v>663</v>
      </c>
      <c r="B1653" s="17" t="s">
        <v>2285</v>
      </c>
      <c r="C1653" s="16" t="s">
        <v>700</v>
      </c>
      <c r="D1653" s="13">
        <v>7897751900535</v>
      </c>
    </row>
    <row r="1654" spans="1:4">
      <c r="A1654" s="70" t="s">
        <v>663</v>
      </c>
      <c r="B1654" s="17" t="s">
        <v>2285</v>
      </c>
      <c r="C1654" s="16" t="s">
        <v>701</v>
      </c>
      <c r="D1654" s="13">
        <v>7897751900528</v>
      </c>
    </row>
    <row r="1655" spans="1:4">
      <c r="A1655" s="70" t="s">
        <v>663</v>
      </c>
      <c r="B1655" s="17" t="s">
        <v>2285</v>
      </c>
      <c r="C1655" s="16" t="s">
        <v>702</v>
      </c>
      <c r="D1655" s="13">
        <v>7897751900252</v>
      </c>
    </row>
    <row r="1656" spans="1:4">
      <c r="A1656" s="70" t="s">
        <v>2043</v>
      </c>
      <c r="B1656" s="17" t="s">
        <v>2285</v>
      </c>
      <c r="C1656" s="16" t="s">
        <v>2048</v>
      </c>
      <c r="D1656" s="13">
        <v>7898489521146</v>
      </c>
    </row>
    <row r="1657" spans="1:4">
      <c r="A1657" s="70" t="s">
        <v>2043</v>
      </c>
      <c r="B1657" s="17" t="s">
        <v>2285</v>
      </c>
      <c r="C1657" s="16" t="s">
        <v>2049</v>
      </c>
      <c r="D1657" s="13">
        <v>7898489521153</v>
      </c>
    </row>
    <row r="1658" spans="1:4">
      <c r="A1658" s="70" t="s">
        <v>2043</v>
      </c>
      <c r="B1658" s="17" t="s">
        <v>2285</v>
      </c>
      <c r="C1658" s="16" t="s">
        <v>2050</v>
      </c>
      <c r="D1658" s="13">
        <v>7898489521177</v>
      </c>
    </row>
    <row r="1659" spans="1:4">
      <c r="A1659" s="70" t="s">
        <v>2043</v>
      </c>
      <c r="B1659" s="17" t="s">
        <v>2285</v>
      </c>
      <c r="C1659" s="16" t="s">
        <v>2051</v>
      </c>
      <c r="D1659" s="13">
        <v>7898489521160</v>
      </c>
    </row>
    <row r="1660" spans="1:4">
      <c r="A1660" s="70" t="s">
        <v>2043</v>
      </c>
      <c r="B1660" s="17" t="s">
        <v>2285</v>
      </c>
      <c r="C1660" s="16" t="s">
        <v>2052</v>
      </c>
      <c r="D1660" s="13">
        <v>7898489521122</v>
      </c>
    </row>
    <row r="1661" spans="1:4">
      <c r="A1661" s="70" t="s">
        <v>2043</v>
      </c>
      <c r="B1661" s="17" t="s">
        <v>2285</v>
      </c>
      <c r="C1661" s="16" t="s">
        <v>2053</v>
      </c>
      <c r="D1661" s="13">
        <v>7898489521139</v>
      </c>
    </row>
    <row r="1662" spans="1:4">
      <c r="A1662" s="70" t="s">
        <v>2043</v>
      </c>
      <c r="B1662" s="17" t="s">
        <v>2285</v>
      </c>
      <c r="C1662" s="16" t="s">
        <v>2054</v>
      </c>
      <c r="D1662" s="13">
        <v>7898489521184</v>
      </c>
    </row>
    <row r="1663" spans="1:4">
      <c r="A1663" s="70" t="s">
        <v>45</v>
      </c>
      <c r="B1663" s="17" t="s">
        <v>2285</v>
      </c>
      <c r="C1663" s="16" t="s">
        <v>531</v>
      </c>
      <c r="D1663" s="13">
        <v>7898489511888</v>
      </c>
    </row>
    <row r="1664" spans="1:4">
      <c r="A1664" s="70" t="s">
        <v>45</v>
      </c>
      <c r="B1664" s="17" t="s">
        <v>2285</v>
      </c>
      <c r="C1664" s="16" t="s">
        <v>532</v>
      </c>
      <c r="D1664" s="13">
        <v>7898085943809</v>
      </c>
    </row>
    <row r="1665" spans="1:4">
      <c r="A1665" s="70" t="s">
        <v>45</v>
      </c>
      <c r="B1665" s="17" t="s">
        <v>2285</v>
      </c>
      <c r="C1665" s="16" t="s">
        <v>533</v>
      </c>
      <c r="D1665" s="13">
        <v>7898085945001</v>
      </c>
    </row>
    <row r="1666" spans="1:4">
      <c r="A1666" s="70" t="s">
        <v>45</v>
      </c>
      <c r="B1666" s="17" t="s">
        <v>2285</v>
      </c>
      <c r="C1666" s="16" t="s">
        <v>534</v>
      </c>
      <c r="D1666" s="13">
        <v>7898489511871</v>
      </c>
    </row>
    <row r="1667" spans="1:4">
      <c r="A1667" s="70" t="s">
        <v>45</v>
      </c>
      <c r="B1667" s="17" t="s">
        <v>2285</v>
      </c>
      <c r="C1667" s="16" t="s">
        <v>535</v>
      </c>
      <c r="D1667" s="13">
        <v>7898489513127</v>
      </c>
    </row>
    <row r="1668" spans="1:4">
      <c r="A1668" s="70" t="s">
        <v>378</v>
      </c>
      <c r="B1668" s="17" t="s">
        <v>2280</v>
      </c>
      <c r="C1668" s="16" t="s">
        <v>364</v>
      </c>
      <c r="D1668" s="13">
        <v>7896110100029</v>
      </c>
    </row>
    <row r="1669" spans="1:4">
      <c r="A1669" s="70" t="s">
        <v>1924</v>
      </c>
      <c r="B1669" s="17" t="s">
        <v>2282</v>
      </c>
      <c r="C1669" s="16" t="s">
        <v>1933</v>
      </c>
      <c r="D1669" s="13">
        <v>98359</v>
      </c>
    </row>
    <row r="1670" spans="1:4">
      <c r="A1670" s="70" t="s">
        <v>3487</v>
      </c>
      <c r="B1670" s="17" t="s">
        <v>2282</v>
      </c>
      <c r="C1670" s="16" t="s">
        <v>1668</v>
      </c>
      <c r="D1670" s="13">
        <v>98304</v>
      </c>
    </row>
    <row r="1671" spans="1:4">
      <c r="A1671" s="70" t="s">
        <v>3274</v>
      </c>
      <c r="B1671" s="17" t="s">
        <v>2282</v>
      </c>
      <c r="C1671" s="16" t="s">
        <v>3272</v>
      </c>
      <c r="D1671" s="13">
        <v>99295</v>
      </c>
    </row>
    <row r="1672" spans="1:4">
      <c r="A1672" s="70" t="s">
        <v>3274</v>
      </c>
      <c r="B1672" s="17" t="s">
        <v>2282</v>
      </c>
      <c r="C1672" s="16" t="s">
        <v>3273</v>
      </c>
      <c r="D1672" s="13">
        <v>98540</v>
      </c>
    </row>
    <row r="1673" spans="1:4">
      <c r="A1673" s="70" t="s">
        <v>3488</v>
      </c>
      <c r="B1673" s="17" t="s">
        <v>2282</v>
      </c>
      <c r="C1673" s="16" t="s">
        <v>128</v>
      </c>
      <c r="D1673" s="13">
        <v>99455</v>
      </c>
    </row>
    <row r="1674" spans="1:4">
      <c r="A1674" s="70" t="s">
        <v>1466</v>
      </c>
      <c r="B1674" s="17" t="s">
        <v>2282</v>
      </c>
      <c r="C1674" s="16" t="s">
        <v>375</v>
      </c>
      <c r="D1674" s="13">
        <v>99288</v>
      </c>
    </row>
    <row r="1675" spans="1:4">
      <c r="A1675" s="70" t="s">
        <v>3069</v>
      </c>
      <c r="B1675" s="17" t="s">
        <v>2282</v>
      </c>
      <c r="C1675" s="16" t="s">
        <v>1686</v>
      </c>
      <c r="D1675" s="13">
        <v>99851</v>
      </c>
    </row>
    <row r="1676" spans="1:4">
      <c r="A1676" s="70" t="s">
        <v>3489</v>
      </c>
      <c r="B1676" s="17" t="s">
        <v>2282</v>
      </c>
      <c r="C1676" s="16" t="s">
        <v>58</v>
      </c>
      <c r="D1676" s="13">
        <v>99271</v>
      </c>
    </row>
    <row r="1677" spans="1:4">
      <c r="A1677" s="70" t="s">
        <v>1493</v>
      </c>
      <c r="B1677" s="17" t="s">
        <v>2284</v>
      </c>
      <c r="C1677" s="16" t="s">
        <v>477</v>
      </c>
      <c r="D1677" s="13">
        <v>7896009301049</v>
      </c>
    </row>
    <row r="1678" spans="1:4">
      <c r="A1678" s="70" t="s">
        <v>55</v>
      </c>
      <c r="B1678" s="17" t="s">
        <v>2284</v>
      </c>
      <c r="C1678" s="16" t="s">
        <v>478</v>
      </c>
      <c r="D1678" s="13">
        <v>7896009301063</v>
      </c>
    </row>
    <row r="1679" spans="1:4">
      <c r="A1679" s="70" t="s">
        <v>55</v>
      </c>
      <c r="B1679" s="17" t="s">
        <v>2284</v>
      </c>
      <c r="C1679" s="16" t="s">
        <v>2524</v>
      </c>
      <c r="D1679" s="13">
        <v>7896009301049</v>
      </c>
    </row>
    <row r="1680" spans="1:4">
      <c r="A1680" s="70" t="s">
        <v>55</v>
      </c>
      <c r="B1680" s="17" t="s">
        <v>2284</v>
      </c>
      <c r="C1680" s="16" t="s">
        <v>2524</v>
      </c>
      <c r="D1680" s="13">
        <v>7894321811758</v>
      </c>
    </row>
    <row r="1681" spans="1:4">
      <c r="A1681" s="70" t="s">
        <v>55</v>
      </c>
      <c r="B1681" s="17" t="s">
        <v>2284</v>
      </c>
      <c r="C1681" s="16" t="s">
        <v>478</v>
      </c>
      <c r="D1681" s="13">
        <v>7894321811789</v>
      </c>
    </row>
    <row r="1682" spans="1:4">
      <c r="A1682" s="70" t="s">
        <v>1804</v>
      </c>
      <c r="B1682" s="17" t="s">
        <v>2284</v>
      </c>
      <c r="C1682" s="16" t="s">
        <v>514</v>
      </c>
      <c r="D1682" s="13">
        <v>7896114900045</v>
      </c>
    </row>
    <row r="1683" spans="1:4">
      <c r="A1683" s="70" t="s">
        <v>1804</v>
      </c>
      <c r="B1683" s="17" t="s">
        <v>2284</v>
      </c>
      <c r="C1683" s="16" t="s">
        <v>513</v>
      </c>
      <c r="D1683" s="13">
        <v>7896114901738</v>
      </c>
    </row>
    <row r="1684" spans="1:4">
      <c r="A1684" s="70" t="s">
        <v>1804</v>
      </c>
      <c r="B1684" s="17" t="s">
        <v>2284</v>
      </c>
      <c r="C1684" s="16" t="s">
        <v>513</v>
      </c>
      <c r="D1684" s="13">
        <v>7896114900014</v>
      </c>
    </row>
    <row r="1685" spans="1:4">
      <c r="A1685" s="70" t="s">
        <v>2079</v>
      </c>
      <c r="B1685" s="17" t="s">
        <v>2285</v>
      </c>
      <c r="C1685" s="16" t="s">
        <v>2082</v>
      </c>
      <c r="D1685" s="13">
        <v>7899026459540</v>
      </c>
    </row>
    <row r="1686" spans="1:4">
      <c r="A1686" s="70" t="s">
        <v>2079</v>
      </c>
      <c r="B1686" s="17" t="s">
        <v>2285</v>
      </c>
      <c r="C1686" s="16" t="s">
        <v>2083</v>
      </c>
      <c r="D1686" s="13">
        <v>7899026464919</v>
      </c>
    </row>
    <row r="1687" spans="1:4">
      <c r="A1687" s="70" t="s">
        <v>2079</v>
      </c>
      <c r="B1687" s="17" t="s">
        <v>2285</v>
      </c>
      <c r="C1687" s="16" t="s">
        <v>2084</v>
      </c>
      <c r="D1687" s="13">
        <v>7899026483767</v>
      </c>
    </row>
    <row r="1688" spans="1:4">
      <c r="A1688" s="70" t="s">
        <v>2079</v>
      </c>
      <c r="B1688" s="17" t="s">
        <v>2285</v>
      </c>
      <c r="C1688" s="16" t="s">
        <v>2085</v>
      </c>
      <c r="D1688" s="13">
        <v>7899026460447</v>
      </c>
    </row>
    <row r="1689" spans="1:4">
      <c r="A1689" s="70" t="s">
        <v>2079</v>
      </c>
      <c r="B1689" s="17" t="s">
        <v>2285</v>
      </c>
      <c r="C1689" s="16" t="s">
        <v>2086</v>
      </c>
      <c r="D1689" s="13">
        <v>7899026459748</v>
      </c>
    </row>
    <row r="1690" spans="1:4">
      <c r="A1690" s="70" t="s">
        <v>2079</v>
      </c>
      <c r="B1690" s="17" t="s">
        <v>2285</v>
      </c>
      <c r="C1690" s="16" t="s">
        <v>2087</v>
      </c>
      <c r="D1690" s="13">
        <v>7899026460065</v>
      </c>
    </row>
    <row r="1691" spans="1:4">
      <c r="A1691" s="70" t="s">
        <v>2079</v>
      </c>
      <c r="B1691" s="17" t="s">
        <v>2285</v>
      </c>
      <c r="C1691" s="16" t="s">
        <v>2088</v>
      </c>
      <c r="D1691" s="13">
        <v>7899026459687</v>
      </c>
    </row>
    <row r="1692" spans="1:4">
      <c r="A1692" s="70" t="s">
        <v>2079</v>
      </c>
      <c r="B1692" s="17" t="s">
        <v>2285</v>
      </c>
      <c r="C1692" s="16" t="s">
        <v>2089</v>
      </c>
      <c r="D1692" s="13">
        <v>7899026487284</v>
      </c>
    </row>
    <row r="1693" spans="1:4">
      <c r="A1693" s="70" t="s">
        <v>2079</v>
      </c>
      <c r="B1693" s="17" t="s">
        <v>2285</v>
      </c>
      <c r="C1693" s="16" t="s">
        <v>2090</v>
      </c>
      <c r="D1693" s="13">
        <v>7899026487178</v>
      </c>
    </row>
    <row r="1694" spans="1:4">
      <c r="A1694" s="70" t="s">
        <v>2079</v>
      </c>
      <c r="B1694" s="17" t="s">
        <v>2285</v>
      </c>
      <c r="C1694" s="16" t="s">
        <v>2091</v>
      </c>
      <c r="D1694" s="13">
        <v>7899026459960</v>
      </c>
    </row>
    <row r="1695" spans="1:4">
      <c r="A1695" s="70" t="s">
        <v>2079</v>
      </c>
      <c r="B1695" s="17" t="s">
        <v>2285</v>
      </c>
      <c r="C1695" s="16" t="s">
        <v>2092</v>
      </c>
      <c r="D1695" s="13">
        <v>7898587764889</v>
      </c>
    </row>
    <row r="1696" spans="1:4">
      <c r="A1696" s="70" t="s">
        <v>2079</v>
      </c>
      <c r="B1696" s="17" t="s">
        <v>2285</v>
      </c>
      <c r="C1696" s="16" t="s">
        <v>2105</v>
      </c>
      <c r="D1696" s="13">
        <v>7899706187343</v>
      </c>
    </row>
    <row r="1697" spans="1:4">
      <c r="A1697" s="70" t="s">
        <v>2079</v>
      </c>
      <c r="B1697" s="17" t="s">
        <v>2285</v>
      </c>
      <c r="C1697" s="16" t="s">
        <v>2107</v>
      </c>
      <c r="D1697" s="13">
        <v>7899706180924</v>
      </c>
    </row>
    <row r="1698" spans="1:4">
      <c r="A1698" s="70" t="s">
        <v>2079</v>
      </c>
      <c r="B1698" s="17" t="s">
        <v>2285</v>
      </c>
      <c r="C1698" s="16" t="s">
        <v>2108</v>
      </c>
      <c r="D1698" s="13">
        <v>7898587774314</v>
      </c>
    </row>
    <row r="1699" spans="1:4">
      <c r="A1699" s="70" t="s">
        <v>2079</v>
      </c>
      <c r="B1699" s="17" t="s">
        <v>2285</v>
      </c>
      <c r="C1699" s="16" t="s">
        <v>2109</v>
      </c>
      <c r="D1699" s="13">
        <v>7899706133371</v>
      </c>
    </row>
    <row r="1700" spans="1:4">
      <c r="A1700" s="70" t="s">
        <v>2079</v>
      </c>
      <c r="B1700" s="17" t="s">
        <v>2285</v>
      </c>
      <c r="C1700" s="16" t="s">
        <v>2119</v>
      </c>
      <c r="D1700" s="13">
        <v>7899706113144</v>
      </c>
    </row>
    <row r="1701" spans="1:4">
      <c r="A1701" s="70" t="s">
        <v>2079</v>
      </c>
      <c r="B1701" s="17" t="s">
        <v>2285</v>
      </c>
      <c r="C1701" s="16" t="s">
        <v>2120</v>
      </c>
      <c r="D1701" s="13">
        <v>7899706152105</v>
      </c>
    </row>
    <row r="1702" spans="1:4">
      <c r="A1702" s="70" t="s">
        <v>2079</v>
      </c>
      <c r="B1702" s="17" t="s">
        <v>2285</v>
      </c>
      <c r="C1702" s="16" t="s">
        <v>2121</v>
      </c>
      <c r="D1702" s="13">
        <v>7898587774390</v>
      </c>
    </row>
    <row r="1703" spans="1:4">
      <c r="A1703" s="70" t="s">
        <v>2079</v>
      </c>
      <c r="B1703" s="17" t="s">
        <v>2285</v>
      </c>
      <c r="C1703" s="16" t="s">
        <v>2110</v>
      </c>
      <c r="D1703" s="13">
        <v>7899706117715</v>
      </c>
    </row>
    <row r="1704" spans="1:4">
      <c r="A1704" s="70" t="s">
        <v>2079</v>
      </c>
      <c r="B1704" s="17" t="s">
        <v>2285</v>
      </c>
      <c r="C1704" s="16" t="s">
        <v>2111</v>
      </c>
      <c r="D1704" s="13">
        <v>7899706170833</v>
      </c>
    </row>
    <row r="1705" spans="1:4">
      <c r="A1705" s="70" t="s">
        <v>2079</v>
      </c>
      <c r="B1705" s="17" t="s">
        <v>2285</v>
      </c>
      <c r="C1705" s="16" t="s">
        <v>2093</v>
      </c>
      <c r="D1705" s="13">
        <v>7899026458949</v>
      </c>
    </row>
    <row r="1706" spans="1:4">
      <c r="A1706" s="70" t="s">
        <v>2079</v>
      </c>
      <c r="B1706" s="17" t="s">
        <v>2285</v>
      </c>
      <c r="C1706" s="16" t="s">
        <v>2127</v>
      </c>
      <c r="D1706" s="13">
        <v>7899706134156</v>
      </c>
    </row>
    <row r="1707" spans="1:4">
      <c r="A1707" s="70" t="s">
        <v>735</v>
      </c>
      <c r="B1707" s="17" t="s">
        <v>2285</v>
      </c>
      <c r="C1707" s="16" t="s">
        <v>744</v>
      </c>
      <c r="D1707" s="13">
        <v>7891150060685</v>
      </c>
    </row>
    <row r="1708" spans="1:4">
      <c r="A1708" s="70" t="s">
        <v>735</v>
      </c>
      <c r="B1708" s="17" t="s">
        <v>2285</v>
      </c>
      <c r="C1708" s="16" t="s">
        <v>745</v>
      </c>
      <c r="D1708" s="13">
        <v>7891150056572</v>
      </c>
    </row>
    <row r="1709" spans="1:4">
      <c r="A1709" s="70" t="s">
        <v>735</v>
      </c>
      <c r="B1709" s="17" t="s">
        <v>2285</v>
      </c>
      <c r="C1709" s="16" t="s">
        <v>746</v>
      </c>
      <c r="D1709" s="13">
        <v>7891150049628</v>
      </c>
    </row>
    <row r="1710" spans="1:4">
      <c r="A1710" s="70" t="s">
        <v>735</v>
      </c>
      <c r="B1710" s="17" t="s">
        <v>2285</v>
      </c>
      <c r="C1710" s="16" t="s">
        <v>1728</v>
      </c>
      <c r="D1710" s="13">
        <v>7891150080089</v>
      </c>
    </row>
    <row r="1711" spans="1:4">
      <c r="A1711" s="70" t="s">
        <v>735</v>
      </c>
      <c r="B1711" s="17" t="s">
        <v>2285</v>
      </c>
      <c r="C1711" s="16" t="s">
        <v>1566</v>
      </c>
      <c r="D1711" s="13">
        <v>7891150072886</v>
      </c>
    </row>
    <row r="1712" spans="1:4">
      <c r="A1712" s="70" t="s">
        <v>735</v>
      </c>
      <c r="B1712" s="17" t="s">
        <v>2285</v>
      </c>
      <c r="C1712" s="16" t="s">
        <v>747</v>
      </c>
      <c r="D1712" s="13">
        <v>7891150042773</v>
      </c>
    </row>
    <row r="1713" spans="1:4">
      <c r="A1713" s="70" t="s">
        <v>735</v>
      </c>
      <c r="B1713" s="17" t="s">
        <v>2285</v>
      </c>
      <c r="C1713" s="16" t="s">
        <v>748</v>
      </c>
      <c r="D1713" s="13">
        <v>7891150037595</v>
      </c>
    </row>
    <row r="1714" spans="1:4">
      <c r="A1714" s="70" t="s">
        <v>735</v>
      </c>
      <c r="B1714" s="17" t="s">
        <v>2285</v>
      </c>
      <c r="C1714" s="16" t="s">
        <v>749</v>
      </c>
      <c r="D1714" s="13">
        <v>7891150037434</v>
      </c>
    </row>
    <row r="1715" spans="1:4">
      <c r="A1715" s="70" t="s">
        <v>735</v>
      </c>
      <c r="B1715" s="17" t="s">
        <v>2285</v>
      </c>
      <c r="C1715" s="16" t="s">
        <v>750</v>
      </c>
      <c r="D1715" s="13">
        <v>7891150037588</v>
      </c>
    </row>
    <row r="1716" spans="1:4">
      <c r="A1716" s="70" t="s">
        <v>735</v>
      </c>
      <c r="B1716" s="17" t="s">
        <v>2285</v>
      </c>
      <c r="C1716" s="16" t="s">
        <v>751</v>
      </c>
      <c r="D1716" s="13">
        <v>7891150037601</v>
      </c>
    </row>
    <row r="1717" spans="1:4">
      <c r="A1717" s="70" t="s">
        <v>735</v>
      </c>
      <c r="B1717" s="17" t="s">
        <v>2285</v>
      </c>
      <c r="C1717" s="16" t="s">
        <v>752</v>
      </c>
      <c r="D1717" s="13">
        <v>7891150037458</v>
      </c>
    </row>
    <row r="1718" spans="1:4">
      <c r="A1718" s="70" t="s">
        <v>735</v>
      </c>
      <c r="B1718" s="17" t="s">
        <v>2285</v>
      </c>
      <c r="C1718" s="16" t="s">
        <v>753</v>
      </c>
      <c r="D1718" s="13">
        <v>7891150043213</v>
      </c>
    </row>
    <row r="1719" spans="1:4">
      <c r="A1719" s="70" t="s">
        <v>735</v>
      </c>
      <c r="B1719" s="17" t="s">
        <v>2285</v>
      </c>
      <c r="C1719" s="16" t="s">
        <v>754</v>
      </c>
      <c r="D1719" s="13">
        <v>7891150037472</v>
      </c>
    </row>
    <row r="1720" spans="1:4">
      <c r="A1720" s="70" t="s">
        <v>735</v>
      </c>
      <c r="B1720" s="17" t="s">
        <v>2285</v>
      </c>
      <c r="C1720" s="16" t="s">
        <v>755</v>
      </c>
      <c r="D1720" s="13">
        <v>7891150037502</v>
      </c>
    </row>
    <row r="1721" spans="1:4">
      <c r="A1721" s="70" t="s">
        <v>735</v>
      </c>
      <c r="B1721" s="17" t="s">
        <v>2285</v>
      </c>
      <c r="C1721" s="16" t="s">
        <v>756</v>
      </c>
      <c r="D1721" s="13">
        <v>7891150037519</v>
      </c>
    </row>
    <row r="1722" spans="1:4">
      <c r="A1722" s="70" t="s">
        <v>735</v>
      </c>
      <c r="B1722" s="17" t="s">
        <v>2285</v>
      </c>
      <c r="C1722" s="16" t="s">
        <v>757</v>
      </c>
      <c r="D1722" s="13">
        <v>7891150037533</v>
      </c>
    </row>
    <row r="1723" spans="1:4">
      <c r="A1723" s="70" t="s">
        <v>735</v>
      </c>
      <c r="B1723" s="17" t="s">
        <v>2285</v>
      </c>
      <c r="C1723" s="16" t="s">
        <v>797</v>
      </c>
      <c r="D1723" s="13">
        <v>7891150067509</v>
      </c>
    </row>
    <row r="1724" spans="1:4">
      <c r="A1724" s="70" t="s">
        <v>735</v>
      </c>
      <c r="B1724" s="17" t="s">
        <v>2285</v>
      </c>
      <c r="C1724" s="16" t="s">
        <v>758</v>
      </c>
      <c r="D1724" s="13">
        <v>7891150037540</v>
      </c>
    </row>
    <row r="1725" spans="1:4">
      <c r="A1725" s="70" t="s">
        <v>735</v>
      </c>
      <c r="B1725" s="17" t="s">
        <v>2285</v>
      </c>
      <c r="C1725" s="16" t="s">
        <v>759</v>
      </c>
      <c r="D1725" s="13">
        <v>7891150037557</v>
      </c>
    </row>
    <row r="1726" spans="1:4">
      <c r="A1726" s="70" t="s">
        <v>735</v>
      </c>
      <c r="B1726" s="17" t="s">
        <v>2285</v>
      </c>
      <c r="C1726" s="16" t="s">
        <v>760</v>
      </c>
      <c r="D1726" s="13">
        <v>7891150037526</v>
      </c>
    </row>
    <row r="1727" spans="1:4">
      <c r="A1727" s="70" t="s">
        <v>735</v>
      </c>
      <c r="B1727" s="17" t="s">
        <v>2285</v>
      </c>
      <c r="C1727" s="16" t="s">
        <v>761</v>
      </c>
      <c r="D1727" s="13">
        <v>7891150037564</v>
      </c>
    </row>
    <row r="1728" spans="1:4">
      <c r="A1728" s="70" t="s">
        <v>735</v>
      </c>
      <c r="B1728" s="17" t="s">
        <v>2285</v>
      </c>
      <c r="C1728" s="16" t="s">
        <v>795</v>
      </c>
      <c r="D1728" s="13">
        <v>7891150070301</v>
      </c>
    </row>
    <row r="1729" spans="1:4">
      <c r="A1729" s="70" t="s">
        <v>735</v>
      </c>
      <c r="B1729" s="17" t="s">
        <v>2285</v>
      </c>
      <c r="C1729" s="16" t="s">
        <v>796</v>
      </c>
      <c r="D1729" s="13">
        <v>7891150063440</v>
      </c>
    </row>
    <row r="1730" spans="1:4">
      <c r="A1730" s="70" t="s">
        <v>735</v>
      </c>
      <c r="B1730" s="17" t="s">
        <v>2285</v>
      </c>
      <c r="C1730" s="16" t="s">
        <v>762</v>
      </c>
      <c r="D1730" s="13">
        <v>7891150037397</v>
      </c>
    </row>
    <row r="1731" spans="1:4">
      <c r="A1731" s="70" t="s">
        <v>735</v>
      </c>
      <c r="B1731" s="17" t="s">
        <v>2285</v>
      </c>
      <c r="C1731" s="16" t="s">
        <v>763</v>
      </c>
      <c r="D1731" s="13">
        <v>7891150037571</v>
      </c>
    </row>
    <row r="1732" spans="1:4">
      <c r="A1732" s="70" t="s">
        <v>735</v>
      </c>
      <c r="B1732" s="17" t="s">
        <v>2285</v>
      </c>
      <c r="C1732" s="16" t="s">
        <v>764</v>
      </c>
      <c r="D1732" s="13">
        <v>7891150055629</v>
      </c>
    </row>
    <row r="1733" spans="1:4">
      <c r="A1733" s="70" t="s">
        <v>735</v>
      </c>
      <c r="B1733" s="17" t="s">
        <v>2285</v>
      </c>
      <c r="C1733" s="16" t="s">
        <v>1231</v>
      </c>
      <c r="D1733" s="13">
        <v>7891150073999</v>
      </c>
    </row>
    <row r="1734" spans="1:4">
      <c r="A1734" s="70" t="s">
        <v>1283</v>
      </c>
      <c r="B1734" s="17" t="s">
        <v>2288</v>
      </c>
      <c r="C1734" s="16" t="s">
        <v>1293</v>
      </c>
      <c r="D1734" s="13">
        <v>7896002365963</v>
      </c>
    </row>
    <row r="1735" spans="1:4">
      <c r="A1735" s="70" t="s">
        <v>1283</v>
      </c>
      <c r="B1735" s="17" t="s">
        <v>2288</v>
      </c>
      <c r="C1735" s="16" t="s">
        <v>1294</v>
      </c>
      <c r="D1735" s="13">
        <v>7896002364768</v>
      </c>
    </row>
    <row r="1736" spans="1:4">
      <c r="A1736" s="70" t="s">
        <v>1283</v>
      </c>
      <c r="B1736" s="17" t="s">
        <v>2288</v>
      </c>
      <c r="C1736" s="16" t="s">
        <v>1302</v>
      </c>
      <c r="D1736" s="13">
        <v>7896002303828</v>
      </c>
    </row>
    <row r="1737" spans="1:4">
      <c r="A1737" s="70" t="s">
        <v>1283</v>
      </c>
      <c r="B1737" s="17" t="s">
        <v>2288</v>
      </c>
      <c r="C1737" s="16" t="s">
        <v>1295</v>
      </c>
      <c r="D1737" s="13">
        <v>7896002301398</v>
      </c>
    </row>
    <row r="1738" spans="1:4">
      <c r="A1738" s="70" t="s">
        <v>664</v>
      </c>
      <c r="B1738" s="17" t="s">
        <v>2288</v>
      </c>
      <c r="C1738" s="16" t="s">
        <v>694</v>
      </c>
      <c r="D1738" s="13">
        <v>7891025110897</v>
      </c>
    </row>
    <row r="1739" spans="1:4">
      <c r="A1739" s="70" t="s">
        <v>2010</v>
      </c>
      <c r="B1739" s="17" t="s">
        <v>2288</v>
      </c>
      <c r="C1739" s="16" t="s">
        <v>2011</v>
      </c>
      <c r="D1739" s="13">
        <v>7898036493094</v>
      </c>
    </row>
    <row r="1740" spans="1:4">
      <c r="A1740" s="70" t="s">
        <v>2010</v>
      </c>
      <c r="B1740" s="17" t="s">
        <v>2288</v>
      </c>
      <c r="C1740" s="16" t="s">
        <v>2012</v>
      </c>
      <c r="D1740" s="13">
        <v>7898036493070</v>
      </c>
    </row>
    <row r="1741" spans="1:4">
      <c r="A1741" s="70" t="s">
        <v>2010</v>
      </c>
      <c r="B1741" s="17" t="s">
        <v>2288</v>
      </c>
      <c r="C1741" s="16" t="s">
        <v>2013</v>
      </c>
      <c r="D1741" s="13">
        <v>7898036493117</v>
      </c>
    </row>
    <row r="1742" spans="1:4">
      <c r="A1742" s="70" t="s">
        <v>2010</v>
      </c>
      <c r="B1742" s="17" t="s">
        <v>2288</v>
      </c>
      <c r="C1742" s="16" t="s">
        <v>2014</v>
      </c>
      <c r="D1742" s="13">
        <v>7898036493087</v>
      </c>
    </row>
    <row r="1743" spans="1:4">
      <c r="A1743" s="70" t="s">
        <v>2010</v>
      </c>
      <c r="B1743" s="17" t="s">
        <v>2288</v>
      </c>
      <c r="C1743" s="16" t="s">
        <v>2015</v>
      </c>
      <c r="D1743" s="13">
        <v>7898036493100</v>
      </c>
    </row>
    <row r="1744" spans="1:4">
      <c r="A1744" s="70" t="s">
        <v>2010</v>
      </c>
      <c r="B1744" s="17" t="s">
        <v>2288</v>
      </c>
      <c r="C1744" s="16" t="s">
        <v>2016</v>
      </c>
      <c r="D1744" s="13">
        <v>7898036493056</v>
      </c>
    </row>
    <row r="1745" spans="1:4">
      <c r="A1745" s="70" t="s">
        <v>2010</v>
      </c>
      <c r="B1745" s="17" t="s">
        <v>2288</v>
      </c>
      <c r="C1745" s="16" t="s">
        <v>2017</v>
      </c>
      <c r="D1745" s="13">
        <v>7898036493063</v>
      </c>
    </row>
    <row r="1746" spans="1:4">
      <c r="A1746" s="70" t="s">
        <v>119</v>
      </c>
      <c r="B1746" s="17" t="s">
        <v>2288</v>
      </c>
      <c r="C1746" s="16" t="s">
        <v>819</v>
      </c>
      <c r="D1746" s="13">
        <v>7898036491076</v>
      </c>
    </row>
    <row r="1747" spans="1:4">
      <c r="A1747" s="70" t="s">
        <v>119</v>
      </c>
      <c r="B1747" s="17" t="s">
        <v>2288</v>
      </c>
      <c r="C1747" s="16" t="s">
        <v>830</v>
      </c>
      <c r="D1747" s="13">
        <v>7898036491588</v>
      </c>
    </row>
    <row r="1748" spans="1:4">
      <c r="A1748" s="70" t="s">
        <v>119</v>
      </c>
      <c r="B1748" s="17" t="s">
        <v>2288</v>
      </c>
      <c r="C1748" s="16" t="s">
        <v>820</v>
      </c>
      <c r="D1748" s="13">
        <v>7898036491670</v>
      </c>
    </row>
    <row r="1749" spans="1:4">
      <c r="A1749" s="70" t="s">
        <v>119</v>
      </c>
      <c r="B1749" s="17" t="s">
        <v>2288</v>
      </c>
      <c r="C1749" s="16" t="s">
        <v>821</v>
      </c>
      <c r="D1749" s="13">
        <v>7898036491571</v>
      </c>
    </row>
    <row r="1750" spans="1:4">
      <c r="A1750" s="70" t="s">
        <v>119</v>
      </c>
      <c r="B1750" s="17" t="s">
        <v>2288</v>
      </c>
      <c r="C1750" s="16" t="s">
        <v>822</v>
      </c>
      <c r="D1750" s="13">
        <v>7898036492479</v>
      </c>
    </row>
    <row r="1751" spans="1:4">
      <c r="A1751" s="70" t="s">
        <v>119</v>
      </c>
      <c r="B1751" s="17" t="s">
        <v>2288</v>
      </c>
      <c r="C1751" s="16" t="s">
        <v>823</v>
      </c>
      <c r="D1751" s="13">
        <v>7898036492738</v>
      </c>
    </row>
    <row r="1752" spans="1:4">
      <c r="A1752" s="70" t="s">
        <v>119</v>
      </c>
      <c r="B1752" s="17" t="s">
        <v>2288</v>
      </c>
      <c r="C1752" s="16" t="s">
        <v>824</v>
      </c>
      <c r="D1752" s="13">
        <v>7898036491274</v>
      </c>
    </row>
    <row r="1753" spans="1:4">
      <c r="A1753" s="70" t="s">
        <v>119</v>
      </c>
      <c r="B1753" s="17" t="s">
        <v>2288</v>
      </c>
      <c r="C1753" s="16" t="s">
        <v>825</v>
      </c>
      <c r="D1753" s="13">
        <v>7898036491175</v>
      </c>
    </row>
    <row r="1754" spans="1:4">
      <c r="A1754" s="70" t="s">
        <v>119</v>
      </c>
      <c r="B1754" s="17" t="s">
        <v>2288</v>
      </c>
      <c r="C1754" s="16" t="s">
        <v>826</v>
      </c>
      <c r="D1754" s="13">
        <v>7898036491472</v>
      </c>
    </row>
    <row r="1755" spans="1:4">
      <c r="A1755" s="70" t="s">
        <v>119</v>
      </c>
      <c r="B1755" s="17" t="s">
        <v>2288</v>
      </c>
      <c r="C1755" s="16" t="s">
        <v>827</v>
      </c>
      <c r="D1755" s="13">
        <v>7898036492271</v>
      </c>
    </row>
    <row r="1756" spans="1:4">
      <c r="A1756" s="70" t="s">
        <v>119</v>
      </c>
      <c r="B1756" s="17" t="s">
        <v>2288</v>
      </c>
      <c r="C1756" s="16" t="s">
        <v>828</v>
      </c>
      <c r="D1756" s="13">
        <v>7898036492370</v>
      </c>
    </row>
    <row r="1757" spans="1:4">
      <c r="A1757" s="70" t="s">
        <v>1813</v>
      </c>
      <c r="B1757" s="17" t="s">
        <v>2288</v>
      </c>
      <c r="C1757" s="16" t="s">
        <v>1818</v>
      </c>
      <c r="D1757" s="13">
        <v>7891150062115</v>
      </c>
    </row>
    <row r="1758" spans="1:4">
      <c r="A1758" s="70" t="s">
        <v>1813</v>
      </c>
      <c r="B1758" s="17" t="s">
        <v>2288</v>
      </c>
      <c r="C1758" s="16" t="s">
        <v>1819</v>
      </c>
      <c r="D1758" s="13">
        <v>7891150067912</v>
      </c>
    </row>
    <row r="1759" spans="1:4">
      <c r="A1759" s="70" t="s">
        <v>1813</v>
      </c>
      <c r="B1759" s="17" t="s">
        <v>2288</v>
      </c>
      <c r="C1759" s="16" t="s">
        <v>1820</v>
      </c>
      <c r="D1759" s="13">
        <v>7891150055957</v>
      </c>
    </row>
    <row r="1760" spans="1:4">
      <c r="A1760" s="70" t="s">
        <v>1813</v>
      </c>
      <c r="B1760" s="17" t="s">
        <v>2288</v>
      </c>
      <c r="C1760" s="16" t="s">
        <v>1821</v>
      </c>
      <c r="D1760" s="13">
        <v>7891150024571</v>
      </c>
    </row>
    <row r="1761" spans="1:4">
      <c r="A1761" s="70" t="s">
        <v>1113</v>
      </c>
      <c r="B1761" s="17" t="s">
        <v>2288</v>
      </c>
      <c r="C1761" s="16" t="s">
        <v>267</v>
      </c>
      <c r="D1761" s="13">
        <v>7891150062993</v>
      </c>
    </row>
    <row r="1762" spans="1:4">
      <c r="A1762" s="70" t="s">
        <v>1113</v>
      </c>
      <c r="B1762" s="17" t="s">
        <v>2288</v>
      </c>
      <c r="C1762" s="16" t="s">
        <v>1425</v>
      </c>
      <c r="D1762" s="13">
        <v>7891150077263</v>
      </c>
    </row>
    <row r="1763" spans="1:4">
      <c r="A1763" s="70" t="s">
        <v>1113</v>
      </c>
      <c r="B1763" s="17" t="s">
        <v>2288</v>
      </c>
      <c r="C1763" s="16" t="s">
        <v>267</v>
      </c>
      <c r="D1763" s="13">
        <v>7891150026773</v>
      </c>
    </row>
    <row r="1764" spans="1:4">
      <c r="A1764" s="70" t="s">
        <v>1113</v>
      </c>
      <c r="B1764" s="17" t="s">
        <v>2288</v>
      </c>
      <c r="C1764" s="16" t="s">
        <v>268</v>
      </c>
      <c r="D1764" s="13">
        <v>7891150050235</v>
      </c>
    </row>
    <row r="1765" spans="1:4">
      <c r="A1765" s="70" t="s">
        <v>1113</v>
      </c>
      <c r="B1765" s="17" t="s">
        <v>2288</v>
      </c>
      <c r="C1765" s="16" t="s">
        <v>269</v>
      </c>
      <c r="D1765" s="13">
        <v>7891150050242</v>
      </c>
    </row>
    <row r="1766" spans="1:4">
      <c r="A1766" s="70" t="s">
        <v>1113</v>
      </c>
      <c r="B1766" s="17" t="s">
        <v>2288</v>
      </c>
      <c r="C1766" s="16" t="s">
        <v>270</v>
      </c>
      <c r="D1766" s="13">
        <v>7891150055858</v>
      </c>
    </row>
    <row r="1767" spans="1:4">
      <c r="A1767" s="70" t="s">
        <v>1113</v>
      </c>
      <c r="B1767" s="17" t="s">
        <v>2288</v>
      </c>
      <c r="C1767" s="16" t="s">
        <v>271</v>
      </c>
      <c r="D1767" s="13">
        <v>7891150026742</v>
      </c>
    </row>
    <row r="1768" spans="1:4">
      <c r="A1768" s="70" t="s">
        <v>1113</v>
      </c>
      <c r="B1768" s="17" t="s">
        <v>2288</v>
      </c>
      <c r="C1768" s="16" t="s">
        <v>272</v>
      </c>
      <c r="D1768" s="13">
        <v>7891150063006</v>
      </c>
    </row>
    <row r="1769" spans="1:4">
      <c r="A1769" s="70" t="s">
        <v>1113</v>
      </c>
      <c r="B1769" s="17" t="s">
        <v>2288</v>
      </c>
      <c r="C1769" s="16" t="s">
        <v>272</v>
      </c>
      <c r="D1769" s="13">
        <v>7891150039384</v>
      </c>
    </row>
    <row r="1770" spans="1:4">
      <c r="A1770" s="70" t="s">
        <v>88</v>
      </c>
      <c r="B1770" s="17" t="s">
        <v>2288</v>
      </c>
      <c r="C1770" s="16" t="s">
        <v>1047</v>
      </c>
      <c r="D1770" s="13">
        <v>7891000120507</v>
      </c>
    </row>
    <row r="1771" spans="1:4">
      <c r="A1771" s="70" t="s">
        <v>88</v>
      </c>
      <c r="B1771" s="17" t="s">
        <v>2288</v>
      </c>
      <c r="C1771" s="16" t="s">
        <v>1048</v>
      </c>
      <c r="D1771" s="13">
        <v>7891000120521</v>
      </c>
    </row>
    <row r="1772" spans="1:4">
      <c r="A1772" s="70" t="s">
        <v>88</v>
      </c>
      <c r="B1772" s="17" t="s">
        <v>2288</v>
      </c>
      <c r="C1772" s="16" t="s">
        <v>1049</v>
      </c>
      <c r="D1772" s="13">
        <v>7891000120071</v>
      </c>
    </row>
    <row r="1773" spans="1:4">
      <c r="A1773" s="70" t="s">
        <v>88</v>
      </c>
      <c r="B1773" s="17" t="s">
        <v>2288</v>
      </c>
      <c r="C1773" s="16" t="s">
        <v>1050</v>
      </c>
      <c r="D1773" s="13">
        <v>7899975800240</v>
      </c>
    </row>
    <row r="1774" spans="1:4">
      <c r="A1774" s="70" t="s">
        <v>88</v>
      </c>
      <c r="B1774" s="17" t="s">
        <v>2288</v>
      </c>
      <c r="C1774" s="16" t="s">
        <v>2137</v>
      </c>
      <c r="D1774" s="13">
        <v>7899975802466</v>
      </c>
    </row>
    <row r="1775" spans="1:4">
      <c r="A1775" s="70" t="s">
        <v>88</v>
      </c>
      <c r="B1775" s="17" t="s">
        <v>2288</v>
      </c>
      <c r="C1775" s="16" t="s">
        <v>1051</v>
      </c>
      <c r="D1775" s="13">
        <v>7899975800585</v>
      </c>
    </row>
    <row r="1776" spans="1:4">
      <c r="A1776" s="70" t="s">
        <v>30</v>
      </c>
      <c r="B1776" s="17" t="s">
        <v>2283</v>
      </c>
      <c r="C1776" s="16" t="s">
        <v>512</v>
      </c>
      <c r="D1776" s="13">
        <v>7898406780021</v>
      </c>
    </row>
    <row r="1777" spans="1:4">
      <c r="A1777" s="70" t="s">
        <v>3490</v>
      </c>
      <c r="B1777" s="17" t="s">
        <v>2283</v>
      </c>
      <c r="C1777" s="16" t="s">
        <v>1894</v>
      </c>
      <c r="D1777" s="13">
        <v>7899916904778</v>
      </c>
    </row>
    <row r="1778" spans="1:4">
      <c r="A1778" s="70" t="s">
        <v>2328</v>
      </c>
      <c r="B1778" s="17" t="s">
        <v>2288</v>
      </c>
      <c r="C1778" s="16" t="s">
        <v>1889</v>
      </c>
      <c r="D1778" s="13">
        <v>7897195981374</v>
      </c>
    </row>
    <row r="1779" spans="1:4">
      <c r="A1779" s="70" t="s">
        <v>1653</v>
      </c>
      <c r="B1779" s="17" t="s">
        <v>2283</v>
      </c>
      <c r="C1779" s="16" t="s">
        <v>1666</v>
      </c>
      <c r="D1779" s="13">
        <v>7894900611076</v>
      </c>
    </row>
    <row r="1780" spans="1:4">
      <c r="A1780" s="70" t="s">
        <v>26</v>
      </c>
      <c r="B1780" s="17" t="s">
        <v>2283</v>
      </c>
      <c r="C1780" s="16" t="s">
        <v>382</v>
      </c>
      <c r="D1780" s="13">
        <v>7896266101000</v>
      </c>
    </row>
    <row r="1781" spans="1:4">
      <c r="A1781" s="70" t="s">
        <v>633</v>
      </c>
      <c r="B1781" s="17" t="s">
        <v>2283</v>
      </c>
      <c r="C1781" s="16" t="s">
        <v>638</v>
      </c>
      <c r="D1781" s="13">
        <v>7896855907501</v>
      </c>
    </row>
    <row r="1782" spans="1:4">
      <c r="A1782" s="70" t="s">
        <v>633</v>
      </c>
      <c r="B1782" s="17" t="s">
        <v>2283</v>
      </c>
      <c r="C1782" s="16" t="s">
        <v>639</v>
      </c>
      <c r="D1782" s="13">
        <v>7896855901745</v>
      </c>
    </row>
    <row r="1783" spans="1:4">
      <c r="A1783" s="70" t="s">
        <v>3491</v>
      </c>
      <c r="B1783" s="17" t="s">
        <v>2283</v>
      </c>
      <c r="C1783" s="16" t="s">
        <v>510</v>
      </c>
      <c r="D1783" s="13">
        <v>7896023014819</v>
      </c>
    </row>
    <row r="1784" spans="1:4">
      <c r="A1784" s="70" t="s">
        <v>1198</v>
      </c>
      <c r="B1784" s="17" t="s">
        <v>2288</v>
      </c>
      <c r="C1784" s="16" t="s">
        <v>1207</v>
      </c>
      <c r="D1784" s="13">
        <v>7898553442933</v>
      </c>
    </row>
    <row r="1785" spans="1:4">
      <c r="A1785" s="70" t="s">
        <v>1769</v>
      </c>
      <c r="B1785" s="17" t="s">
        <v>2287</v>
      </c>
      <c r="C1785" s="16" t="s">
        <v>1775</v>
      </c>
      <c r="D1785" s="13">
        <v>7896183301484</v>
      </c>
    </row>
    <row r="1786" spans="1:4">
      <c r="A1786" s="70" t="s">
        <v>877</v>
      </c>
      <c r="B1786" s="17" t="s">
        <v>2284</v>
      </c>
      <c r="C1786" s="16" t="s">
        <v>915</v>
      </c>
      <c r="D1786" s="13">
        <v>7891095159529</v>
      </c>
    </row>
    <row r="1787" spans="1:4">
      <c r="A1787" s="70" t="s">
        <v>877</v>
      </c>
      <c r="B1787" s="17" t="s">
        <v>2284</v>
      </c>
      <c r="C1787" s="16" t="s">
        <v>916</v>
      </c>
      <c r="D1787" s="13">
        <v>7891095605569</v>
      </c>
    </row>
    <row r="1788" spans="1:4">
      <c r="A1788" s="70" t="s">
        <v>877</v>
      </c>
      <c r="B1788" s="17" t="s">
        <v>2284</v>
      </c>
      <c r="C1788" s="16" t="s">
        <v>917</v>
      </c>
      <c r="D1788" s="13">
        <v>7891095022953</v>
      </c>
    </row>
    <row r="1789" spans="1:4">
      <c r="A1789" s="70" t="s">
        <v>877</v>
      </c>
      <c r="B1789" s="17" t="s">
        <v>2284</v>
      </c>
      <c r="C1789" s="16" t="s">
        <v>918</v>
      </c>
      <c r="D1789" s="13">
        <v>7891095605576</v>
      </c>
    </row>
    <row r="1790" spans="1:4">
      <c r="A1790" s="70" t="s">
        <v>877</v>
      </c>
      <c r="B1790" s="17" t="s">
        <v>2284</v>
      </c>
      <c r="C1790" s="16" t="s">
        <v>919</v>
      </c>
      <c r="D1790" s="13">
        <v>7891095150304</v>
      </c>
    </row>
    <row r="1791" spans="1:4">
      <c r="A1791" s="70" t="s">
        <v>877</v>
      </c>
      <c r="B1791" s="17" t="s">
        <v>2284</v>
      </c>
      <c r="C1791" s="16" t="s">
        <v>920</v>
      </c>
      <c r="D1791" s="13">
        <v>7891095013456</v>
      </c>
    </row>
    <row r="1792" spans="1:4">
      <c r="A1792" s="70" t="s">
        <v>877</v>
      </c>
      <c r="B1792" s="17" t="s">
        <v>2284</v>
      </c>
      <c r="C1792" s="16" t="s">
        <v>921</v>
      </c>
      <c r="D1792" s="13">
        <v>7891095605583</v>
      </c>
    </row>
    <row r="1793" spans="1:4">
      <c r="A1793" s="70" t="s">
        <v>877</v>
      </c>
      <c r="B1793" s="17" t="s">
        <v>2284</v>
      </c>
      <c r="C1793" s="16" t="s">
        <v>922</v>
      </c>
      <c r="D1793" s="13">
        <v>7891095150472</v>
      </c>
    </row>
    <row r="1794" spans="1:4">
      <c r="A1794" s="70" t="s">
        <v>877</v>
      </c>
      <c r="B1794" s="17" t="s">
        <v>2284</v>
      </c>
      <c r="C1794" s="16" t="s">
        <v>923</v>
      </c>
      <c r="D1794" s="13">
        <v>7891095011889</v>
      </c>
    </row>
    <row r="1795" spans="1:4">
      <c r="A1795" s="70" t="s">
        <v>877</v>
      </c>
      <c r="B1795" s="17" t="s">
        <v>2284</v>
      </c>
      <c r="C1795" s="16" t="s">
        <v>924</v>
      </c>
      <c r="D1795" s="13">
        <v>7891095021383</v>
      </c>
    </row>
    <row r="1796" spans="1:4">
      <c r="A1796" s="70" t="s">
        <v>877</v>
      </c>
      <c r="B1796" s="17" t="s">
        <v>2284</v>
      </c>
      <c r="C1796" s="16" t="s">
        <v>935</v>
      </c>
      <c r="D1796" s="13">
        <v>7891095013449</v>
      </c>
    </row>
    <row r="1797" spans="1:4">
      <c r="A1797" s="70" t="s">
        <v>459</v>
      </c>
      <c r="B1797" s="17" t="s">
        <v>2287</v>
      </c>
      <c r="C1797" s="16" t="s">
        <v>401</v>
      </c>
      <c r="D1797" s="13">
        <v>7896061920202</v>
      </c>
    </row>
    <row r="1798" spans="1:4">
      <c r="A1798" s="70" t="s">
        <v>2141</v>
      </c>
      <c r="B1798" s="17" t="s">
        <v>2287</v>
      </c>
      <c r="C1798" s="16" t="s">
        <v>2148</v>
      </c>
      <c r="D1798" s="13">
        <v>7896061920233</v>
      </c>
    </row>
    <row r="1799" spans="1:4">
      <c r="A1799" s="70" t="s">
        <v>2243</v>
      </c>
      <c r="B1799" s="17" t="s">
        <v>2287</v>
      </c>
      <c r="C1799" s="16" t="s">
        <v>2245</v>
      </c>
      <c r="D1799" s="13">
        <v>7896075300717</v>
      </c>
    </row>
    <row r="1800" spans="1:4">
      <c r="A1800" s="70" t="s">
        <v>599</v>
      </c>
      <c r="B1800" s="17" t="s">
        <v>2285</v>
      </c>
      <c r="C1800" s="16" t="s">
        <v>624</v>
      </c>
      <c r="D1800" s="13">
        <v>7896018703063</v>
      </c>
    </row>
    <row r="1801" spans="1:4">
      <c r="A1801" s="70" t="s">
        <v>1136</v>
      </c>
      <c r="B1801" s="17" t="s">
        <v>2285</v>
      </c>
      <c r="C1801" s="16" t="s">
        <v>1197</v>
      </c>
      <c r="D1801" s="13">
        <v>7896018704299</v>
      </c>
    </row>
    <row r="1802" spans="1:4">
      <c r="A1802" s="70" t="s">
        <v>2167</v>
      </c>
      <c r="B1802" s="17" t="s">
        <v>2284</v>
      </c>
      <c r="C1802" s="16" t="s">
        <v>1801</v>
      </c>
      <c r="D1802" s="13">
        <v>7891032015222</v>
      </c>
    </row>
    <row r="1803" spans="1:4">
      <c r="A1803" s="70" t="s">
        <v>2167</v>
      </c>
      <c r="B1803" s="17" t="s">
        <v>2284</v>
      </c>
      <c r="C1803" s="16" t="s">
        <v>1802</v>
      </c>
      <c r="D1803" s="13">
        <v>7891032015215</v>
      </c>
    </row>
    <row r="1804" spans="1:4">
      <c r="A1804" s="70" t="s">
        <v>1843</v>
      </c>
      <c r="B1804" s="17" t="s">
        <v>2282</v>
      </c>
      <c r="C1804" s="16" t="s">
        <v>1848</v>
      </c>
      <c r="D1804" s="13">
        <v>7893000012509</v>
      </c>
    </row>
    <row r="1805" spans="1:4">
      <c r="A1805" s="70" t="s">
        <v>3151</v>
      </c>
      <c r="B1805" s="17" t="s">
        <v>2287</v>
      </c>
      <c r="C1805" s="16" t="s">
        <v>263</v>
      </c>
      <c r="D1805" s="13">
        <v>7896001016712</v>
      </c>
    </row>
    <row r="1806" spans="1:4">
      <c r="A1806" s="10" t="s">
        <v>3103</v>
      </c>
      <c r="B1806" s="17" t="s">
        <v>2287</v>
      </c>
      <c r="C1806" s="16" t="s">
        <v>363</v>
      </c>
      <c r="D1806" s="13">
        <v>7896314709561</v>
      </c>
    </row>
    <row r="1807" spans="1:4">
      <c r="A1807" s="70" t="s">
        <v>2241</v>
      </c>
      <c r="B1807" s="17" t="s">
        <v>2283</v>
      </c>
      <c r="C1807" s="16" t="s">
        <v>2203</v>
      </c>
      <c r="D1807" s="13">
        <v>7896756804664</v>
      </c>
    </row>
    <row r="1808" spans="1:4">
      <c r="A1808" s="70" t="s">
        <v>2241</v>
      </c>
      <c r="B1808" s="17" t="s">
        <v>2283</v>
      </c>
      <c r="C1808" s="16" t="s">
        <v>2204</v>
      </c>
      <c r="D1808" s="13">
        <v>7896756805395</v>
      </c>
    </row>
    <row r="1809" spans="1:4">
      <c r="A1809" s="70" t="s">
        <v>2241</v>
      </c>
      <c r="B1809" s="17" t="s">
        <v>2283</v>
      </c>
      <c r="C1809" s="16" t="s">
        <v>2205</v>
      </c>
      <c r="D1809" s="13">
        <v>7896756804657</v>
      </c>
    </row>
    <row r="1810" spans="1:4">
      <c r="A1810" s="70" t="s">
        <v>2199</v>
      </c>
      <c r="B1810" s="17" t="s">
        <v>2283</v>
      </c>
      <c r="C1810" s="16" t="s">
        <v>2203</v>
      </c>
      <c r="D1810" s="13">
        <v>7896756804664</v>
      </c>
    </row>
    <row r="1811" spans="1:4">
      <c r="A1811" s="70" t="s">
        <v>2199</v>
      </c>
      <c r="B1811" s="17" t="s">
        <v>2283</v>
      </c>
      <c r="C1811" s="16" t="s">
        <v>2204</v>
      </c>
      <c r="D1811" s="13">
        <v>7896756805395</v>
      </c>
    </row>
    <row r="1812" spans="1:4">
      <c r="A1812" s="70" t="s">
        <v>2199</v>
      </c>
      <c r="B1812" s="17" t="s">
        <v>2283</v>
      </c>
      <c r="C1812" s="16" t="s">
        <v>2205</v>
      </c>
      <c r="D1812" s="13">
        <v>7896756804657</v>
      </c>
    </row>
    <row r="1813" spans="1:4">
      <c r="A1813" s="70" t="s">
        <v>3492</v>
      </c>
      <c r="B1813" s="17" t="s">
        <v>2283</v>
      </c>
      <c r="C1813" s="16" t="s">
        <v>1779</v>
      </c>
      <c r="D1813" s="13">
        <v>7793440702940</v>
      </c>
    </row>
    <row r="1814" spans="1:4">
      <c r="A1814" s="70" t="s">
        <v>3492</v>
      </c>
      <c r="B1814" s="17" t="s">
        <v>2283</v>
      </c>
      <c r="C1814" s="16" t="s">
        <v>1780</v>
      </c>
      <c r="D1814" s="13">
        <v>7793440702964</v>
      </c>
    </row>
    <row r="1815" spans="1:4">
      <c r="A1815" s="70" t="s">
        <v>1732</v>
      </c>
      <c r="B1815" s="17" t="s">
        <v>2283</v>
      </c>
      <c r="C1815" s="16" t="s">
        <v>1735</v>
      </c>
      <c r="D1815" s="13">
        <v>7793440000046</v>
      </c>
    </row>
    <row r="1816" spans="1:4">
      <c r="A1816" s="70" t="s">
        <v>1732</v>
      </c>
      <c r="B1816" s="17" t="s">
        <v>2283</v>
      </c>
      <c r="C1816" s="16" t="s">
        <v>1736</v>
      </c>
      <c r="D1816" s="13">
        <v>7793440704326</v>
      </c>
    </row>
    <row r="1817" spans="1:4">
      <c r="A1817" s="70" t="s">
        <v>1732</v>
      </c>
      <c r="B1817" s="17" t="s">
        <v>2283</v>
      </c>
      <c r="C1817" s="16" t="s">
        <v>1737</v>
      </c>
      <c r="D1817" s="13">
        <v>7793440000039</v>
      </c>
    </row>
    <row r="1818" spans="1:4">
      <c r="A1818" s="70" t="s">
        <v>2168</v>
      </c>
      <c r="B1818" s="17" t="s">
        <v>2283</v>
      </c>
      <c r="C1818" s="16" t="s">
        <v>2172</v>
      </c>
      <c r="D1818" s="13">
        <v>7790240097856</v>
      </c>
    </row>
    <row r="1819" spans="1:4">
      <c r="A1819" s="70" t="s">
        <v>2168</v>
      </c>
      <c r="B1819" s="17" t="s">
        <v>2283</v>
      </c>
      <c r="C1819" s="16" t="s">
        <v>2173</v>
      </c>
      <c r="D1819" s="13">
        <v>7790240097887</v>
      </c>
    </row>
    <row r="1820" spans="1:4">
      <c r="A1820" s="70" t="s">
        <v>2168</v>
      </c>
      <c r="B1820" s="17" t="s">
        <v>2283</v>
      </c>
      <c r="C1820" s="16" t="s">
        <v>2174</v>
      </c>
      <c r="D1820" s="13">
        <v>7791540052446</v>
      </c>
    </row>
    <row r="1821" spans="1:4">
      <c r="A1821" s="70" t="s">
        <v>2168</v>
      </c>
      <c r="B1821" s="17" t="s">
        <v>2283</v>
      </c>
      <c r="C1821" s="16" t="s">
        <v>2175</v>
      </c>
      <c r="D1821" s="13">
        <v>7790240097900</v>
      </c>
    </row>
    <row r="1822" spans="1:4">
      <c r="A1822" s="70" t="s">
        <v>2168</v>
      </c>
      <c r="B1822" s="17" t="s">
        <v>2283</v>
      </c>
      <c r="C1822" s="16" t="s">
        <v>2176</v>
      </c>
      <c r="D1822" s="13">
        <v>7791540052934</v>
      </c>
    </row>
    <row r="1823" spans="1:4">
      <c r="A1823" s="70" t="s">
        <v>886</v>
      </c>
      <c r="B1823" s="17" t="s">
        <v>2283</v>
      </c>
      <c r="C1823" s="16" t="s">
        <v>905</v>
      </c>
      <c r="D1823" s="13">
        <v>7896023085734</v>
      </c>
    </row>
    <row r="1824" spans="1:4">
      <c r="A1824" s="70" t="s">
        <v>886</v>
      </c>
      <c r="B1824" s="17" t="s">
        <v>2283</v>
      </c>
      <c r="C1824" s="16" t="s">
        <v>906</v>
      </c>
      <c r="D1824" s="13">
        <v>7896023081545</v>
      </c>
    </row>
    <row r="1825" spans="1:4">
      <c r="A1825" s="70" t="s">
        <v>886</v>
      </c>
      <c r="B1825" s="17" t="s">
        <v>2283</v>
      </c>
      <c r="C1825" s="16" t="s">
        <v>907</v>
      </c>
      <c r="D1825" s="13">
        <v>7896023085710</v>
      </c>
    </row>
    <row r="1826" spans="1:4">
      <c r="A1826" s="70" t="s">
        <v>886</v>
      </c>
      <c r="B1826" s="17" t="s">
        <v>2283</v>
      </c>
      <c r="C1826" s="16" t="s">
        <v>908</v>
      </c>
      <c r="D1826" s="13">
        <v>7896023081538</v>
      </c>
    </row>
    <row r="1827" spans="1:4">
      <c r="A1827" s="70" t="s">
        <v>886</v>
      </c>
      <c r="B1827" s="17" t="s">
        <v>2283</v>
      </c>
      <c r="C1827" s="16" t="s">
        <v>909</v>
      </c>
      <c r="D1827" s="13">
        <v>7896023081392</v>
      </c>
    </row>
    <row r="1828" spans="1:4">
      <c r="A1828" s="70" t="s">
        <v>2956</v>
      </c>
      <c r="B1828" s="17" t="s">
        <v>2283</v>
      </c>
      <c r="C1828" s="16" t="s">
        <v>626</v>
      </c>
      <c r="D1828" s="13">
        <v>7896023080043</v>
      </c>
    </row>
    <row r="1829" spans="1:4">
      <c r="A1829" s="70" t="s">
        <v>2956</v>
      </c>
      <c r="B1829" s="17" t="s">
        <v>2283</v>
      </c>
      <c r="C1829" s="16" t="s">
        <v>627</v>
      </c>
      <c r="D1829" s="13">
        <v>7896023081477</v>
      </c>
    </row>
    <row r="1830" spans="1:4">
      <c r="A1830" s="70" t="s">
        <v>2956</v>
      </c>
      <c r="B1830" s="17" t="s">
        <v>2283</v>
      </c>
      <c r="C1830" s="16" t="s">
        <v>628</v>
      </c>
      <c r="D1830" s="13">
        <v>7896023081415</v>
      </c>
    </row>
    <row r="1831" spans="1:4">
      <c r="A1831" s="70" t="s">
        <v>2956</v>
      </c>
      <c r="B1831" s="17" t="s">
        <v>2283</v>
      </c>
      <c r="C1831" s="16" t="s">
        <v>1840</v>
      </c>
      <c r="D1831" s="13">
        <v>7896023010750</v>
      </c>
    </row>
    <row r="1832" spans="1:4">
      <c r="A1832" s="70" t="s">
        <v>2956</v>
      </c>
      <c r="B1832" s="17" t="s">
        <v>2283</v>
      </c>
      <c r="C1832" s="16" t="s">
        <v>629</v>
      </c>
      <c r="D1832" s="13">
        <v>7896023084096</v>
      </c>
    </row>
    <row r="1833" spans="1:4">
      <c r="A1833" s="70" t="s">
        <v>2956</v>
      </c>
      <c r="B1833" s="17" t="s">
        <v>2283</v>
      </c>
      <c r="C1833" s="16" t="s">
        <v>630</v>
      </c>
      <c r="D1833" s="13">
        <v>7896023010712</v>
      </c>
    </row>
    <row r="1834" spans="1:4">
      <c r="A1834" s="70" t="s">
        <v>2956</v>
      </c>
      <c r="B1834" s="17" t="s">
        <v>2283</v>
      </c>
      <c r="C1834" s="16" t="s">
        <v>632</v>
      </c>
      <c r="D1834" s="13">
        <v>7791540049569</v>
      </c>
    </row>
    <row r="1835" spans="1:4">
      <c r="A1835" s="70" t="s">
        <v>2956</v>
      </c>
      <c r="B1835" s="17" t="s">
        <v>2283</v>
      </c>
      <c r="C1835" s="16" t="s">
        <v>631</v>
      </c>
      <c r="D1835" s="13">
        <v>7791540049552</v>
      </c>
    </row>
    <row r="1836" spans="1:4">
      <c r="A1836" s="70" t="s">
        <v>2956</v>
      </c>
      <c r="B1836" s="17" t="s">
        <v>2283</v>
      </c>
      <c r="C1836" s="16" t="s">
        <v>938</v>
      </c>
      <c r="D1836" s="13">
        <v>7791540049545</v>
      </c>
    </row>
    <row r="1837" spans="1:4">
      <c r="A1837" s="70" t="s">
        <v>84</v>
      </c>
      <c r="B1837" s="17" t="s">
        <v>2283</v>
      </c>
      <c r="C1837" s="16" t="s">
        <v>502</v>
      </c>
      <c r="D1837" s="13">
        <v>7804320303178</v>
      </c>
    </row>
    <row r="1838" spans="1:4">
      <c r="A1838" s="70" t="s">
        <v>84</v>
      </c>
      <c r="B1838" s="17" t="s">
        <v>2283</v>
      </c>
      <c r="C1838" s="16" t="s">
        <v>1922</v>
      </c>
      <c r="D1838" s="13">
        <v>7804320750354</v>
      </c>
    </row>
    <row r="1839" spans="1:4">
      <c r="A1839" s="70" t="s">
        <v>84</v>
      </c>
      <c r="B1839" s="17" t="s">
        <v>2283</v>
      </c>
      <c r="C1839" s="16" t="s">
        <v>494</v>
      </c>
      <c r="D1839" s="13">
        <v>7804320131344</v>
      </c>
    </row>
    <row r="1840" spans="1:4">
      <c r="A1840" s="70" t="s">
        <v>84</v>
      </c>
      <c r="B1840" s="17" t="s">
        <v>2283</v>
      </c>
      <c r="C1840" s="16" t="s">
        <v>495</v>
      </c>
      <c r="D1840" s="13">
        <v>7804320510170</v>
      </c>
    </row>
    <row r="1841" spans="1:4">
      <c r="A1841" s="70" t="s">
        <v>84</v>
      </c>
      <c r="B1841" s="17" t="s">
        <v>2283</v>
      </c>
      <c r="C1841" s="16" t="s">
        <v>496</v>
      </c>
      <c r="D1841" s="13">
        <v>7804320301174</v>
      </c>
    </row>
    <row r="1842" spans="1:4">
      <c r="A1842" s="70" t="s">
        <v>84</v>
      </c>
      <c r="B1842" s="17" t="s">
        <v>2283</v>
      </c>
      <c r="C1842" s="16" t="s">
        <v>497</v>
      </c>
      <c r="D1842" s="13">
        <v>7804320701202</v>
      </c>
    </row>
    <row r="1843" spans="1:4">
      <c r="A1843" s="70" t="s">
        <v>84</v>
      </c>
      <c r="B1843" s="17" t="s">
        <v>2283</v>
      </c>
      <c r="C1843" s="16" t="s">
        <v>498</v>
      </c>
      <c r="D1843" s="13">
        <v>7804320985633</v>
      </c>
    </row>
    <row r="1844" spans="1:4">
      <c r="A1844" s="70" t="s">
        <v>84</v>
      </c>
      <c r="B1844" s="17" t="s">
        <v>2283</v>
      </c>
      <c r="C1844" s="16" t="s">
        <v>499</v>
      </c>
      <c r="D1844" s="13">
        <v>7804320510187</v>
      </c>
    </row>
    <row r="1845" spans="1:4">
      <c r="A1845" s="70" t="s">
        <v>84</v>
      </c>
      <c r="B1845" s="17" t="s">
        <v>2283</v>
      </c>
      <c r="C1845" s="16" t="s">
        <v>500</v>
      </c>
      <c r="D1845" s="13">
        <v>7804320256900</v>
      </c>
    </row>
    <row r="1846" spans="1:4">
      <c r="A1846" s="70" t="s">
        <v>84</v>
      </c>
      <c r="B1846" s="17" t="s">
        <v>2283</v>
      </c>
      <c r="C1846" s="16" t="s">
        <v>501</v>
      </c>
      <c r="D1846" s="13">
        <v>7804320087016</v>
      </c>
    </row>
    <row r="1847" spans="1:4">
      <c r="A1847" s="70" t="s">
        <v>2164</v>
      </c>
      <c r="B1847" s="17" t="s">
        <v>2283</v>
      </c>
      <c r="C1847" s="16" t="s">
        <v>2181</v>
      </c>
      <c r="D1847" s="13">
        <v>7804641500034</v>
      </c>
    </row>
    <row r="1848" spans="1:4">
      <c r="A1848" s="70" t="s">
        <v>2164</v>
      </c>
      <c r="B1848" s="17" t="s">
        <v>2283</v>
      </c>
      <c r="C1848" s="16" t="s">
        <v>2182</v>
      </c>
      <c r="D1848" s="13">
        <v>7808725404706</v>
      </c>
    </row>
    <row r="1849" spans="1:4">
      <c r="A1849" s="70" t="s">
        <v>2164</v>
      </c>
      <c r="B1849" s="17" t="s">
        <v>2283</v>
      </c>
      <c r="C1849" s="16" t="s">
        <v>2183</v>
      </c>
      <c r="D1849" s="13">
        <v>7808725404515</v>
      </c>
    </row>
    <row r="1850" spans="1:4">
      <c r="A1850" s="70" t="s">
        <v>2164</v>
      </c>
      <c r="B1850" s="17" t="s">
        <v>2283</v>
      </c>
      <c r="C1850" s="16" t="s">
        <v>2184</v>
      </c>
      <c r="D1850" s="13">
        <v>7808725405567</v>
      </c>
    </row>
    <row r="1851" spans="1:4">
      <c r="A1851" s="70" t="s">
        <v>2164</v>
      </c>
      <c r="B1851" s="17" t="s">
        <v>2283</v>
      </c>
      <c r="C1851" s="16" t="s">
        <v>2185</v>
      </c>
      <c r="D1851" s="13">
        <v>7804641500027</v>
      </c>
    </row>
    <row r="1852" spans="1:4">
      <c r="A1852" s="70" t="s">
        <v>2164</v>
      </c>
      <c r="B1852" s="17" t="s">
        <v>2283</v>
      </c>
      <c r="C1852" s="16" t="s">
        <v>2186</v>
      </c>
      <c r="D1852" s="13">
        <v>7808725406724</v>
      </c>
    </row>
    <row r="1853" spans="1:4">
      <c r="A1853" s="70" t="s">
        <v>2164</v>
      </c>
      <c r="B1853" s="17" t="s">
        <v>2283</v>
      </c>
      <c r="C1853" s="16" t="s">
        <v>2187</v>
      </c>
      <c r="D1853" s="13">
        <v>7808725406021</v>
      </c>
    </row>
    <row r="1854" spans="1:4">
      <c r="A1854" s="70" t="s">
        <v>2164</v>
      </c>
      <c r="B1854" s="17" t="s">
        <v>2283</v>
      </c>
      <c r="C1854" s="16" t="s">
        <v>2188</v>
      </c>
      <c r="D1854" s="13">
        <v>7804641500010</v>
      </c>
    </row>
    <row r="1855" spans="1:4">
      <c r="A1855" s="70" t="s">
        <v>2164</v>
      </c>
      <c r="B1855" s="17" t="s">
        <v>2283</v>
      </c>
      <c r="C1855" s="16" t="s">
        <v>2189</v>
      </c>
      <c r="D1855" s="13">
        <v>7808725400340</v>
      </c>
    </row>
    <row r="1856" spans="1:4">
      <c r="A1856" s="70" t="s">
        <v>2164</v>
      </c>
      <c r="B1856" s="17" t="s">
        <v>2283</v>
      </c>
      <c r="C1856" s="16" t="s">
        <v>2190</v>
      </c>
      <c r="D1856" s="13">
        <v>7808725408186</v>
      </c>
    </row>
    <row r="1857" spans="1:4">
      <c r="A1857" s="70" t="s">
        <v>2194</v>
      </c>
      <c r="B1857" s="17" t="s">
        <v>2283</v>
      </c>
      <c r="C1857" s="16" t="s">
        <v>2223</v>
      </c>
      <c r="D1857" s="13">
        <v>7804305002010</v>
      </c>
    </row>
    <row r="1858" spans="1:4">
      <c r="A1858" s="70" t="s">
        <v>2192</v>
      </c>
      <c r="B1858" s="17" t="s">
        <v>2283</v>
      </c>
      <c r="C1858" s="16" t="s">
        <v>2220</v>
      </c>
      <c r="D1858" s="13">
        <v>7804305002041</v>
      </c>
    </row>
    <row r="1859" spans="1:4">
      <c r="A1859" s="70" t="s">
        <v>2192</v>
      </c>
      <c r="B1859" s="17" t="s">
        <v>2283</v>
      </c>
      <c r="C1859" s="16" t="s">
        <v>2221</v>
      </c>
      <c r="D1859" s="13">
        <v>7804305000177</v>
      </c>
    </row>
    <row r="1860" spans="1:4">
      <c r="A1860" s="70" t="s">
        <v>59</v>
      </c>
      <c r="B1860" s="17" t="s">
        <v>2283</v>
      </c>
      <c r="C1860" s="16" t="s">
        <v>557</v>
      </c>
      <c r="D1860" s="13">
        <v>7804320116846</v>
      </c>
    </row>
    <row r="1861" spans="1:4">
      <c r="A1861" s="70" t="s">
        <v>59</v>
      </c>
      <c r="B1861" s="17" t="s">
        <v>2283</v>
      </c>
      <c r="C1861" s="16" t="s">
        <v>558</v>
      </c>
      <c r="D1861" s="13">
        <v>7804320116921</v>
      </c>
    </row>
    <row r="1862" spans="1:4">
      <c r="A1862" s="70" t="s">
        <v>59</v>
      </c>
      <c r="B1862" s="17" t="s">
        <v>2283</v>
      </c>
      <c r="C1862" s="16" t="s">
        <v>559</v>
      </c>
      <c r="D1862" s="13">
        <v>7798039590496</v>
      </c>
    </row>
    <row r="1863" spans="1:4">
      <c r="A1863" s="70" t="s">
        <v>59</v>
      </c>
      <c r="B1863" s="17" t="s">
        <v>2283</v>
      </c>
      <c r="C1863" s="16" t="s">
        <v>560</v>
      </c>
      <c r="D1863" s="13">
        <v>7804320148397</v>
      </c>
    </row>
    <row r="1864" spans="1:4">
      <c r="A1864" s="70" t="s">
        <v>59</v>
      </c>
      <c r="B1864" s="17" t="s">
        <v>2283</v>
      </c>
      <c r="C1864" s="16" t="s">
        <v>561</v>
      </c>
      <c r="D1864" s="13">
        <v>7804320116815</v>
      </c>
    </row>
    <row r="1865" spans="1:4">
      <c r="A1865" s="70" t="s">
        <v>59</v>
      </c>
      <c r="B1865" s="17" t="s">
        <v>2283</v>
      </c>
      <c r="C1865" s="16" t="s">
        <v>562</v>
      </c>
      <c r="D1865" s="13">
        <v>7804320747835</v>
      </c>
    </row>
    <row r="1866" spans="1:4">
      <c r="A1866" s="70" t="s">
        <v>59</v>
      </c>
      <c r="B1866" s="17" t="s">
        <v>2283</v>
      </c>
      <c r="C1866" s="16" t="s">
        <v>832</v>
      </c>
      <c r="D1866" s="13">
        <v>7804320116952</v>
      </c>
    </row>
    <row r="1867" spans="1:4">
      <c r="A1867" s="70" t="s">
        <v>344</v>
      </c>
      <c r="B1867" s="17" t="s">
        <v>2283</v>
      </c>
      <c r="C1867" s="16" t="s">
        <v>351</v>
      </c>
      <c r="D1867" s="13">
        <v>7804350596236</v>
      </c>
    </row>
    <row r="1868" spans="1:4">
      <c r="A1868" s="70" t="s">
        <v>344</v>
      </c>
      <c r="B1868" s="17" t="s">
        <v>2283</v>
      </c>
      <c r="C1868" s="16" t="s">
        <v>1420</v>
      </c>
      <c r="D1868" s="13">
        <v>7804350003321</v>
      </c>
    </row>
    <row r="1869" spans="1:4">
      <c r="A1869" s="70" t="s">
        <v>344</v>
      </c>
      <c r="B1869" s="17" t="s">
        <v>2283</v>
      </c>
      <c r="C1869" s="16" t="s">
        <v>1421</v>
      </c>
      <c r="D1869" s="13">
        <v>7804350003925</v>
      </c>
    </row>
    <row r="1870" spans="1:4">
      <c r="A1870" s="70" t="s">
        <v>344</v>
      </c>
      <c r="B1870" s="17" t="s">
        <v>2283</v>
      </c>
      <c r="C1870" s="16" t="s">
        <v>1552</v>
      </c>
      <c r="D1870" s="13">
        <v>7804350596243</v>
      </c>
    </row>
    <row r="1871" spans="1:4">
      <c r="A1871" s="70" t="s">
        <v>344</v>
      </c>
      <c r="B1871" s="17" t="s">
        <v>2283</v>
      </c>
      <c r="C1871" s="16" t="s">
        <v>1422</v>
      </c>
      <c r="D1871" s="13">
        <v>7804350007329</v>
      </c>
    </row>
    <row r="1872" spans="1:4">
      <c r="A1872" s="70" t="s">
        <v>344</v>
      </c>
      <c r="B1872" s="17" t="s">
        <v>2283</v>
      </c>
      <c r="C1872" s="16" t="s">
        <v>2689</v>
      </c>
      <c r="D1872" s="13">
        <v>7804350008012</v>
      </c>
    </row>
    <row r="1873" spans="1:4">
      <c r="A1873" s="70" t="s">
        <v>344</v>
      </c>
      <c r="B1873" s="17" t="s">
        <v>2283</v>
      </c>
      <c r="C1873" s="16" t="s">
        <v>1423</v>
      </c>
      <c r="D1873" s="13">
        <v>7804350008036</v>
      </c>
    </row>
    <row r="1874" spans="1:4">
      <c r="A1874" s="70" t="s">
        <v>344</v>
      </c>
      <c r="B1874" s="17" t="s">
        <v>2283</v>
      </c>
      <c r="C1874" s="16" t="s">
        <v>1424</v>
      </c>
      <c r="D1874" s="13">
        <v>7804350003918</v>
      </c>
    </row>
    <row r="1875" spans="1:4">
      <c r="A1875" s="70" t="s">
        <v>344</v>
      </c>
      <c r="B1875" s="17" t="s">
        <v>2283</v>
      </c>
      <c r="C1875" s="16" t="s">
        <v>352</v>
      </c>
      <c r="D1875" s="13">
        <v>7804350002157</v>
      </c>
    </row>
    <row r="1876" spans="1:4">
      <c r="A1876" s="70" t="s">
        <v>344</v>
      </c>
      <c r="B1876" s="17" t="s">
        <v>2283</v>
      </c>
      <c r="C1876" s="16" t="s">
        <v>353</v>
      </c>
      <c r="D1876" s="13">
        <v>7804350002140</v>
      </c>
    </row>
    <row r="1877" spans="1:4">
      <c r="A1877" s="70" t="s">
        <v>344</v>
      </c>
      <c r="B1877" s="17" t="s">
        <v>2283</v>
      </c>
      <c r="C1877" s="16" t="s">
        <v>354</v>
      </c>
      <c r="D1877" s="13">
        <v>7804350596229</v>
      </c>
    </row>
    <row r="1878" spans="1:4">
      <c r="A1878" s="70" t="s">
        <v>44</v>
      </c>
      <c r="B1878" s="17" t="s">
        <v>2283</v>
      </c>
      <c r="C1878" s="16" t="s">
        <v>249</v>
      </c>
      <c r="D1878" s="13">
        <v>7804320065632</v>
      </c>
    </row>
    <row r="1879" spans="1:4">
      <c r="A1879" s="70" t="s">
        <v>44</v>
      </c>
      <c r="B1879" s="17" t="s">
        <v>2283</v>
      </c>
      <c r="C1879" s="16" t="s">
        <v>248</v>
      </c>
      <c r="D1879" s="13">
        <v>7804320322834</v>
      </c>
    </row>
    <row r="1880" spans="1:4">
      <c r="A1880" s="70" t="s">
        <v>2165</v>
      </c>
      <c r="B1880" s="17" t="s">
        <v>2283</v>
      </c>
      <c r="C1880" s="16" t="s">
        <v>2177</v>
      </c>
      <c r="D1880" s="13">
        <v>7808725405666</v>
      </c>
    </row>
    <row r="1881" spans="1:4">
      <c r="A1881" s="70" t="s">
        <v>2165</v>
      </c>
      <c r="B1881" s="17" t="s">
        <v>2283</v>
      </c>
      <c r="C1881" s="16" t="s">
        <v>2178</v>
      </c>
      <c r="D1881" s="13">
        <v>7808725400166</v>
      </c>
    </row>
    <row r="1882" spans="1:4">
      <c r="A1882" s="70" t="s">
        <v>2165</v>
      </c>
      <c r="B1882" s="17" t="s">
        <v>2283</v>
      </c>
      <c r="C1882" s="16" t="s">
        <v>2179</v>
      </c>
      <c r="D1882" s="13">
        <v>7808725400135</v>
      </c>
    </row>
    <row r="1883" spans="1:4">
      <c r="A1883" s="70" t="s">
        <v>2165</v>
      </c>
      <c r="B1883" s="17" t="s">
        <v>2283</v>
      </c>
      <c r="C1883" s="16" t="s">
        <v>2180</v>
      </c>
      <c r="D1883" s="13">
        <v>7808725401606</v>
      </c>
    </row>
    <row r="1884" spans="1:4">
      <c r="A1884" s="70" t="s">
        <v>1021</v>
      </c>
      <c r="B1884" s="17" t="s">
        <v>2283</v>
      </c>
      <c r="C1884" s="16" t="s">
        <v>1041</v>
      </c>
      <c r="D1884" s="13">
        <v>7896072902921</v>
      </c>
    </row>
    <row r="1885" spans="1:4">
      <c r="A1885" s="70" t="s">
        <v>1021</v>
      </c>
      <c r="B1885" s="17" t="s">
        <v>2283</v>
      </c>
      <c r="C1885" s="16" t="s">
        <v>1042</v>
      </c>
      <c r="D1885" s="13">
        <v>7896072902938</v>
      </c>
    </row>
    <row r="1886" spans="1:4">
      <c r="A1886" s="70" t="s">
        <v>1021</v>
      </c>
      <c r="B1886" s="17" t="s">
        <v>2283</v>
      </c>
      <c r="C1886" s="16" t="s">
        <v>1042</v>
      </c>
      <c r="D1886" s="13">
        <v>7896072910971</v>
      </c>
    </row>
    <row r="1887" spans="1:4">
      <c r="A1887" s="70" t="s">
        <v>1021</v>
      </c>
      <c r="B1887" s="17" t="s">
        <v>2283</v>
      </c>
      <c r="C1887" s="16" t="s">
        <v>2685</v>
      </c>
      <c r="D1887" s="13">
        <v>7896072903768</v>
      </c>
    </row>
    <row r="1888" spans="1:4">
      <c r="A1888" s="70" t="s">
        <v>1021</v>
      </c>
      <c r="B1888" s="17" t="s">
        <v>2283</v>
      </c>
      <c r="C1888" s="16" t="s">
        <v>1063</v>
      </c>
      <c r="D1888" s="13">
        <v>7896072902945</v>
      </c>
    </row>
    <row r="1889" spans="1:4">
      <c r="A1889" s="70" t="s">
        <v>33</v>
      </c>
      <c r="B1889" s="17" t="s">
        <v>2283</v>
      </c>
      <c r="C1889" s="16" t="s">
        <v>583</v>
      </c>
      <c r="D1889" s="13">
        <v>8410415580776</v>
      </c>
    </row>
    <row r="1890" spans="1:4">
      <c r="A1890" s="70" t="s">
        <v>1981</v>
      </c>
      <c r="B1890" s="17" t="s">
        <v>2283</v>
      </c>
      <c r="C1890" s="16" t="s">
        <v>1986</v>
      </c>
      <c r="D1890" s="13">
        <v>3500610024009</v>
      </c>
    </row>
    <row r="1891" spans="1:4">
      <c r="A1891" s="70" t="s">
        <v>1981</v>
      </c>
      <c r="B1891" s="17" t="s">
        <v>2283</v>
      </c>
      <c r="C1891" s="16" t="s">
        <v>1985</v>
      </c>
      <c r="D1891" s="13">
        <v>3263286314989</v>
      </c>
    </row>
    <row r="1892" spans="1:4">
      <c r="A1892" s="70" t="s">
        <v>57</v>
      </c>
      <c r="B1892" s="17" t="s">
        <v>2283</v>
      </c>
      <c r="C1892" s="16" t="s">
        <v>546</v>
      </c>
      <c r="D1892" s="13">
        <v>7896266111115</v>
      </c>
    </row>
    <row r="1893" spans="1:4">
      <c r="A1893" s="70" t="s">
        <v>57</v>
      </c>
      <c r="B1893" s="17" t="s">
        <v>2283</v>
      </c>
      <c r="C1893" s="16" t="s">
        <v>547</v>
      </c>
      <c r="D1893" s="13">
        <v>7896266111030</v>
      </c>
    </row>
    <row r="1894" spans="1:4">
      <c r="A1894" s="70" t="s">
        <v>57</v>
      </c>
      <c r="B1894" s="17" t="s">
        <v>2283</v>
      </c>
      <c r="C1894" s="16" t="s">
        <v>548</v>
      </c>
      <c r="D1894" s="13">
        <v>7896266111122</v>
      </c>
    </row>
    <row r="1895" spans="1:4">
      <c r="A1895" s="70" t="s">
        <v>2030</v>
      </c>
      <c r="B1895" s="17" t="s">
        <v>2283</v>
      </c>
      <c r="C1895" s="16" t="s">
        <v>786</v>
      </c>
      <c r="D1895" s="13">
        <v>7896266100430</v>
      </c>
    </row>
    <row r="1896" spans="1:4">
      <c r="A1896" s="70" t="s">
        <v>2030</v>
      </c>
      <c r="B1896" s="17" t="s">
        <v>2283</v>
      </c>
      <c r="C1896" s="16" t="s">
        <v>2031</v>
      </c>
      <c r="D1896" s="13">
        <v>7896266100423</v>
      </c>
    </row>
    <row r="1897" spans="1:4">
      <c r="A1897" s="70" t="s">
        <v>2030</v>
      </c>
      <c r="B1897" s="17" t="s">
        <v>2283</v>
      </c>
      <c r="C1897" s="16" t="s">
        <v>2032</v>
      </c>
      <c r="D1897" s="13">
        <v>7896266100522</v>
      </c>
    </row>
    <row r="1898" spans="1:4">
      <c r="A1898" s="70" t="s">
        <v>2030</v>
      </c>
      <c r="B1898" s="17" t="s">
        <v>2283</v>
      </c>
      <c r="C1898" s="16" t="s">
        <v>2033</v>
      </c>
      <c r="D1898" s="13">
        <v>7896266100454</v>
      </c>
    </row>
    <row r="1899" spans="1:4">
      <c r="A1899" s="70" t="s">
        <v>2030</v>
      </c>
      <c r="B1899" s="17" t="s">
        <v>2283</v>
      </c>
      <c r="C1899" s="16" t="s">
        <v>2034</v>
      </c>
      <c r="D1899" s="13">
        <v>7896266100416</v>
      </c>
    </row>
    <row r="1900" spans="1:4">
      <c r="A1900" s="70" t="s">
        <v>28</v>
      </c>
      <c r="B1900" s="17" t="s">
        <v>2283</v>
      </c>
      <c r="C1900" s="16" t="s">
        <v>1869</v>
      </c>
      <c r="D1900" s="13">
        <v>8001929136377</v>
      </c>
    </row>
    <row r="1901" spans="1:4">
      <c r="A1901" s="70" t="s">
        <v>28</v>
      </c>
      <c r="B1901" s="17" t="s">
        <v>2283</v>
      </c>
      <c r="C1901" s="16" t="s">
        <v>1870</v>
      </c>
      <c r="D1901" s="13">
        <v>8001929241545</v>
      </c>
    </row>
    <row r="1902" spans="1:4">
      <c r="A1902" s="70" t="s">
        <v>28</v>
      </c>
      <c r="B1902" s="17" t="s">
        <v>2283</v>
      </c>
      <c r="C1902" s="16" t="s">
        <v>1871</v>
      </c>
      <c r="D1902" s="13">
        <v>8001929136353</v>
      </c>
    </row>
    <row r="1903" spans="1:4">
      <c r="A1903" s="70" t="s">
        <v>1218</v>
      </c>
      <c r="B1903" s="17" t="s">
        <v>2283</v>
      </c>
      <c r="C1903" s="16" t="s">
        <v>1222</v>
      </c>
      <c r="D1903" s="13">
        <v>7898926684069</v>
      </c>
    </row>
    <row r="1904" spans="1:4">
      <c r="A1904" s="70" t="s">
        <v>1218</v>
      </c>
      <c r="B1904" s="17" t="s">
        <v>2283</v>
      </c>
      <c r="C1904" s="16" t="s">
        <v>1223</v>
      </c>
      <c r="D1904" s="13">
        <v>7898926684076</v>
      </c>
    </row>
    <row r="1905" spans="1:4">
      <c r="A1905" s="70" t="s">
        <v>85</v>
      </c>
      <c r="B1905" s="17" t="s">
        <v>2283</v>
      </c>
      <c r="C1905" s="16" t="s">
        <v>355</v>
      </c>
      <c r="D1905" s="13">
        <v>8004810142488</v>
      </c>
    </row>
    <row r="1906" spans="1:4">
      <c r="A1906" s="70" t="s">
        <v>85</v>
      </c>
      <c r="B1906" s="17" t="s">
        <v>2283</v>
      </c>
      <c r="C1906" s="16" t="s">
        <v>356</v>
      </c>
      <c r="D1906" s="13">
        <v>8004810143485</v>
      </c>
    </row>
    <row r="1907" spans="1:4">
      <c r="A1907" s="70" t="s">
        <v>1979</v>
      </c>
      <c r="B1907" s="17" t="s">
        <v>2283</v>
      </c>
      <c r="C1907" s="16" t="s">
        <v>1983</v>
      </c>
      <c r="D1907" s="13">
        <v>7896029279106</v>
      </c>
    </row>
    <row r="1908" spans="1:4">
      <c r="A1908" s="70" t="s">
        <v>1979</v>
      </c>
      <c r="B1908" s="17" t="s">
        <v>2283</v>
      </c>
      <c r="C1908" s="16" t="s">
        <v>2041</v>
      </c>
      <c r="D1908" s="13">
        <v>7896029279403</v>
      </c>
    </row>
    <row r="1909" spans="1:4">
      <c r="A1909" s="70" t="s">
        <v>1979</v>
      </c>
      <c r="B1909" s="17" t="s">
        <v>2283</v>
      </c>
      <c r="C1909" s="16" t="s">
        <v>1984</v>
      </c>
      <c r="D1909" s="13">
        <v>7896029279403</v>
      </c>
    </row>
    <row r="1910" spans="1:4" ht="14.25" customHeight="1">
      <c r="A1910" s="70" t="s">
        <v>1056</v>
      </c>
      <c r="B1910" s="17" t="s">
        <v>2283</v>
      </c>
      <c r="C1910" s="16" t="s">
        <v>1076</v>
      </c>
      <c r="D1910" s="13">
        <v>7896855901400</v>
      </c>
    </row>
    <row r="1911" spans="1:4">
      <c r="A1911" s="70" t="s">
        <v>1056</v>
      </c>
      <c r="B1911" s="17" t="s">
        <v>2283</v>
      </c>
      <c r="C1911" s="16" t="s">
        <v>1077</v>
      </c>
      <c r="D1911" s="13">
        <v>7896855901417</v>
      </c>
    </row>
    <row r="1912" spans="1:4">
      <c r="A1912" s="70" t="s">
        <v>2262</v>
      </c>
      <c r="B1912" s="17" t="s">
        <v>2283</v>
      </c>
      <c r="C1912" s="16" t="s">
        <v>2266</v>
      </c>
      <c r="D1912" s="13">
        <v>7896855901080</v>
      </c>
    </row>
    <row r="1913" spans="1:4">
      <c r="A1913" s="70" t="s">
        <v>2262</v>
      </c>
      <c r="B1913" s="17" t="s">
        <v>2283</v>
      </c>
      <c r="C1913" s="16" t="s">
        <v>2268</v>
      </c>
      <c r="D1913" s="13">
        <v>7896855901073</v>
      </c>
    </row>
    <row r="1914" spans="1:4">
      <c r="A1914" s="70" t="s">
        <v>635</v>
      </c>
      <c r="B1914" s="17" t="s">
        <v>2283</v>
      </c>
      <c r="C1914" s="16" t="s">
        <v>647</v>
      </c>
      <c r="D1914" s="13">
        <v>7896855903039</v>
      </c>
    </row>
    <row r="1915" spans="1:4">
      <c r="A1915" s="70" t="s">
        <v>635</v>
      </c>
      <c r="B1915" s="17" t="s">
        <v>2283</v>
      </c>
      <c r="C1915" s="16" t="s">
        <v>648</v>
      </c>
      <c r="D1915" s="13">
        <v>7896855903046</v>
      </c>
    </row>
    <row r="1916" spans="1:4">
      <c r="A1916" s="70" t="s">
        <v>635</v>
      </c>
      <c r="B1916" s="17" t="s">
        <v>2283</v>
      </c>
      <c r="C1916" s="16" t="s">
        <v>649</v>
      </c>
      <c r="D1916" s="13">
        <v>7896855903015</v>
      </c>
    </row>
    <row r="1917" spans="1:4">
      <c r="A1917" s="70" t="s">
        <v>635</v>
      </c>
      <c r="B1917" s="17" t="s">
        <v>2283</v>
      </c>
      <c r="C1917" s="16" t="s">
        <v>650</v>
      </c>
      <c r="D1917" s="13">
        <v>7896855903022</v>
      </c>
    </row>
    <row r="1918" spans="1:4">
      <c r="A1918" s="70" t="s">
        <v>1855</v>
      </c>
      <c r="B1918" s="17" t="s">
        <v>2283</v>
      </c>
      <c r="C1918" s="16" t="s">
        <v>1857</v>
      </c>
      <c r="D1918" s="13">
        <v>3263285153381</v>
      </c>
    </row>
    <row r="1919" spans="1:4">
      <c r="A1919" s="70" t="s">
        <v>1855</v>
      </c>
      <c r="B1919" s="17" t="s">
        <v>2283</v>
      </c>
      <c r="C1919" s="16" t="s">
        <v>1858</v>
      </c>
      <c r="D1919" s="13">
        <v>3263286518288</v>
      </c>
    </row>
    <row r="1920" spans="1:4">
      <c r="A1920" s="70" t="s">
        <v>2815</v>
      </c>
      <c r="B1920" s="17" t="s">
        <v>2283</v>
      </c>
      <c r="C1920" s="16" t="s">
        <v>429</v>
      </c>
      <c r="D1920" s="13">
        <v>5604424108011</v>
      </c>
    </row>
    <row r="1921" spans="1:4">
      <c r="A1921" s="70" t="s">
        <v>2815</v>
      </c>
      <c r="B1921" s="17" t="s">
        <v>2283</v>
      </c>
      <c r="C1921" s="16" t="s">
        <v>2740</v>
      </c>
      <c r="D1921" s="13">
        <v>5604424162006</v>
      </c>
    </row>
    <row r="1922" spans="1:4">
      <c r="A1922" s="70" t="s">
        <v>2815</v>
      </c>
      <c r="B1922" s="17" t="s">
        <v>2283</v>
      </c>
      <c r="C1922" s="16" t="s">
        <v>2741</v>
      </c>
      <c r="D1922" s="13">
        <v>5604885099415</v>
      </c>
    </row>
    <row r="1923" spans="1:4">
      <c r="A1923" s="70" t="s">
        <v>2815</v>
      </c>
      <c r="B1923" s="17" t="s">
        <v>2283</v>
      </c>
      <c r="C1923" s="16" t="s">
        <v>2742</v>
      </c>
      <c r="D1923" s="13">
        <v>5604424107052</v>
      </c>
    </row>
    <row r="1924" spans="1:4">
      <c r="A1924" s="70" t="s">
        <v>876</v>
      </c>
      <c r="B1924" s="17" t="s">
        <v>2283</v>
      </c>
      <c r="C1924" s="16" t="s">
        <v>913</v>
      </c>
      <c r="D1924" s="13">
        <v>7896266100546</v>
      </c>
    </row>
    <row r="1925" spans="1:4">
      <c r="A1925" s="70" t="s">
        <v>876</v>
      </c>
      <c r="B1925" s="17" t="s">
        <v>2283</v>
      </c>
      <c r="C1925" s="16" t="s">
        <v>933</v>
      </c>
      <c r="D1925" s="13">
        <v>7896266100539</v>
      </c>
    </row>
    <row r="1926" spans="1:4">
      <c r="A1926" s="70" t="s">
        <v>876</v>
      </c>
      <c r="B1926" s="17" t="s">
        <v>2283</v>
      </c>
      <c r="C1926" s="16" t="s">
        <v>934</v>
      </c>
      <c r="D1926" s="13">
        <v>7896266100553</v>
      </c>
    </row>
    <row r="1927" spans="1:4">
      <c r="A1927" s="70" t="s">
        <v>1200</v>
      </c>
      <c r="B1927" s="17" t="s">
        <v>2283</v>
      </c>
      <c r="C1927" s="16" t="s">
        <v>1208</v>
      </c>
      <c r="D1927" s="13">
        <v>7896029205013</v>
      </c>
    </row>
    <row r="1928" spans="1:4">
      <c r="A1928" s="70" t="s">
        <v>1200</v>
      </c>
      <c r="B1928" s="17" t="s">
        <v>2283</v>
      </c>
      <c r="C1928" s="16" t="s">
        <v>1209</v>
      </c>
      <c r="D1928" s="13">
        <v>7896029205211</v>
      </c>
    </row>
    <row r="1929" spans="1:4">
      <c r="A1929" s="70" t="s">
        <v>1200</v>
      </c>
      <c r="B1929" s="17" t="s">
        <v>2283</v>
      </c>
      <c r="C1929" s="16" t="s">
        <v>1210</v>
      </c>
      <c r="D1929" s="13">
        <v>7896029205709</v>
      </c>
    </row>
    <row r="1930" spans="1:4">
      <c r="A1930" s="70" t="s">
        <v>1200</v>
      </c>
      <c r="B1930" s="17" t="s">
        <v>2283</v>
      </c>
      <c r="C1930" s="16" t="s">
        <v>1211</v>
      </c>
      <c r="D1930" s="13">
        <v>7896029216101</v>
      </c>
    </row>
    <row r="1931" spans="1:4">
      <c r="A1931" s="70" t="s">
        <v>1200</v>
      </c>
      <c r="B1931" s="17" t="s">
        <v>2283</v>
      </c>
      <c r="C1931" s="16" t="s">
        <v>1212</v>
      </c>
      <c r="D1931" s="13">
        <v>7896029215401</v>
      </c>
    </row>
    <row r="1932" spans="1:4">
      <c r="A1932" s="70" t="s">
        <v>3493</v>
      </c>
      <c r="B1932" s="17" t="s">
        <v>2283</v>
      </c>
      <c r="C1932" s="16" t="s">
        <v>566</v>
      </c>
      <c r="D1932" s="13">
        <v>7312040017034</v>
      </c>
    </row>
    <row r="1933" spans="1:4">
      <c r="A1933" s="70" t="s">
        <v>1988</v>
      </c>
      <c r="B1933" s="17" t="s">
        <v>2283</v>
      </c>
      <c r="C1933" s="16" t="s">
        <v>1992</v>
      </c>
      <c r="D1933" s="13">
        <v>88076161863</v>
      </c>
    </row>
    <row r="1934" spans="1:4">
      <c r="A1934" s="70" t="s">
        <v>1626</v>
      </c>
      <c r="B1934" s="17" t="s">
        <v>2283</v>
      </c>
      <c r="C1934" s="16" t="s">
        <v>1629</v>
      </c>
      <c r="D1934" s="13">
        <v>6412700021027</v>
      </c>
    </row>
    <row r="1935" spans="1:4">
      <c r="A1935" s="70" t="s">
        <v>89</v>
      </c>
      <c r="B1935" s="17" t="s">
        <v>2283</v>
      </c>
      <c r="C1935" s="16" t="s">
        <v>250</v>
      </c>
      <c r="D1935" s="13">
        <v>7891050000903</v>
      </c>
    </row>
    <row r="1936" spans="1:4">
      <c r="A1936" s="70" t="s">
        <v>1700</v>
      </c>
      <c r="B1936" s="17" t="s">
        <v>2283</v>
      </c>
      <c r="C1936" s="16" t="s">
        <v>1882</v>
      </c>
      <c r="D1936" s="13">
        <v>7893218000473</v>
      </c>
    </row>
    <row r="1937" spans="1:4">
      <c r="A1937" s="70" t="s">
        <v>2902</v>
      </c>
      <c r="B1937" s="17" t="s">
        <v>2283</v>
      </c>
      <c r="C1937" s="16" t="s">
        <v>1678</v>
      </c>
      <c r="D1937" s="13">
        <v>7896023012471</v>
      </c>
    </row>
    <row r="1938" spans="1:4">
      <c r="A1938" s="70" t="s">
        <v>568</v>
      </c>
      <c r="B1938" s="17" t="s">
        <v>2281</v>
      </c>
      <c r="C1938" s="16" t="s">
        <v>573</v>
      </c>
      <c r="D1938" s="13">
        <v>7896019607636</v>
      </c>
    </row>
    <row r="1939" spans="1:4">
      <c r="A1939" s="70" t="s">
        <v>2022</v>
      </c>
      <c r="B1939" s="17" t="s">
        <v>2283</v>
      </c>
      <c r="C1939" s="16" t="s">
        <v>1632</v>
      </c>
      <c r="D1939" s="13">
        <v>5099873006368</v>
      </c>
    </row>
    <row r="1940" spans="1:4">
      <c r="A1940" s="70" t="s">
        <v>2022</v>
      </c>
      <c r="B1940" s="17" t="s">
        <v>2283</v>
      </c>
      <c r="C1940" s="16" t="s">
        <v>1633</v>
      </c>
      <c r="D1940" s="13">
        <v>82184200698</v>
      </c>
    </row>
    <row r="1941" spans="1:4">
      <c r="A1941" s="70" t="s">
        <v>2022</v>
      </c>
      <c r="B1941" s="17" t="s">
        <v>2283</v>
      </c>
      <c r="C1941" s="16" t="s">
        <v>1631</v>
      </c>
      <c r="D1941" s="13">
        <v>82184004364</v>
      </c>
    </row>
    <row r="1942" spans="1:4">
      <c r="A1942" s="70" t="s">
        <v>2022</v>
      </c>
      <c r="B1942" s="17" t="s">
        <v>2283</v>
      </c>
      <c r="C1942" s="16" t="s">
        <v>1633</v>
      </c>
      <c r="D1942" s="13">
        <v>82184090442</v>
      </c>
    </row>
    <row r="1943" spans="1:4">
      <c r="A1943" s="70" t="s">
        <v>1635</v>
      </c>
      <c r="B1943" s="17" t="s">
        <v>2283</v>
      </c>
      <c r="C1943" s="16" t="s">
        <v>1631</v>
      </c>
      <c r="D1943" s="13">
        <v>82184004364</v>
      </c>
    </row>
    <row r="1944" spans="1:4">
      <c r="A1944" s="70" t="s">
        <v>1635</v>
      </c>
      <c r="B1944" s="17" t="s">
        <v>2283</v>
      </c>
      <c r="C1944" s="16" t="s">
        <v>1633</v>
      </c>
      <c r="D1944" s="13">
        <v>82184200698</v>
      </c>
    </row>
    <row r="1945" spans="1:4">
      <c r="A1945" s="70" t="s">
        <v>1635</v>
      </c>
      <c r="B1945" s="17" t="s">
        <v>2283</v>
      </c>
      <c r="C1945" s="16" t="s">
        <v>1632</v>
      </c>
      <c r="D1945" s="13">
        <v>5099873006368</v>
      </c>
    </row>
    <row r="1946" spans="1:4">
      <c r="A1946" s="70" t="s">
        <v>1635</v>
      </c>
      <c r="B1946" s="17" t="s">
        <v>2283</v>
      </c>
      <c r="C1946" s="16" t="s">
        <v>1633</v>
      </c>
      <c r="D1946" s="13">
        <v>82184090442</v>
      </c>
    </row>
    <row r="1947" spans="1:4">
      <c r="A1947" s="70" t="s">
        <v>1652</v>
      </c>
      <c r="B1947" s="17" t="s">
        <v>2283</v>
      </c>
      <c r="C1947" s="16" t="s">
        <v>1631</v>
      </c>
      <c r="D1947" s="13">
        <v>82184004364</v>
      </c>
    </row>
    <row r="1948" spans="1:4">
      <c r="A1948" s="70" t="s">
        <v>1652</v>
      </c>
      <c r="B1948" s="17" t="s">
        <v>2283</v>
      </c>
      <c r="C1948" s="16" t="s">
        <v>1632</v>
      </c>
      <c r="D1948" s="13">
        <v>5099873006368</v>
      </c>
    </row>
    <row r="1949" spans="1:4">
      <c r="A1949" s="70" t="s">
        <v>1652</v>
      </c>
      <c r="B1949" s="17" t="s">
        <v>2283</v>
      </c>
      <c r="C1949" s="16" t="s">
        <v>1633</v>
      </c>
      <c r="D1949" s="13">
        <v>82184090442</v>
      </c>
    </row>
    <row r="1950" spans="1:4">
      <c r="A1950" s="70" t="s">
        <v>1652</v>
      </c>
      <c r="B1950" s="17" t="s">
        <v>2283</v>
      </c>
      <c r="C1950" s="16" t="s">
        <v>1650</v>
      </c>
      <c r="D1950" s="13">
        <v>82184000328</v>
      </c>
    </row>
    <row r="1951" spans="1:4">
      <c r="A1951" s="70" t="s">
        <v>1652</v>
      </c>
      <c r="B1951" s="17" t="s">
        <v>2283</v>
      </c>
      <c r="C1951" s="16" t="s">
        <v>1633</v>
      </c>
      <c r="D1951" s="13">
        <v>82184200698</v>
      </c>
    </row>
    <row r="1952" spans="1:4">
      <c r="A1952" s="70" t="s">
        <v>2077</v>
      </c>
      <c r="B1952" s="17" t="s">
        <v>2283</v>
      </c>
      <c r="C1952" s="16" t="s">
        <v>1633</v>
      </c>
      <c r="D1952" s="13">
        <v>82184200698</v>
      </c>
    </row>
    <row r="1953" spans="1:4">
      <c r="A1953" s="70" t="s">
        <v>2077</v>
      </c>
      <c r="B1953" s="17" t="s">
        <v>2283</v>
      </c>
      <c r="C1953" s="16" t="s">
        <v>1632</v>
      </c>
      <c r="D1953" s="13">
        <v>5099873006368</v>
      </c>
    </row>
    <row r="1954" spans="1:4">
      <c r="A1954" s="70" t="s">
        <v>2077</v>
      </c>
      <c r="B1954" s="17" t="s">
        <v>2283</v>
      </c>
      <c r="C1954" s="16" t="s">
        <v>1633</v>
      </c>
      <c r="D1954" s="13">
        <v>82184090442</v>
      </c>
    </row>
    <row r="1955" spans="1:4">
      <c r="A1955" s="70" t="s">
        <v>1731</v>
      </c>
      <c r="B1955" s="17" t="s">
        <v>2283</v>
      </c>
      <c r="C1955" s="16" t="s">
        <v>1650</v>
      </c>
      <c r="D1955" s="13">
        <v>82184000328</v>
      </c>
    </row>
    <row r="1956" spans="1:4">
      <c r="A1956" s="70" t="s">
        <v>1731</v>
      </c>
      <c r="B1956" s="17" t="s">
        <v>2283</v>
      </c>
      <c r="C1956" s="16" t="s">
        <v>1633</v>
      </c>
      <c r="D1956" s="13">
        <v>82184200698</v>
      </c>
    </row>
    <row r="1957" spans="1:4">
      <c r="A1957" s="70" t="s">
        <v>1731</v>
      </c>
      <c r="B1957" s="17" t="s">
        <v>2283</v>
      </c>
      <c r="C1957" s="16" t="s">
        <v>1739</v>
      </c>
      <c r="D1957" s="13">
        <v>82184090442</v>
      </c>
    </row>
    <row r="1958" spans="1:4">
      <c r="A1958" s="70" t="s">
        <v>6</v>
      </c>
      <c r="B1958" s="17" t="s">
        <v>2283</v>
      </c>
      <c r="C1958" s="16" t="s">
        <v>1793</v>
      </c>
      <c r="D1958" s="13">
        <v>5010106113936</v>
      </c>
    </row>
    <row r="1959" spans="1:4">
      <c r="A1959" s="70" t="s">
        <v>6</v>
      </c>
      <c r="B1959" s="17" t="s">
        <v>2283</v>
      </c>
      <c r="C1959" s="16" t="s">
        <v>1793</v>
      </c>
      <c r="D1959" s="13">
        <v>5010106110249</v>
      </c>
    </row>
    <row r="1960" spans="1:4">
      <c r="A1960" s="70" t="s">
        <v>6</v>
      </c>
      <c r="B1960" s="17" t="s">
        <v>2283</v>
      </c>
      <c r="C1960" s="16" t="s">
        <v>1793</v>
      </c>
      <c r="D1960" s="13">
        <v>5010106110256</v>
      </c>
    </row>
    <row r="1961" spans="1:4">
      <c r="A1961" s="70" t="s">
        <v>6</v>
      </c>
      <c r="B1961" s="17" t="s">
        <v>2283</v>
      </c>
      <c r="C1961" s="16" t="s">
        <v>1803</v>
      </c>
      <c r="D1961" s="13">
        <v>5010106113554</v>
      </c>
    </row>
    <row r="1962" spans="1:4">
      <c r="A1962" s="70" t="s">
        <v>25</v>
      </c>
      <c r="B1962" s="17" t="s">
        <v>2283</v>
      </c>
      <c r="C1962" s="16" t="s">
        <v>998</v>
      </c>
      <c r="D1962" s="13">
        <v>5010106111956</v>
      </c>
    </row>
    <row r="1963" spans="1:4">
      <c r="A1963" s="70" t="s">
        <v>25</v>
      </c>
      <c r="B1963" s="17" t="s">
        <v>2283</v>
      </c>
      <c r="C1963" s="16" t="s">
        <v>998</v>
      </c>
      <c r="D1963" s="13">
        <v>5010106111925</v>
      </c>
    </row>
    <row r="1964" spans="1:4">
      <c r="A1964" s="70" t="s">
        <v>1782</v>
      </c>
      <c r="B1964" s="17" t="s">
        <v>2283</v>
      </c>
      <c r="C1964" s="16" t="s">
        <v>979</v>
      </c>
      <c r="D1964" s="13">
        <v>80432400432</v>
      </c>
    </row>
    <row r="1965" spans="1:4">
      <c r="A1965" s="70" t="s">
        <v>1953</v>
      </c>
      <c r="B1965" s="17" t="s">
        <v>2283</v>
      </c>
      <c r="C1965" s="16" t="s">
        <v>1957</v>
      </c>
      <c r="D1965" s="13">
        <v>5010103800457</v>
      </c>
    </row>
    <row r="1966" spans="1:4">
      <c r="A1966" s="70" t="s">
        <v>1880</v>
      </c>
      <c r="B1966" s="17" t="s">
        <v>2283</v>
      </c>
      <c r="C1966" s="16" t="s">
        <v>1883</v>
      </c>
      <c r="D1966" s="13">
        <v>5000267023601</v>
      </c>
    </row>
    <row r="1967" spans="1:4">
      <c r="A1967" s="70" t="s">
        <v>1880</v>
      </c>
      <c r="B1967" s="17" t="s">
        <v>2283</v>
      </c>
      <c r="C1967" s="16" t="s">
        <v>1883</v>
      </c>
      <c r="D1967" s="13">
        <v>5000267023625</v>
      </c>
    </row>
    <row r="1968" spans="1:4">
      <c r="A1968" s="70" t="s">
        <v>1865</v>
      </c>
      <c r="B1968" s="17" t="s">
        <v>2283</v>
      </c>
      <c r="C1968" s="16" t="s">
        <v>1872</v>
      </c>
      <c r="D1968" s="13">
        <v>5000267013602</v>
      </c>
    </row>
    <row r="1969" spans="1:4">
      <c r="A1969" s="70" t="s">
        <v>1865</v>
      </c>
      <c r="B1969" s="17" t="s">
        <v>2283</v>
      </c>
      <c r="C1969" s="16" t="s">
        <v>1872</v>
      </c>
      <c r="D1969" s="13">
        <v>5000267013626</v>
      </c>
    </row>
    <row r="1970" spans="1:4">
      <c r="A1970" s="70" t="s">
        <v>1879</v>
      </c>
      <c r="B1970" s="17" t="s">
        <v>2283</v>
      </c>
      <c r="C1970" s="16" t="s">
        <v>1881</v>
      </c>
      <c r="D1970" s="13">
        <v>5000265001335</v>
      </c>
    </row>
    <row r="1971" spans="1:4">
      <c r="A1971" s="70" t="s">
        <v>1879</v>
      </c>
      <c r="B1971" s="17" t="s">
        <v>2283</v>
      </c>
      <c r="C1971" s="16" t="s">
        <v>1978</v>
      </c>
      <c r="D1971" s="13">
        <v>5000265090056</v>
      </c>
    </row>
    <row r="1972" spans="1:4">
      <c r="A1972" s="70" t="s">
        <v>1022</v>
      </c>
      <c r="B1972" s="17" t="s">
        <v>2283</v>
      </c>
      <c r="C1972" s="16" t="s">
        <v>1052</v>
      </c>
      <c r="D1972" s="13">
        <v>7896072911800</v>
      </c>
    </row>
    <row r="1973" spans="1:4">
      <c r="A1973" s="70" t="s">
        <v>2330</v>
      </c>
      <c r="B1973" s="13" t="s">
        <v>2287</v>
      </c>
      <c r="C1973" s="16" t="s">
        <v>2331</v>
      </c>
      <c r="D1973" s="13">
        <v>7898955019757</v>
      </c>
    </row>
    <row r="1974" spans="1:4">
      <c r="A1974" s="70" t="s">
        <v>2330</v>
      </c>
      <c r="B1974" s="13" t="s">
        <v>2287</v>
      </c>
      <c r="C1974" s="16" t="s">
        <v>2332</v>
      </c>
      <c r="D1974" s="13">
        <v>7898961930749</v>
      </c>
    </row>
    <row r="1975" spans="1:4">
      <c r="A1975" s="70" t="s">
        <v>2330</v>
      </c>
      <c r="B1975" s="13" t="s">
        <v>2287</v>
      </c>
      <c r="C1975" s="16" t="s">
        <v>2333</v>
      </c>
      <c r="D1975" s="13">
        <v>7898955019733</v>
      </c>
    </row>
    <row r="1976" spans="1:4">
      <c r="A1976" s="70" t="s">
        <v>2330</v>
      </c>
      <c r="B1976" s="13" t="s">
        <v>2287</v>
      </c>
      <c r="C1976" s="16" t="s">
        <v>2334</v>
      </c>
      <c r="D1976" s="13">
        <v>7898955019054</v>
      </c>
    </row>
    <row r="1977" spans="1:4">
      <c r="A1977" s="70" t="s">
        <v>2330</v>
      </c>
      <c r="B1977" s="13" t="s">
        <v>2287</v>
      </c>
      <c r="C1977" s="16" t="s">
        <v>2335</v>
      </c>
      <c r="D1977" s="13">
        <v>7898955019382</v>
      </c>
    </row>
    <row r="1978" spans="1:4">
      <c r="A1978" s="70" t="s">
        <v>2329</v>
      </c>
      <c r="B1978" s="13" t="s">
        <v>2283</v>
      </c>
      <c r="C1978" s="16" t="s">
        <v>2336</v>
      </c>
      <c r="D1978" s="13">
        <v>7893218003603</v>
      </c>
    </row>
    <row r="1979" spans="1:4">
      <c r="A1979" s="70" t="s">
        <v>2329</v>
      </c>
      <c r="B1979" s="13" t="s">
        <v>2283</v>
      </c>
      <c r="C1979" s="72" t="s">
        <v>291</v>
      </c>
      <c r="D1979" s="75">
        <v>7893218003573</v>
      </c>
    </row>
    <row r="1980" spans="1:4">
      <c r="A1980" s="10" t="s">
        <v>2574</v>
      </c>
      <c r="B1980" s="17" t="s">
        <v>2285</v>
      </c>
      <c r="C1980" s="16" t="s">
        <v>2337</v>
      </c>
      <c r="D1980" s="13">
        <v>7896007552429</v>
      </c>
    </row>
    <row r="1981" spans="1:4">
      <c r="A1981" s="10" t="s">
        <v>2574</v>
      </c>
      <c r="B1981" s="17" t="s">
        <v>2285</v>
      </c>
      <c r="C1981" s="16" t="s">
        <v>2338</v>
      </c>
      <c r="D1981" s="13">
        <v>7896007552412</v>
      </c>
    </row>
    <row r="1982" spans="1:4">
      <c r="A1982" s="10" t="s">
        <v>2574</v>
      </c>
      <c r="B1982" s="17" t="s">
        <v>2285</v>
      </c>
      <c r="C1982" s="16" t="s">
        <v>2339</v>
      </c>
      <c r="D1982" s="13">
        <v>7896007552405</v>
      </c>
    </row>
    <row r="1983" spans="1:4">
      <c r="A1983" s="10" t="s">
        <v>2574</v>
      </c>
      <c r="B1983" s="17" t="s">
        <v>2285</v>
      </c>
      <c r="C1983" s="16" t="s">
        <v>1556</v>
      </c>
      <c r="D1983" s="13">
        <v>7896007550227</v>
      </c>
    </row>
    <row r="1984" spans="1:4">
      <c r="A1984" s="10" t="s">
        <v>2574</v>
      </c>
      <c r="B1984" s="17" t="s">
        <v>2285</v>
      </c>
      <c r="C1984" s="16" t="s">
        <v>1557</v>
      </c>
      <c r="D1984" s="13">
        <v>7896007550234</v>
      </c>
    </row>
    <row r="1985" spans="1:4">
      <c r="A1985" s="70" t="s">
        <v>2340</v>
      </c>
      <c r="B1985" s="13" t="s">
        <v>2283</v>
      </c>
      <c r="C1985" s="16" t="s">
        <v>2341</v>
      </c>
      <c r="D1985" s="13">
        <v>7893218003733</v>
      </c>
    </row>
    <row r="1986" spans="1:4">
      <c r="A1986" s="70" t="s">
        <v>2340</v>
      </c>
      <c r="B1986" s="13" t="s">
        <v>2283</v>
      </c>
      <c r="C1986" s="16" t="s">
        <v>2342</v>
      </c>
      <c r="D1986" s="13">
        <v>7893218003726</v>
      </c>
    </row>
    <row r="1987" spans="1:4">
      <c r="A1987" s="37" t="s">
        <v>3350</v>
      </c>
      <c r="B1987" s="13" t="s">
        <v>2281</v>
      </c>
      <c r="C1987" s="16" t="s">
        <v>3354</v>
      </c>
      <c r="D1987" s="13">
        <v>7898215157915</v>
      </c>
    </row>
    <row r="1988" spans="1:4">
      <c r="A1988" s="70" t="s">
        <v>2518</v>
      </c>
      <c r="B1988" s="17" t="s">
        <v>2284</v>
      </c>
      <c r="C1988" s="16" t="s">
        <v>2343</v>
      </c>
      <c r="D1988" s="13">
        <v>7896114990220</v>
      </c>
    </row>
    <row r="1989" spans="1:4">
      <c r="A1989" s="70" t="s">
        <v>2518</v>
      </c>
      <c r="B1989" s="17" t="s">
        <v>2284</v>
      </c>
      <c r="C1989" s="16" t="s">
        <v>2344</v>
      </c>
      <c r="D1989" s="13">
        <v>7896114990213</v>
      </c>
    </row>
    <row r="1990" spans="1:4">
      <c r="A1990" s="70" t="s">
        <v>2346</v>
      </c>
      <c r="B1990" s="13" t="s">
        <v>2287</v>
      </c>
      <c r="C1990" s="16" t="s">
        <v>2347</v>
      </c>
      <c r="D1990" s="13">
        <v>7909510366107</v>
      </c>
    </row>
    <row r="1991" spans="1:4">
      <c r="A1991" s="10" t="s">
        <v>2516</v>
      </c>
      <c r="B1991" s="13" t="s">
        <v>2284</v>
      </c>
      <c r="C1991" s="16" t="s">
        <v>2314</v>
      </c>
      <c r="D1991" s="13">
        <v>7896114990190</v>
      </c>
    </row>
    <row r="1992" spans="1:4">
      <c r="A1992" s="10" t="s">
        <v>2516</v>
      </c>
      <c r="B1992" s="13" t="s">
        <v>2284</v>
      </c>
      <c r="C1992" s="16" t="s">
        <v>2313</v>
      </c>
      <c r="D1992" s="13">
        <v>7896114990206</v>
      </c>
    </row>
    <row r="1993" spans="1:4">
      <c r="A1993" s="70" t="s">
        <v>2345</v>
      </c>
      <c r="B1993" s="13" t="s">
        <v>2284</v>
      </c>
      <c r="C1993" s="16" t="s">
        <v>2348</v>
      </c>
      <c r="D1993" s="13">
        <v>7896036090909</v>
      </c>
    </row>
    <row r="1994" spans="1:4">
      <c r="A1994" s="70" t="s">
        <v>2345</v>
      </c>
      <c r="B1994" s="13" t="s">
        <v>2284</v>
      </c>
      <c r="C1994" s="16" t="s">
        <v>2349</v>
      </c>
      <c r="D1994" s="13">
        <v>7896036090893</v>
      </c>
    </row>
    <row r="1995" spans="1:4">
      <c r="A1995" s="70" t="s">
        <v>2345</v>
      </c>
      <c r="B1995" s="13" t="s">
        <v>2284</v>
      </c>
      <c r="C1995" s="16" t="s">
        <v>2350</v>
      </c>
      <c r="D1995" s="13">
        <v>7896036094471</v>
      </c>
    </row>
    <row r="1996" spans="1:4">
      <c r="A1996" s="70" t="s">
        <v>2345</v>
      </c>
      <c r="B1996" s="13" t="s">
        <v>2284</v>
      </c>
      <c r="C1996" s="16" t="s">
        <v>2351</v>
      </c>
      <c r="D1996" s="13">
        <v>7896036093467</v>
      </c>
    </row>
    <row r="1997" spans="1:4">
      <c r="A1997" s="70" t="s">
        <v>2345</v>
      </c>
      <c r="B1997" s="13" t="s">
        <v>2284</v>
      </c>
      <c r="C1997" s="16" t="s">
        <v>2352</v>
      </c>
      <c r="D1997" s="13">
        <v>7896036094495</v>
      </c>
    </row>
    <row r="1998" spans="1:4">
      <c r="A1998" s="70" t="s">
        <v>2345</v>
      </c>
      <c r="B1998" s="13" t="s">
        <v>2284</v>
      </c>
      <c r="C1998" s="16" t="s">
        <v>2353</v>
      </c>
      <c r="D1998" s="13">
        <v>7896036095874</v>
      </c>
    </row>
    <row r="1999" spans="1:4">
      <c r="A1999" s="70" t="s">
        <v>2345</v>
      </c>
      <c r="B1999" s="13" t="s">
        <v>2284</v>
      </c>
      <c r="C1999" s="16" t="s">
        <v>2354</v>
      </c>
      <c r="D1999" s="13">
        <v>7896036093450</v>
      </c>
    </row>
    <row r="2000" spans="1:4">
      <c r="A2000" s="70" t="s">
        <v>2345</v>
      </c>
      <c r="B2000" s="13" t="s">
        <v>2284</v>
      </c>
      <c r="C2000" s="16" t="s">
        <v>2355</v>
      </c>
      <c r="D2000" s="13">
        <v>7896036090879</v>
      </c>
    </row>
    <row r="2001" spans="1:4">
      <c r="A2001" s="70" t="s">
        <v>2345</v>
      </c>
      <c r="B2001" s="13" t="s">
        <v>2284</v>
      </c>
      <c r="C2001" s="16" t="s">
        <v>2356</v>
      </c>
      <c r="D2001" s="13">
        <v>7896036097458</v>
      </c>
    </row>
    <row r="2002" spans="1:4">
      <c r="A2002" s="10" t="s">
        <v>2358</v>
      </c>
      <c r="B2002" s="13" t="s">
        <v>2285</v>
      </c>
      <c r="C2002" s="16" t="s">
        <v>2360</v>
      </c>
      <c r="D2002" s="13">
        <v>7891172432804</v>
      </c>
    </row>
    <row r="2003" spans="1:4">
      <c r="A2003" s="70" t="s">
        <v>71</v>
      </c>
      <c r="B2003" s="13" t="s">
        <v>2281</v>
      </c>
      <c r="C2003" s="16" t="s">
        <v>2361</v>
      </c>
      <c r="D2003" s="13">
        <v>7891032016106</v>
      </c>
    </row>
    <row r="2004" spans="1:4">
      <c r="A2004" s="70" t="s">
        <v>2357</v>
      </c>
      <c r="B2004" s="13" t="s">
        <v>2284</v>
      </c>
      <c r="C2004" s="16" t="s">
        <v>509</v>
      </c>
      <c r="D2004" s="13">
        <v>7896114902001</v>
      </c>
    </row>
    <row r="2005" spans="1:4">
      <c r="A2005" s="70" t="s">
        <v>2357</v>
      </c>
      <c r="B2005" s="13" t="s">
        <v>2284</v>
      </c>
      <c r="C2005" s="16" t="s">
        <v>509</v>
      </c>
      <c r="D2005" s="13">
        <v>7896114900038</v>
      </c>
    </row>
    <row r="2006" spans="1:4">
      <c r="A2006" s="70" t="s">
        <v>2357</v>
      </c>
      <c r="B2006" s="13" t="s">
        <v>2284</v>
      </c>
      <c r="C2006" s="16" t="s">
        <v>2314</v>
      </c>
      <c r="D2006" s="13">
        <v>7896114990190</v>
      </c>
    </row>
    <row r="2007" spans="1:4">
      <c r="A2007" s="70" t="s">
        <v>2362</v>
      </c>
      <c r="B2007" s="13" t="s">
        <v>2287</v>
      </c>
      <c r="C2007" s="16" t="s">
        <v>2363</v>
      </c>
      <c r="D2007" s="13">
        <v>7896029092460</v>
      </c>
    </row>
    <row r="2008" spans="1:4">
      <c r="A2008" s="70" t="s">
        <v>2362</v>
      </c>
      <c r="B2008" s="13" t="s">
        <v>2287</v>
      </c>
      <c r="C2008" s="16" t="s">
        <v>2364</v>
      </c>
      <c r="D2008" s="13">
        <v>7896029092224</v>
      </c>
    </row>
    <row r="2009" spans="1:4">
      <c r="A2009" s="70" t="s">
        <v>2362</v>
      </c>
      <c r="B2009" s="13" t="s">
        <v>2287</v>
      </c>
      <c r="C2009" s="16" t="s">
        <v>2365</v>
      </c>
      <c r="D2009" s="13">
        <v>7896029092347</v>
      </c>
    </row>
    <row r="2010" spans="1:4">
      <c r="A2010" s="70" t="s">
        <v>2362</v>
      </c>
      <c r="B2010" s="13" t="s">
        <v>2287</v>
      </c>
      <c r="C2010" s="16" t="s">
        <v>2366</v>
      </c>
      <c r="D2010" s="13">
        <v>7896029008713</v>
      </c>
    </row>
    <row r="2011" spans="1:4">
      <c r="A2011" s="70" t="s">
        <v>2362</v>
      </c>
      <c r="B2011" s="13" t="s">
        <v>2287</v>
      </c>
      <c r="C2011" s="16" t="s">
        <v>2367</v>
      </c>
      <c r="D2011" s="13">
        <v>7896029091906</v>
      </c>
    </row>
    <row r="2012" spans="1:4">
      <c r="A2012" s="70" t="s">
        <v>2362</v>
      </c>
      <c r="B2012" s="13" t="s">
        <v>2287</v>
      </c>
      <c r="C2012" s="16" t="s">
        <v>2370</v>
      </c>
      <c r="D2012" s="13">
        <v>7896029008683</v>
      </c>
    </row>
    <row r="2013" spans="1:4">
      <c r="A2013" s="70" t="s">
        <v>2362</v>
      </c>
      <c r="B2013" s="13" t="s">
        <v>2287</v>
      </c>
      <c r="C2013" s="16" t="s">
        <v>2368</v>
      </c>
      <c r="D2013" s="13">
        <v>7896029092415</v>
      </c>
    </row>
    <row r="2014" spans="1:4">
      <c r="A2014" s="70" t="s">
        <v>2362</v>
      </c>
      <c r="B2014" s="13" t="s">
        <v>2287</v>
      </c>
      <c r="C2014" s="16" t="s">
        <v>2369</v>
      </c>
      <c r="D2014" s="13">
        <v>7896029092439</v>
      </c>
    </row>
    <row r="2015" spans="1:4">
      <c r="A2015" s="70" t="s">
        <v>53</v>
      </c>
      <c r="B2015" s="17" t="s">
        <v>2286</v>
      </c>
      <c r="C2015" s="16" t="s">
        <v>2359</v>
      </c>
      <c r="D2015" s="13">
        <v>7896056405868</v>
      </c>
    </row>
    <row r="2016" spans="1:4">
      <c r="A2016" s="70" t="s">
        <v>2371</v>
      </c>
      <c r="B2016" s="13" t="s">
        <v>2287</v>
      </c>
      <c r="C2016" s="16" t="s">
        <v>2377</v>
      </c>
      <c r="D2016" s="13">
        <v>7896045102716</v>
      </c>
    </row>
    <row r="2017" spans="1:4">
      <c r="A2017" s="70" t="s">
        <v>2371</v>
      </c>
      <c r="B2017" s="13" t="s">
        <v>2287</v>
      </c>
      <c r="C2017" s="16" t="s">
        <v>2390</v>
      </c>
      <c r="D2017" s="13">
        <v>7896005808610</v>
      </c>
    </row>
    <row r="2018" spans="1:4">
      <c r="A2018" s="10" t="s">
        <v>2374</v>
      </c>
      <c r="B2018" s="13" t="s">
        <v>2286</v>
      </c>
      <c r="C2018" s="16" t="s">
        <v>2379</v>
      </c>
      <c r="D2018" s="13">
        <v>7908324402728</v>
      </c>
    </row>
    <row r="2019" spans="1:4">
      <c r="A2019" s="10" t="s">
        <v>2374</v>
      </c>
      <c r="B2019" s="13" t="s">
        <v>2286</v>
      </c>
      <c r="C2019" s="16" t="s">
        <v>2378</v>
      </c>
      <c r="D2019" s="13">
        <v>7908324402742</v>
      </c>
    </row>
    <row r="2020" spans="1:4">
      <c r="A2020" s="10" t="s">
        <v>2375</v>
      </c>
      <c r="B2020" s="13" t="s">
        <v>2287</v>
      </c>
      <c r="C2020" s="16" t="s">
        <v>2380</v>
      </c>
      <c r="D2020" s="13">
        <v>7898363315922</v>
      </c>
    </row>
    <row r="2021" spans="1:4">
      <c r="A2021" s="70" t="s">
        <v>2372</v>
      </c>
      <c r="B2021" s="17" t="s">
        <v>2281</v>
      </c>
      <c r="C2021" s="16" t="s">
        <v>1969</v>
      </c>
      <c r="D2021" s="13">
        <v>7896003738636</v>
      </c>
    </row>
    <row r="2022" spans="1:4">
      <c r="A2022" s="70" t="s">
        <v>2372</v>
      </c>
      <c r="B2022" s="17" t="s">
        <v>2281</v>
      </c>
      <c r="C2022" s="16" t="s">
        <v>1970</v>
      </c>
      <c r="D2022" s="13">
        <v>7896003738605</v>
      </c>
    </row>
    <row r="2023" spans="1:4">
      <c r="A2023" s="70" t="s">
        <v>2372</v>
      </c>
      <c r="B2023" s="17" t="s">
        <v>2281</v>
      </c>
      <c r="C2023" s="16" t="s">
        <v>2026</v>
      </c>
      <c r="D2023" s="13">
        <v>7896003738568</v>
      </c>
    </row>
    <row r="2024" spans="1:4">
      <c r="A2024" s="70" t="s">
        <v>2372</v>
      </c>
      <c r="B2024" s="17" t="s">
        <v>2281</v>
      </c>
      <c r="C2024" s="16" t="s">
        <v>1971</v>
      </c>
      <c r="D2024" s="13">
        <v>7896003738582</v>
      </c>
    </row>
    <row r="2025" spans="1:4">
      <c r="A2025" s="70" t="s">
        <v>2372</v>
      </c>
      <c r="B2025" s="17" t="s">
        <v>2281</v>
      </c>
      <c r="C2025" s="16" t="s">
        <v>1976</v>
      </c>
      <c r="D2025" s="13">
        <v>7896003738520</v>
      </c>
    </row>
    <row r="2026" spans="1:4">
      <c r="A2026" s="70" t="s">
        <v>2372</v>
      </c>
      <c r="B2026" s="17" t="s">
        <v>2281</v>
      </c>
      <c r="C2026" s="16" t="s">
        <v>1972</v>
      </c>
      <c r="D2026" s="13">
        <v>7896003738575</v>
      </c>
    </row>
    <row r="2027" spans="1:4">
      <c r="A2027" s="70" t="s">
        <v>2373</v>
      </c>
      <c r="B2027" s="13" t="s">
        <v>2283</v>
      </c>
      <c r="C2027" s="16" t="s">
        <v>2381</v>
      </c>
      <c r="D2027" s="13">
        <v>7896000554369</v>
      </c>
    </row>
    <row r="2028" spans="1:4">
      <c r="A2028" s="70" t="s">
        <v>2376</v>
      </c>
      <c r="B2028" s="13" t="s">
        <v>2287</v>
      </c>
      <c r="C2028" s="16" t="s">
        <v>2382</v>
      </c>
      <c r="D2028" s="13">
        <v>7909006944161</v>
      </c>
    </row>
    <row r="2029" spans="1:4">
      <c r="A2029" s="70" t="s">
        <v>2376</v>
      </c>
      <c r="B2029" s="13" t="s">
        <v>2287</v>
      </c>
      <c r="C2029" s="16" t="s">
        <v>2383</v>
      </c>
      <c r="D2029" s="13">
        <v>7909224078686</v>
      </c>
    </row>
    <row r="2030" spans="1:4">
      <c r="A2030" s="70" t="s">
        <v>2394</v>
      </c>
      <c r="B2030" s="13" t="s">
        <v>2284</v>
      </c>
      <c r="C2030" s="16" t="s">
        <v>2395</v>
      </c>
      <c r="D2030" s="13">
        <v>7898052001778</v>
      </c>
    </row>
    <row r="2031" spans="1:4">
      <c r="A2031" s="70" t="s">
        <v>2392</v>
      </c>
      <c r="B2031" s="13" t="s">
        <v>2283</v>
      </c>
      <c r="C2031" s="16" t="s">
        <v>2396</v>
      </c>
      <c r="D2031" s="13">
        <v>7896011127057</v>
      </c>
    </row>
    <row r="2032" spans="1:4">
      <c r="A2032" s="70" t="s">
        <v>2392</v>
      </c>
      <c r="B2032" s="13" t="s">
        <v>2283</v>
      </c>
      <c r="C2032" s="16" t="s">
        <v>2397</v>
      </c>
      <c r="D2032" s="13">
        <v>7896011129334</v>
      </c>
    </row>
    <row r="2033" spans="1:4">
      <c r="A2033" s="70" t="s">
        <v>2392</v>
      </c>
      <c r="B2033" s="13" t="s">
        <v>2283</v>
      </c>
      <c r="C2033" s="16" t="s">
        <v>2398</v>
      </c>
      <c r="D2033" s="13">
        <v>7896011126739</v>
      </c>
    </row>
    <row r="2034" spans="1:4">
      <c r="A2034" s="70" t="s">
        <v>2392</v>
      </c>
      <c r="B2034" s="13" t="s">
        <v>2283</v>
      </c>
      <c r="C2034" s="16" t="s">
        <v>2399</v>
      </c>
      <c r="D2034" s="13">
        <v>7896011127064</v>
      </c>
    </row>
    <row r="2035" spans="1:4">
      <c r="A2035" s="70" t="s">
        <v>2392</v>
      </c>
      <c r="B2035" s="13" t="s">
        <v>2283</v>
      </c>
      <c r="C2035" s="16" t="s">
        <v>2400</v>
      </c>
      <c r="D2035" s="13">
        <v>7896011108575</v>
      </c>
    </row>
    <row r="2036" spans="1:4">
      <c r="A2036" s="70" t="s">
        <v>2392</v>
      </c>
      <c r="B2036" s="13" t="s">
        <v>2283</v>
      </c>
      <c r="C2036" s="16" t="s">
        <v>2401</v>
      </c>
      <c r="D2036" s="13">
        <v>7896011129341</v>
      </c>
    </row>
    <row r="2037" spans="1:4">
      <c r="A2037" s="70" t="s">
        <v>2392</v>
      </c>
      <c r="B2037" s="13" t="s">
        <v>2283</v>
      </c>
      <c r="C2037" s="16" t="s">
        <v>2402</v>
      </c>
      <c r="D2037" s="13">
        <v>7896011127019</v>
      </c>
    </row>
    <row r="2038" spans="1:4">
      <c r="A2038" s="70" t="s">
        <v>2392</v>
      </c>
      <c r="B2038" s="13" t="s">
        <v>2283</v>
      </c>
      <c r="C2038" s="16" t="s">
        <v>2403</v>
      </c>
      <c r="D2038" s="13">
        <v>7896011129396</v>
      </c>
    </row>
    <row r="2039" spans="1:4">
      <c r="A2039" s="70" t="s">
        <v>2392</v>
      </c>
      <c r="B2039" s="13" t="s">
        <v>2283</v>
      </c>
      <c r="C2039" s="16" t="s">
        <v>2404</v>
      </c>
      <c r="D2039" s="13">
        <v>7896011106557</v>
      </c>
    </row>
    <row r="2040" spans="1:4">
      <c r="A2040" s="70" t="s">
        <v>2392</v>
      </c>
      <c r="B2040" s="13" t="s">
        <v>2283</v>
      </c>
      <c r="C2040" s="16" t="s">
        <v>2405</v>
      </c>
      <c r="D2040" s="13">
        <v>7896011127088</v>
      </c>
    </row>
    <row r="2041" spans="1:4">
      <c r="A2041" s="70" t="s">
        <v>2392</v>
      </c>
      <c r="B2041" s="13" t="s">
        <v>2283</v>
      </c>
      <c r="C2041" s="16" t="s">
        <v>2406</v>
      </c>
      <c r="D2041" s="13">
        <v>7896011106526</v>
      </c>
    </row>
    <row r="2042" spans="1:4">
      <c r="A2042" s="70" t="s">
        <v>2392</v>
      </c>
      <c r="B2042" s="13" t="s">
        <v>2283</v>
      </c>
      <c r="C2042" s="16" t="s">
        <v>2407</v>
      </c>
      <c r="D2042" s="13">
        <v>7896011129358</v>
      </c>
    </row>
    <row r="2043" spans="1:4">
      <c r="A2043" s="70" t="s">
        <v>2392</v>
      </c>
      <c r="B2043" s="13" t="s">
        <v>2283</v>
      </c>
      <c r="C2043" s="16" t="s">
        <v>2408</v>
      </c>
      <c r="D2043" s="13">
        <v>242554</v>
      </c>
    </row>
    <row r="2044" spans="1:4">
      <c r="A2044" s="70" t="s">
        <v>2392</v>
      </c>
      <c r="B2044" s="13" t="s">
        <v>2283</v>
      </c>
      <c r="C2044" s="16" t="s">
        <v>2409</v>
      </c>
      <c r="D2044" s="13">
        <v>7896011127293</v>
      </c>
    </row>
    <row r="2045" spans="1:4">
      <c r="A2045" s="70" t="s">
        <v>2392</v>
      </c>
      <c r="B2045" s="13" t="s">
        <v>2283</v>
      </c>
      <c r="C2045" s="16" t="s">
        <v>2410</v>
      </c>
      <c r="D2045" s="13">
        <v>7896011127033</v>
      </c>
    </row>
    <row r="2046" spans="1:4">
      <c r="A2046" s="70" t="s">
        <v>2392</v>
      </c>
      <c r="B2046" s="13" t="s">
        <v>2283</v>
      </c>
      <c r="C2046" s="16" t="s">
        <v>2411</v>
      </c>
      <c r="D2046" s="13">
        <v>7896011108445</v>
      </c>
    </row>
    <row r="2047" spans="1:4">
      <c r="A2047" s="70" t="s">
        <v>2392</v>
      </c>
      <c r="B2047" s="13" t="s">
        <v>2283</v>
      </c>
      <c r="C2047" s="16" t="s">
        <v>2412</v>
      </c>
      <c r="D2047" s="13">
        <v>7896011127422</v>
      </c>
    </row>
    <row r="2048" spans="1:4">
      <c r="A2048" s="70" t="s">
        <v>2392</v>
      </c>
      <c r="B2048" s="13" t="s">
        <v>2283</v>
      </c>
      <c r="C2048" s="16" t="s">
        <v>2413</v>
      </c>
      <c r="D2048" s="13">
        <v>7896011127026</v>
      </c>
    </row>
    <row r="2049" spans="1:4">
      <c r="A2049" s="70" t="s">
        <v>2392</v>
      </c>
      <c r="B2049" s="13" t="s">
        <v>2283</v>
      </c>
      <c r="C2049" s="16" t="s">
        <v>2414</v>
      </c>
      <c r="D2049" s="13">
        <v>7896011108605</v>
      </c>
    </row>
    <row r="2050" spans="1:4">
      <c r="A2050" s="70" t="s">
        <v>2392</v>
      </c>
      <c r="B2050" s="13" t="s">
        <v>2283</v>
      </c>
      <c r="C2050" s="16" t="s">
        <v>2470</v>
      </c>
      <c r="D2050" s="13">
        <v>763974</v>
      </c>
    </row>
    <row r="2051" spans="1:4">
      <c r="A2051" s="70" t="s">
        <v>2392</v>
      </c>
      <c r="B2051" s="13" t="s">
        <v>2283</v>
      </c>
      <c r="C2051" s="16" t="s">
        <v>2415</v>
      </c>
      <c r="D2051" s="13">
        <v>7896011127040</v>
      </c>
    </row>
    <row r="2052" spans="1:4">
      <c r="A2052" s="70" t="s">
        <v>2392</v>
      </c>
      <c r="B2052" s="13" t="s">
        <v>2283</v>
      </c>
      <c r="C2052" s="16" t="s">
        <v>2416</v>
      </c>
      <c r="D2052" s="13">
        <v>7896011127071</v>
      </c>
    </row>
    <row r="2053" spans="1:4">
      <c r="A2053" s="70" t="s">
        <v>3035</v>
      </c>
      <c r="B2053" s="17" t="s">
        <v>2283</v>
      </c>
      <c r="C2053" s="16" t="s">
        <v>2417</v>
      </c>
      <c r="D2053" s="13">
        <v>7891991000826</v>
      </c>
    </row>
    <row r="2054" spans="1:4">
      <c r="A2054" s="70" t="s">
        <v>3035</v>
      </c>
      <c r="B2054" s="17" t="s">
        <v>2283</v>
      </c>
      <c r="C2054" s="72" t="s">
        <v>2440</v>
      </c>
      <c r="D2054" s="75">
        <v>7891991015103</v>
      </c>
    </row>
    <row r="2055" spans="1:4">
      <c r="A2055" s="70" t="s">
        <v>3035</v>
      </c>
      <c r="B2055" s="17" t="s">
        <v>2283</v>
      </c>
      <c r="C2055" s="72" t="s">
        <v>165</v>
      </c>
      <c r="D2055" s="75">
        <v>7891991002189</v>
      </c>
    </row>
    <row r="2056" spans="1:4">
      <c r="A2056" s="70" t="s">
        <v>2418</v>
      </c>
      <c r="B2056" s="13" t="s">
        <v>2286</v>
      </c>
      <c r="C2056" s="16" t="s">
        <v>2419</v>
      </c>
      <c r="D2056" s="13">
        <v>7896183304270</v>
      </c>
    </row>
    <row r="2057" spans="1:4">
      <c r="A2057" s="70" t="s">
        <v>2418</v>
      </c>
      <c r="B2057" s="13" t="s">
        <v>2286</v>
      </c>
      <c r="C2057" s="16" t="s">
        <v>2420</v>
      </c>
      <c r="D2057" s="13">
        <v>7896183306199</v>
      </c>
    </row>
    <row r="2058" spans="1:4">
      <c r="A2058" s="70" t="s">
        <v>2418</v>
      </c>
      <c r="B2058" s="13" t="s">
        <v>2286</v>
      </c>
      <c r="C2058" s="16" t="s">
        <v>2421</v>
      </c>
      <c r="D2058" s="13">
        <v>7896183309602</v>
      </c>
    </row>
    <row r="2059" spans="1:4">
      <c r="A2059" s="70" t="s">
        <v>2418</v>
      </c>
      <c r="B2059" s="13" t="s">
        <v>2286</v>
      </c>
      <c r="C2059" s="16" t="s">
        <v>2422</v>
      </c>
      <c r="D2059" s="13">
        <v>7896183309619</v>
      </c>
    </row>
    <row r="2060" spans="1:4">
      <c r="A2060" s="70" t="s">
        <v>2687</v>
      </c>
      <c r="B2060" s="13" t="s">
        <v>2286</v>
      </c>
      <c r="C2060" s="16" t="s">
        <v>2426</v>
      </c>
      <c r="D2060" s="13">
        <v>7896098904732</v>
      </c>
    </row>
    <row r="2061" spans="1:4">
      <c r="A2061" s="70" t="s">
        <v>2424</v>
      </c>
      <c r="B2061" s="13" t="s">
        <v>2283</v>
      </c>
      <c r="C2061" s="16" t="s">
        <v>1678</v>
      </c>
      <c r="D2061" s="13">
        <v>7896023012471</v>
      </c>
    </row>
    <row r="2062" spans="1:4">
      <c r="A2062" s="70" t="s">
        <v>2424</v>
      </c>
      <c r="B2062" s="13" t="s">
        <v>2283</v>
      </c>
      <c r="C2062" s="16" t="s">
        <v>2494</v>
      </c>
      <c r="D2062" s="13">
        <v>7896023012495</v>
      </c>
    </row>
    <row r="2063" spans="1:4">
      <c r="A2063" s="70" t="s">
        <v>2424</v>
      </c>
      <c r="B2063" s="13" t="s">
        <v>2283</v>
      </c>
      <c r="C2063" s="16" t="s">
        <v>2427</v>
      </c>
      <c r="D2063" s="13">
        <v>7896023012501</v>
      </c>
    </row>
    <row r="2064" spans="1:4">
      <c r="A2064" s="70" t="s">
        <v>2850</v>
      </c>
      <c r="B2064" s="17" t="s">
        <v>2287</v>
      </c>
      <c r="C2064" s="16" t="s">
        <v>2428</v>
      </c>
      <c r="D2064" s="13">
        <v>7896029087336</v>
      </c>
    </row>
    <row r="2065" spans="1:4">
      <c r="A2065" s="10" t="s">
        <v>2047</v>
      </c>
      <c r="B2065" s="17" t="s">
        <v>2281</v>
      </c>
      <c r="C2065" s="16" t="s">
        <v>439</v>
      </c>
      <c r="D2065" s="13">
        <v>7891021006125</v>
      </c>
    </row>
    <row r="2066" spans="1:4">
      <c r="A2066" s="70" t="s">
        <v>2433</v>
      </c>
      <c r="B2066" s="13" t="s">
        <v>2283</v>
      </c>
      <c r="C2066" s="16" t="s">
        <v>2434</v>
      </c>
      <c r="D2066" s="13">
        <v>7898152997414</v>
      </c>
    </row>
    <row r="2067" spans="1:4">
      <c r="A2067" s="70" t="s">
        <v>2432</v>
      </c>
      <c r="B2067" s="13" t="s">
        <v>2286</v>
      </c>
      <c r="C2067" s="16" t="s">
        <v>2435</v>
      </c>
      <c r="D2067" s="13">
        <v>7891022860429</v>
      </c>
    </row>
    <row r="2068" spans="1:4">
      <c r="A2068" s="70" t="s">
        <v>2432</v>
      </c>
      <c r="B2068" s="13" t="s">
        <v>2286</v>
      </c>
      <c r="C2068" s="16" t="s">
        <v>2436</v>
      </c>
      <c r="D2068" s="13">
        <v>7891022867459</v>
      </c>
    </row>
    <row r="2069" spans="1:4">
      <c r="A2069" s="70" t="s">
        <v>2432</v>
      </c>
      <c r="B2069" s="13" t="s">
        <v>2286</v>
      </c>
      <c r="C2069" s="16" t="s">
        <v>2437</v>
      </c>
      <c r="D2069" s="13">
        <v>7891022860436</v>
      </c>
    </row>
    <row r="2070" spans="1:4">
      <c r="A2070" s="70" t="s">
        <v>2432</v>
      </c>
      <c r="B2070" s="13" t="s">
        <v>2286</v>
      </c>
      <c r="C2070" s="16" t="s">
        <v>2438</v>
      </c>
      <c r="D2070" s="13">
        <v>7891022860450</v>
      </c>
    </row>
    <row r="2071" spans="1:4">
      <c r="A2071" s="70" t="s">
        <v>2432</v>
      </c>
      <c r="B2071" s="13" t="s">
        <v>2286</v>
      </c>
      <c r="C2071" s="16" t="s">
        <v>2439</v>
      </c>
      <c r="D2071" s="13">
        <v>7891022867442</v>
      </c>
    </row>
    <row r="2072" spans="1:4">
      <c r="A2072" s="70" t="s">
        <v>2442</v>
      </c>
      <c r="B2072" s="13" t="s">
        <v>2287</v>
      </c>
      <c r="C2072" s="16" t="s">
        <v>2444</v>
      </c>
      <c r="D2072" s="13">
        <v>7896029079508</v>
      </c>
    </row>
    <row r="2073" spans="1:4">
      <c r="A2073" s="70" t="s">
        <v>2442</v>
      </c>
      <c r="B2073" s="13" t="s">
        <v>2287</v>
      </c>
      <c r="C2073" s="16" t="s">
        <v>2445</v>
      </c>
      <c r="D2073" s="13">
        <v>7896029079522</v>
      </c>
    </row>
    <row r="2074" spans="1:4">
      <c r="A2074" s="70" t="s">
        <v>2442</v>
      </c>
      <c r="B2074" s="13" t="s">
        <v>2287</v>
      </c>
      <c r="C2074" s="16" t="s">
        <v>2458</v>
      </c>
      <c r="D2074" s="13">
        <v>7896029025963</v>
      </c>
    </row>
    <row r="2075" spans="1:4">
      <c r="A2075" s="70" t="s">
        <v>2442</v>
      </c>
      <c r="B2075" s="13" t="s">
        <v>2287</v>
      </c>
      <c r="C2075" s="16" t="s">
        <v>2459</v>
      </c>
      <c r="D2075" s="13">
        <v>7896029079560</v>
      </c>
    </row>
    <row r="2076" spans="1:4">
      <c r="A2076" s="70" t="s">
        <v>2442</v>
      </c>
      <c r="B2076" s="13" t="s">
        <v>2287</v>
      </c>
      <c r="C2076" s="16" t="s">
        <v>2446</v>
      </c>
      <c r="D2076" s="13">
        <v>7896029079546</v>
      </c>
    </row>
    <row r="2077" spans="1:4">
      <c r="A2077" s="70" t="s">
        <v>2443</v>
      </c>
      <c r="B2077" s="13" t="s">
        <v>2287</v>
      </c>
      <c r="C2077" s="16" t="s">
        <v>2447</v>
      </c>
      <c r="D2077" s="13">
        <v>7896029072615</v>
      </c>
    </row>
    <row r="2078" spans="1:4">
      <c r="A2078" s="70" t="s">
        <v>2443</v>
      </c>
      <c r="B2078" s="13" t="s">
        <v>2287</v>
      </c>
      <c r="C2078" s="16" t="s">
        <v>2448</v>
      </c>
      <c r="D2078" s="13">
        <v>7896029079607</v>
      </c>
    </row>
    <row r="2079" spans="1:4">
      <c r="A2079" s="70" t="s">
        <v>2443</v>
      </c>
      <c r="B2079" s="13" t="s">
        <v>2287</v>
      </c>
      <c r="C2079" s="16" t="s">
        <v>2449</v>
      </c>
      <c r="D2079" s="13">
        <v>248808</v>
      </c>
    </row>
    <row r="2080" spans="1:4">
      <c r="A2080" s="70" t="s">
        <v>2443</v>
      </c>
      <c r="B2080" s="13" t="s">
        <v>2287</v>
      </c>
      <c r="C2080" s="16" t="s">
        <v>2450</v>
      </c>
      <c r="D2080" s="13">
        <v>7896029072622</v>
      </c>
    </row>
    <row r="2081" spans="1:4">
      <c r="A2081" s="70" t="s">
        <v>2443</v>
      </c>
      <c r="B2081" s="13" t="s">
        <v>2287</v>
      </c>
      <c r="C2081" s="16" t="s">
        <v>2450</v>
      </c>
      <c r="D2081" s="13">
        <v>7896029079461</v>
      </c>
    </row>
    <row r="2082" spans="1:4">
      <c r="A2082" s="70" t="s">
        <v>2443</v>
      </c>
      <c r="B2082" s="13" t="s">
        <v>2287</v>
      </c>
      <c r="C2082" s="16" t="s">
        <v>2460</v>
      </c>
      <c r="D2082" s="13">
        <v>7896029079447</v>
      </c>
    </row>
    <row r="2083" spans="1:4">
      <c r="A2083" s="70" t="s">
        <v>2443</v>
      </c>
      <c r="B2083" s="13" t="s">
        <v>2287</v>
      </c>
      <c r="C2083" s="16" t="s">
        <v>2451</v>
      </c>
      <c r="D2083" s="13">
        <v>7896029079485</v>
      </c>
    </row>
    <row r="2084" spans="1:4">
      <c r="A2084" s="70" t="s">
        <v>2441</v>
      </c>
      <c r="B2084" s="13" t="s">
        <v>2283</v>
      </c>
      <c r="C2084" s="16" t="s">
        <v>2452</v>
      </c>
      <c r="D2084" s="13">
        <v>7792319971579</v>
      </c>
    </row>
    <row r="2085" spans="1:4">
      <c r="A2085" s="70" t="s">
        <v>2441</v>
      </c>
      <c r="B2085" s="13" t="s">
        <v>2283</v>
      </c>
      <c r="C2085" s="16" t="s">
        <v>2453</v>
      </c>
      <c r="D2085" s="13">
        <v>7792319003669</v>
      </c>
    </row>
    <row r="2086" spans="1:4">
      <c r="A2086" s="70" t="s">
        <v>2441</v>
      </c>
      <c r="B2086" s="13" t="s">
        <v>2283</v>
      </c>
      <c r="C2086" s="16" t="s">
        <v>2454</v>
      </c>
      <c r="D2086" s="13">
        <v>7792319971562</v>
      </c>
    </row>
    <row r="2087" spans="1:4">
      <c r="A2087" s="70" t="s">
        <v>2441</v>
      </c>
      <c r="B2087" s="13" t="s">
        <v>2283</v>
      </c>
      <c r="C2087" s="16" t="s">
        <v>2455</v>
      </c>
      <c r="D2087" s="13">
        <v>7792319971555</v>
      </c>
    </row>
    <row r="2088" spans="1:4">
      <c r="A2088" s="70" t="s">
        <v>2441</v>
      </c>
      <c r="B2088" s="13" t="s">
        <v>2283</v>
      </c>
      <c r="C2088" s="16" t="s">
        <v>2456</v>
      </c>
      <c r="D2088" s="13">
        <v>7792319971586</v>
      </c>
    </row>
    <row r="2089" spans="1:4">
      <c r="A2089" s="70" t="s">
        <v>2464</v>
      </c>
      <c r="B2089" s="17" t="s">
        <v>2283</v>
      </c>
      <c r="C2089" s="16" t="s">
        <v>1633</v>
      </c>
      <c r="D2089" s="13">
        <v>82184200698</v>
      </c>
    </row>
    <row r="2090" spans="1:4">
      <c r="A2090" s="70" t="s">
        <v>2464</v>
      </c>
      <c r="B2090" s="17" t="s">
        <v>2283</v>
      </c>
      <c r="C2090" s="16" t="s">
        <v>1739</v>
      </c>
      <c r="D2090" s="13">
        <v>82184090442</v>
      </c>
    </row>
    <row r="2091" spans="1:4">
      <c r="A2091" s="70" t="s">
        <v>3494</v>
      </c>
      <c r="B2091" s="17" t="s">
        <v>2288</v>
      </c>
      <c r="C2091" s="16" t="s">
        <v>1306</v>
      </c>
      <c r="D2091" s="13">
        <v>7891025109891</v>
      </c>
    </row>
    <row r="2092" spans="1:4">
      <c r="A2092" s="70" t="s">
        <v>3494</v>
      </c>
      <c r="B2092" s="17" t="s">
        <v>2288</v>
      </c>
      <c r="C2092" s="16" t="s">
        <v>1304</v>
      </c>
      <c r="D2092" s="13">
        <v>7891025109884</v>
      </c>
    </row>
    <row r="2093" spans="1:4">
      <c r="A2093" s="70" t="s">
        <v>2461</v>
      </c>
      <c r="B2093" s="13" t="s">
        <v>2288</v>
      </c>
      <c r="C2093" s="16" t="s">
        <v>255</v>
      </c>
      <c r="D2093" s="13">
        <v>7896002302197</v>
      </c>
    </row>
    <row r="2094" spans="1:4">
      <c r="A2094" s="70" t="s">
        <v>2461</v>
      </c>
      <c r="B2094" s="13" t="s">
        <v>2288</v>
      </c>
      <c r="C2094" s="16" t="s">
        <v>2467</v>
      </c>
      <c r="D2094" s="13">
        <v>7896002303460</v>
      </c>
    </row>
    <row r="2095" spans="1:4">
      <c r="A2095" s="70" t="s">
        <v>2461</v>
      </c>
      <c r="B2095" s="13" t="s">
        <v>2288</v>
      </c>
      <c r="C2095" s="16" t="s">
        <v>2468</v>
      </c>
      <c r="D2095" s="13">
        <v>7896002310345</v>
      </c>
    </row>
    <row r="2096" spans="1:4">
      <c r="A2096" s="70" t="s">
        <v>2465</v>
      </c>
      <c r="B2096" s="13" t="s">
        <v>2283</v>
      </c>
      <c r="C2096" s="16" t="s">
        <v>2466</v>
      </c>
      <c r="D2096" s="13">
        <v>5000387905634</v>
      </c>
    </row>
    <row r="2097" spans="1:4">
      <c r="A2097" s="10" t="s">
        <v>2570</v>
      </c>
      <c r="B2097" s="13" t="s">
        <v>2286</v>
      </c>
      <c r="C2097" s="16" t="s">
        <v>2469</v>
      </c>
      <c r="D2097" s="13">
        <v>7896098901229</v>
      </c>
    </row>
    <row r="2098" spans="1:4">
      <c r="A2098" s="10" t="s">
        <v>2474</v>
      </c>
      <c r="B2098" s="13" t="s">
        <v>2281</v>
      </c>
      <c r="C2098" s="16" t="s">
        <v>2476</v>
      </c>
      <c r="D2098" s="13">
        <v>7896003738230</v>
      </c>
    </row>
    <row r="2099" spans="1:4">
      <c r="A2099" s="10" t="s">
        <v>2474</v>
      </c>
      <c r="B2099" s="13" t="s">
        <v>2281</v>
      </c>
      <c r="C2099" s="16" t="s">
        <v>2477</v>
      </c>
      <c r="D2099" s="13">
        <v>7896003737929</v>
      </c>
    </row>
    <row r="2100" spans="1:4">
      <c r="A2100" s="10" t="s">
        <v>2474</v>
      </c>
      <c r="B2100" s="13" t="s">
        <v>2281</v>
      </c>
      <c r="C2100" s="16" t="s">
        <v>2478</v>
      </c>
      <c r="D2100" s="13">
        <v>7896003738247</v>
      </c>
    </row>
    <row r="2101" spans="1:4">
      <c r="A2101" s="10" t="s">
        <v>2474</v>
      </c>
      <c r="B2101" s="13" t="s">
        <v>2281</v>
      </c>
      <c r="C2101" s="16" t="s">
        <v>2479</v>
      </c>
      <c r="D2101" s="13">
        <v>7896003738223</v>
      </c>
    </row>
    <row r="2102" spans="1:4">
      <c r="A2102" s="10" t="s">
        <v>2472</v>
      </c>
      <c r="B2102" s="13" t="s">
        <v>2285</v>
      </c>
      <c r="C2102" s="16" t="s">
        <v>2480</v>
      </c>
      <c r="D2102" s="13">
        <v>7506295388487</v>
      </c>
    </row>
    <row r="2103" spans="1:4">
      <c r="A2103" s="19" t="s">
        <v>2475</v>
      </c>
      <c r="B2103" s="13" t="s">
        <v>2287</v>
      </c>
      <c r="C2103" s="16" t="s">
        <v>2481</v>
      </c>
      <c r="D2103" s="13">
        <v>7890244673817</v>
      </c>
    </row>
    <row r="2104" spans="1:4">
      <c r="A2104" s="70" t="s">
        <v>2475</v>
      </c>
      <c r="B2104" s="13" t="s">
        <v>2287</v>
      </c>
      <c r="C2104" s="16" t="s">
        <v>2484</v>
      </c>
      <c r="D2104" s="13">
        <v>7890244673688</v>
      </c>
    </row>
    <row r="2105" spans="1:4">
      <c r="A2105" s="70" t="s">
        <v>2473</v>
      </c>
      <c r="B2105" s="13" t="s">
        <v>2286</v>
      </c>
      <c r="C2105" s="16" t="s">
        <v>2482</v>
      </c>
      <c r="D2105" s="13">
        <v>7896098901328</v>
      </c>
    </row>
    <row r="2106" spans="1:4">
      <c r="A2106" s="10" t="s">
        <v>2485</v>
      </c>
      <c r="B2106" s="13" t="s">
        <v>2285</v>
      </c>
      <c r="C2106" s="16" t="s">
        <v>2488</v>
      </c>
      <c r="D2106" s="13">
        <v>7896018704121</v>
      </c>
    </row>
    <row r="2107" spans="1:4">
      <c r="A2107" s="10" t="s">
        <v>2485</v>
      </c>
      <c r="B2107" s="13" t="s">
        <v>2285</v>
      </c>
      <c r="C2107" s="16" t="s">
        <v>2901</v>
      </c>
      <c r="D2107" s="13">
        <v>7891172523458</v>
      </c>
    </row>
    <row r="2108" spans="1:4">
      <c r="A2108" s="10" t="s">
        <v>2486</v>
      </c>
      <c r="B2108" s="13" t="s">
        <v>2287</v>
      </c>
      <c r="C2108" s="16" t="s">
        <v>2489</v>
      </c>
      <c r="D2108" s="13">
        <v>7898955019566</v>
      </c>
    </row>
    <row r="2109" spans="1:4">
      <c r="A2109" s="10" t="s">
        <v>2486</v>
      </c>
      <c r="B2109" s="13" t="s">
        <v>2287</v>
      </c>
      <c r="C2109" s="16" t="s">
        <v>2490</v>
      </c>
      <c r="D2109" s="13">
        <v>7898955019702</v>
      </c>
    </row>
    <row r="2110" spans="1:4">
      <c r="A2110" s="10" t="s">
        <v>2486</v>
      </c>
      <c r="B2110" s="13" t="s">
        <v>2287</v>
      </c>
      <c r="C2110" s="16" t="s">
        <v>2491</v>
      </c>
      <c r="D2110" s="13">
        <v>7898955019603</v>
      </c>
    </row>
    <row r="2111" spans="1:4">
      <c r="A2111" s="70" t="s">
        <v>2487</v>
      </c>
      <c r="B2111" s="17" t="s">
        <v>2283</v>
      </c>
      <c r="C2111" s="16" t="s">
        <v>2492</v>
      </c>
      <c r="D2111" s="13">
        <v>7891991010481</v>
      </c>
    </row>
    <row r="2112" spans="1:4">
      <c r="A2112" s="70" t="s">
        <v>2487</v>
      </c>
      <c r="B2112" s="17" t="s">
        <v>2283</v>
      </c>
      <c r="C2112" s="16" t="s">
        <v>2493</v>
      </c>
      <c r="D2112" s="13">
        <v>7891991296342</v>
      </c>
    </row>
    <row r="2113" spans="1:4">
      <c r="A2113" s="70" t="s">
        <v>2497</v>
      </c>
      <c r="B2113" s="17" t="s">
        <v>2282</v>
      </c>
      <c r="C2113" s="16" t="s">
        <v>2498</v>
      </c>
      <c r="D2113" s="13">
        <v>98380</v>
      </c>
    </row>
    <row r="2114" spans="1:4">
      <c r="A2114" s="70" t="s">
        <v>3495</v>
      </c>
      <c r="B2114" s="13" t="s">
        <v>2284</v>
      </c>
      <c r="C2114" s="16" t="s">
        <v>2499</v>
      </c>
      <c r="D2114" s="13">
        <v>7893500020134</v>
      </c>
    </row>
    <row r="2115" spans="1:4">
      <c r="A2115" s="70" t="s">
        <v>3496</v>
      </c>
      <c r="B2115" s="17" t="s">
        <v>2283</v>
      </c>
      <c r="C2115" s="16" t="s">
        <v>2502</v>
      </c>
      <c r="D2115" s="13">
        <v>7898295303271</v>
      </c>
    </row>
    <row r="2116" spans="1:4">
      <c r="A2116" s="10" t="s">
        <v>2507</v>
      </c>
      <c r="B2116" s="17" t="s">
        <v>2283</v>
      </c>
      <c r="C2116" s="16" t="s">
        <v>2205</v>
      </c>
      <c r="D2116" s="13">
        <v>7896756804657</v>
      </c>
    </row>
    <row r="2117" spans="1:4">
      <c r="A2117" s="10" t="s">
        <v>2507</v>
      </c>
      <c r="B2117" s="17" t="s">
        <v>2283</v>
      </c>
      <c r="C2117" s="16" t="s">
        <v>2203</v>
      </c>
      <c r="D2117" s="13">
        <v>7896756804664</v>
      </c>
    </row>
    <row r="2118" spans="1:4">
      <c r="A2118" s="70" t="s">
        <v>2504</v>
      </c>
      <c r="B2118" s="13" t="s">
        <v>2281</v>
      </c>
      <c r="C2118" s="16" t="s">
        <v>2508</v>
      </c>
      <c r="D2118" s="13">
        <v>7891008116632</v>
      </c>
    </row>
    <row r="2119" spans="1:4">
      <c r="A2119" s="70" t="s">
        <v>2505</v>
      </c>
      <c r="B2119" s="13" t="s">
        <v>2283</v>
      </c>
      <c r="C2119" s="16" t="s">
        <v>2509</v>
      </c>
      <c r="D2119" s="13">
        <v>7891149010509</v>
      </c>
    </row>
    <row r="2120" spans="1:4">
      <c r="A2120" s="70" t="s">
        <v>2505</v>
      </c>
      <c r="B2120" s="13" t="s">
        <v>2283</v>
      </c>
      <c r="C2120" s="72" t="s">
        <v>2512</v>
      </c>
      <c r="D2120" s="13">
        <v>7891149100019</v>
      </c>
    </row>
    <row r="2121" spans="1:4">
      <c r="A2121" s="70" t="s">
        <v>2505</v>
      </c>
      <c r="B2121" s="13" t="s">
        <v>2283</v>
      </c>
      <c r="C2121" s="16" t="s">
        <v>2510</v>
      </c>
      <c r="D2121" s="13">
        <v>7891149200504</v>
      </c>
    </row>
    <row r="2122" spans="1:4">
      <c r="A2122" s="70" t="s">
        <v>2505</v>
      </c>
      <c r="B2122" s="13" t="s">
        <v>2283</v>
      </c>
      <c r="C2122" s="72" t="s">
        <v>2513</v>
      </c>
      <c r="D2122" s="13">
        <v>7891149100002</v>
      </c>
    </row>
    <row r="2123" spans="1:4">
      <c r="A2123" s="70" t="s">
        <v>2506</v>
      </c>
      <c r="B2123" s="13" t="s">
        <v>2281</v>
      </c>
      <c r="C2123" s="16" t="s">
        <v>2511</v>
      </c>
      <c r="D2123" s="13">
        <v>7896045109807</v>
      </c>
    </row>
    <row r="2124" spans="1:4">
      <c r="A2124" s="70" t="s">
        <v>2544</v>
      </c>
      <c r="B2124" s="13" t="s">
        <v>2283</v>
      </c>
      <c r="C2124" s="16" t="s">
        <v>2519</v>
      </c>
      <c r="D2124" s="13">
        <v>7896000594020</v>
      </c>
    </row>
    <row r="2125" spans="1:4">
      <c r="A2125" s="70" t="s">
        <v>107</v>
      </c>
      <c r="B2125" s="13" t="s">
        <v>2280</v>
      </c>
      <c r="C2125" s="16" t="s">
        <v>2520</v>
      </c>
      <c r="D2125" s="13">
        <v>7896022203634</v>
      </c>
    </row>
    <row r="2126" spans="1:4">
      <c r="A2126" s="70" t="s">
        <v>107</v>
      </c>
      <c r="B2126" s="13" t="s">
        <v>2280</v>
      </c>
      <c r="C2126" s="16" t="s">
        <v>2521</v>
      </c>
      <c r="D2126" s="13">
        <v>7896022201746</v>
      </c>
    </row>
    <row r="2127" spans="1:4">
      <c r="A2127" s="70" t="s">
        <v>107</v>
      </c>
      <c r="B2127" s="13" t="s">
        <v>2280</v>
      </c>
      <c r="C2127" s="16" t="s">
        <v>2522</v>
      </c>
      <c r="D2127" s="13">
        <v>7896022203627</v>
      </c>
    </row>
    <row r="2128" spans="1:4">
      <c r="A2128" s="70" t="s">
        <v>107</v>
      </c>
      <c r="B2128" s="13" t="s">
        <v>2280</v>
      </c>
      <c r="C2128" s="16" t="s">
        <v>2523</v>
      </c>
      <c r="D2128" s="13">
        <v>7896022201340</v>
      </c>
    </row>
    <row r="2129" spans="1:4" ht="30">
      <c r="A2129" s="70" t="s">
        <v>2539</v>
      </c>
      <c r="B2129" s="13" t="s">
        <v>2283</v>
      </c>
      <c r="C2129" s="16" t="s">
        <v>2527</v>
      </c>
      <c r="D2129" s="13">
        <v>7891991100830</v>
      </c>
    </row>
    <row r="2130" spans="1:4">
      <c r="A2130" s="70" t="s">
        <v>2525</v>
      </c>
      <c r="B2130" s="13" t="s">
        <v>2283</v>
      </c>
      <c r="C2130" s="16" t="s">
        <v>2528</v>
      </c>
      <c r="D2130" s="13">
        <v>7893218002422</v>
      </c>
    </row>
    <row r="2131" spans="1:4">
      <c r="A2131" s="70" t="s">
        <v>2526</v>
      </c>
      <c r="B2131" s="13" t="s">
        <v>2283</v>
      </c>
      <c r="C2131" s="16" t="s">
        <v>2529</v>
      </c>
      <c r="D2131" s="13">
        <v>7896045506064</v>
      </c>
    </row>
    <row r="2132" spans="1:4">
      <c r="A2132" s="70" t="s">
        <v>2517</v>
      </c>
      <c r="B2132" s="13" t="s">
        <v>2285</v>
      </c>
      <c r="C2132" s="16" t="s">
        <v>2337</v>
      </c>
      <c r="D2132" s="13">
        <v>7896007552429</v>
      </c>
    </row>
    <row r="2133" spans="1:4">
      <c r="A2133" s="70" t="s">
        <v>2517</v>
      </c>
      <c r="B2133" s="13" t="s">
        <v>2285</v>
      </c>
      <c r="C2133" s="16" t="s">
        <v>2338</v>
      </c>
      <c r="D2133" s="13">
        <v>7896007552412</v>
      </c>
    </row>
    <row r="2134" spans="1:4">
      <c r="A2134" s="70" t="s">
        <v>2517</v>
      </c>
      <c r="B2134" s="13" t="s">
        <v>2285</v>
      </c>
      <c r="C2134" s="16" t="s">
        <v>2339</v>
      </c>
      <c r="D2134" s="13">
        <v>7896007552405</v>
      </c>
    </row>
    <row r="2135" spans="1:4">
      <c r="A2135" s="70" t="s">
        <v>2517</v>
      </c>
      <c r="B2135" s="13" t="s">
        <v>2285</v>
      </c>
      <c r="C2135" s="16" t="s">
        <v>1556</v>
      </c>
      <c r="D2135" s="13">
        <v>7896007550227</v>
      </c>
    </row>
    <row r="2136" spans="1:4">
      <c r="A2136" s="70" t="s">
        <v>2517</v>
      </c>
      <c r="B2136" s="13" t="s">
        <v>2285</v>
      </c>
      <c r="C2136" s="16" t="s">
        <v>1557</v>
      </c>
      <c r="D2136" s="13">
        <v>7896007550234</v>
      </c>
    </row>
    <row r="2137" spans="1:4">
      <c r="A2137" s="10" t="s">
        <v>2531</v>
      </c>
      <c r="B2137" s="13" t="s">
        <v>2287</v>
      </c>
      <c r="C2137" s="16" t="s">
        <v>2533</v>
      </c>
      <c r="D2137" s="13">
        <v>7896061926044</v>
      </c>
    </row>
    <row r="2138" spans="1:4">
      <c r="A2138" s="70" t="s">
        <v>2530</v>
      </c>
      <c r="B2138" s="13" t="s">
        <v>2288</v>
      </c>
      <c r="C2138" s="16" t="s">
        <v>2534</v>
      </c>
      <c r="D2138" s="13">
        <v>7891025115632</v>
      </c>
    </row>
    <row r="2139" spans="1:4">
      <c r="A2139" s="70" t="s">
        <v>2530</v>
      </c>
      <c r="B2139" s="13" t="s">
        <v>2288</v>
      </c>
      <c r="C2139" s="16" t="s">
        <v>2535</v>
      </c>
      <c r="D2139" s="13">
        <v>7891025115656</v>
      </c>
    </row>
    <row r="2140" spans="1:4">
      <c r="A2140" s="70" t="s">
        <v>2530</v>
      </c>
      <c r="B2140" s="13" t="s">
        <v>2288</v>
      </c>
      <c r="C2140" s="16" t="s">
        <v>3021</v>
      </c>
      <c r="D2140" s="13">
        <v>7891025124627</v>
      </c>
    </row>
    <row r="2141" spans="1:4">
      <c r="A2141" s="70" t="s">
        <v>2530</v>
      </c>
      <c r="B2141" s="13" t="s">
        <v>2288</v>
      </c>
      <c r="C2141" s="16" t="s">
        <v>2536</v>
      </c>
      <c r="D2141" s="13">
        <v>7891025115649</v>
      </c>
    </row>
    <row r="2142" spans="1:4">
      <c r="A2142" s="70" t="s">
        <v>2530</v>
      </c>
      <c r="B2142" s="13" t="s">
        <v>2288</v>
      </c>
      <c r="C2142" s="16" t="s">
        <v>2537</v>
      </c>
      <c r="D2142" s="13">
        <v>7891025122067</v>
      </c>
    </row>
    <row r="2143" spans="1:4">
      <c r="A2143" s="10" t="s">
        <v>2542</v>
      </c>
      <c r="B2143" s="13" t="s">
        <v>2288</v>
      </c>
      <c r="C2143" s="16" t="s">
        <v>2547</v>
      </c>
      <c r="D2143" s="13">
        <v>7896625211265</v>
      </c>
    </row>
    <row r="2144" spans="1:4">
      <c r="A2144" s="10" t="s">
        <v>2542</v>
      </c>
      <c r="B2144" s="13" t="s">
        <v>2288</v>
      </c>
      <c r="C2144" s="16" t="s">
        <v>2548</v>
      </c>
      <c r="D2144" s="13">
        <v>7896625211258</v>
      </c>
    </row>
    <row r="2145" spans="1:4">
      <c r="A2145" s="10" t="s">
        <v>2541</v>
      </c>
      <c r="B2145" s="13" t="s">
        <v>2283</v>
      </c>
      <c r="C2145" s="16" t="s">
        <v>2549</v>
      </c>
      <c r="D2145" s="13">
        <v>7896000593672</v>
      </c>
    </row>
    <row r="2146" spans="1:4">
      <c r="A2146" s="70" t="s">
        <v>2545</v>
      </c>
      <c r="B2146" s="13" t="s">
        <v>2285</v>
      </c>
      <c r="C2146" s="16" t="s">
        <v>2550</v>
      </c>
      <c r="D2146" s="13">
        <v>7897744503422</v>
      </c>
    </row>
    <row r="2147" spans="1:4">
      <c r="A2147" s="70" t="s">
        <v>2545</v>
      </c>
      <c r="B2147" s="13" t="s">
        <v>2285</v>
      </c>
      <c r="C2147" s="16" t="s">
        <v>2551</v>
      </c>
      <c r="D2147" s="13">
        <v>7897744503439</v>
      </c>
    </row>
    <row r="2148" spans="1:4">
      <c r="A2148" s="70" t="s">
        <v>2545</v>
      </c>
      <c r="B2148" s="13" t="s">
        <v>2285</v>
      </c>
      <c r="C2148" s="16" t="s">
        <v>2552</v>
      </c>
      <c r="D2148" s="13">
        <v>7897744503453</v>
      </c>
    </row>
    <row r="2149" spans="1:4">
      <c r="A2149" s="70" t="s">
        <v>2545</v>
      </c>
      <c r="B2149" s="13" t="s">
        <v>2285</v>
      </c>
      <c r="C2149" s="16" t="s">
        <v>2553</v>
      </c>
      <c r="D2149" s="13">
        <v>7897744503446</v>
      </c>
    </row>
    <row r="2150" spans="1:4">
      <c r="A2150" s="70" t="s">
        <v>2545</v>
      </c>
      <c r="B2150" s="13" t="s">
        <v>2285</v>
      </c>
      <c r="C2150" s="16" t="s">
        <v>2554</v>
      </c>
      <c r="D2150" s="13">
        <v>7897744503415</v>
      </c>
    </row>
    <row r="2151" spans="1:4">
      <c r="A2151" s="70" t="s">
        <v>2546</v>
      </c>
      <c r="B2151" s="13" t="s">
        <v>2285</v>
      </c>
      <c r="C2151" s="16" t="s">
        <v>2555</v>
      </c>
      <c r="D2151" s="13">
        <v>7897744503361</v>
      </c>
    </row>
    <row r="2152" spans="1:4">
      <c r="A2152" s="70" t="s">
        <v>2546</v>
      </c>
      <c r="B2152" s="13" t="s">
        <v>2285</v>
      </c>
      <c r="C2152" s="16" t="s">
        <v>2556</v>
      </c>
      <c r="D2152" s="13">
        <v>7897744503408</v>
      </c>
    </row>
    <row r="2153" spans="1:4">
      <c r="A2153" s="70" t="s">
        <v>2546</v>
      </c>
      <c r="B2153" s="13" t="s">
        <v>2285</v>
      </c>
      <c r="C2153" s="16" t="s">
        <v>2557</v>
      </c>
      <c r="D2153" s="13">
        <v>7897744503378</v>
      </c>
    </row>
    <row r="2154" spans="1:4">
      <c r="A2154" s="70" t="s">
        <v>2546</v>
      </c>
      <c r="B2154" s="13" t="s">
        <v>2285</v>
      </c>
      <c r="C2154" s="16" t="s">
        <v>2558</v>
      </c>
      <c r="D2154" s="13">
        <v>7897744503392</v>
      </c>
    </row>
    <row r="2155" spans="1:4">
      <c r="A2155" s="70" t="s">
        <v>2546</v>
      </c>
      <c r="B2155" s="13" t="s">
        <v>2285</v>
      </c>
      <c r="C2155" s="16" t="s">
        <v>2559</v>
      </c>
      <c r="D2155" s="13">
        <v>7897744503644</v>
      </c>
    </row>
    <row r="2156" spans="1:4">
      <c r="A2156" s="70" t="s">
        <v>2546</v>
      </c>
      <c r="B2156" s="13" t="s">
        <v>2285</v>
      </c>
      <c r="C2156" s="16" t="s">
        <v>2560</v>
      </c>
      <c r="D2156" s="13">
        <v>7897744503385</v>
      </c>
    </row>
    <row r="2157" spans="1:4">
      <c r="A2157" s="70" t="s">
        <v>2546</v>
      </c>
      <c r="B2157" s="13" t="s">
        <v>2285</v>
      </c>
      <c r="C2157" s="16" t="s">
        <v>2561</v>
      </c>
      <c r="D2157" s="13">
        <v>7897744503354</v>
      </c>
    </row>
    <row r="2158" spans="1:4">
      <c r="A2158" s="70" t="s">
        <v>2543</v>
      </c>
      <c r="B2158" s="13" t="s">
        <v>2286</v>
      </c>
      <c r="C2158" s="16" t="s">
        <v>2562</v>
      </c>
      <c r="D2158" s="13">
        <v>7896098902776</v>
      </c>
    </row>
    <row r="2159" spans="1:4">
      <c r="A2159" s="70" t="s">
        <v>2540</v>
      </c>
      <c r="B2159" s="13" t="s">
        <v>2282</v>
      </c>
      <c r="C2159" s="16" t="s">
        <v>2563</v>
      </c>
      <c r="D2159" s="13">
        <v>7891527039351</v>
      </c>
    </row>
    <row r="2160" spans="1:4">
      <c r="A2160" s="10" t="s">
        <v>2564</v>
      </c>
      <c r="B2160" s="13" t="s">
        <v>2283</v>
      </c>
      <c r="C2160" s="16" t="s">
        <v>2565</v>
      </c>
      <c r="D2160" s="13">
        <v>611269991000</v>
      </c>
    </row>
    <row r="2161" spans="1:4">
      <c r="A2161" s="70" t="s">
        <v>2671</v>
      </c>
      <c r="B2161" s="13" t="s">
        <v>2283</v>
      </c>
      <c r="C2161" s="16" t="s">
        <v>2566</v>
      </c>
      <c r="D2161" s="13">
        <v>78905351</v>
      </c>
    </row>
    <row r="2162" spans="1:4">
      <c r="A2162" s="70" t="s">
        <v>2671</v>
      </c>
      <c r="B2162" s="13" t="s">
        <v>2283</v>
      </c>
      <c r="C2162" s="16" t="s">
        <v>2527</v>
      </c>
      <c r="D2162" s="13">
        <v>7891991100830</v>
      </c>
    </row>
    <row r="2163" spans="1:4">
      <c r="A2163" s="70" t="s">
        <v>3278</v>
      </c>
      <c r="B2163" s="17" t="s">
        <v>2285</v>
      </c>
      <c r="C2163" s="16" t="s">
        <v>1679</v>
      </c>
      <c r="D2163" s="13">
        <v>7500435106665</v>
      </c>
    </row>
    <row r="2164" spans="1:4">
      <c r="A2164" s="70" t="s">
        <v>3278</v>
      </c>
      <c r="B2164" s="17" t="s">
        <v>2285</v>
      </c>
      <c r="C2164" s="16" t="s">
        <v>1680</v>
      </c>
      <c r="D2164" s="13">
        <v>7500435106672</v>
      </c>
    </row>
    <row r="2165" spans="1:4">
      <c r="A2165" s="70" t="s">
        <v>3278</v>
      </c>
      <c r="B2165" s="17" t="s">
        <v>2285</v>
      </c>
      <c r="C2165" s="16" t="s">
        <v>1681</v>
      </c>
      <c r="D2165" s="13">
        <v>7500435132602</v>
      </c>
    </row>
    <row r="2166" spans="1:4">
      <c r="A2166" s="70" t="s">
        <v>3278</v>
      </c>
      <c r="B2166" s="17" t="s">
        <v>2285</v>
      </c>
      <c r="C2166" s="16" t="s">
        <v>1683</v>
      </c>
      <c r="D2166" s="13">
        <v>7500435181297</v>
      </c>
    </row>
    <row r="2167" spans="1:4">
      <c r="A2167" s="70" t="s">
        <v>3278</v>
      </c>
      <c r="B2167" s="17" t="s">
        <v>2285</v>
      </c>
      <c r="C2167" s="16" t="s">
        <v>1684</v>
      </c>
      <c r="D2167" s="13">
        <v>7500435132619</v>
      </c>
    </row>
    <row r="2168" spans="1:4">
      <c r="A2168" s="70" t="s">
        <v>3278</v>
      </c>
      <c r="B2168" s="17" t="s">
        <v>2285</v>
      </c>
      <c r="C2168" s="16" t="s">
        <v>3006</v>
      </c>
      <c r="D2168" s="13">
        <v>7500435232944</v>
      </c>
    </row>
    <row r="2169" spans="1:4">
      <c r="A2169" s="70" t="s">
        <v>3278</v>
      </c>
      <c r="B2169" s="17" t="s">
        <v>2285</v>
      </c>
      <c r="C2169" s="16" t="s">
        <v>2567</v>
      </c>
      <c r="D2169" s="13">
        <v>7500435205238</v>
      </c>
    </row>
    <row r="2170" spans="1:4">
      <c r="A2170" s="70" t="s">
        <v>3278</v>
      </c>
      <c r="B2170" s="17" t="s">
        <v>2285</v>
      </c>
      <c r="C2170" s="16" t="s">
        <v>2568</v>
      </c>
      <c r="D2170" s="13">
        <v>7500435205269</v>
      </c>
    </row>
    <row r="2171" spans="1:4">
      <c r="A2171" s="10" t="s">
        <v>2569</v>
      </c>
      <c r="B2171" s="13" t="s">
        <v>2288</v>
      </c>
      <c r="C2171" s="16" t="s">
        <v>2572</v>
      </c>
      <c r="D2171" s="13">
        <v>7891025699880</v>
      </c>
    </row>
    <row r="2172" spans="1:4">
      <c r="A2172" s="70" t="s">
        <v>2571</v>
      </c>
      <c r="B2172" s="17" t="s">
        <v>2284</v>
      </c>
      <c r="C2172" s="16" t="s">
        <v>2573</v>
      </c>
      <c r="D2172" s="13">
        <v>7898906434080</v>
      </c>
    </row>
    <row r="2173" spans="1:4">
      <c r="A2173" s="70" t="s">
        <v>2575</v>
      </c>
      <c r="B2173" s="13" t="s">
        <v>2282</v>
      </c>
      <c r="C2173" s="16" t="s">
        <v>2576</v>
      </c>
      <c r="D2173" s="13">
        <v>7898937200661</v>
      </c>
    </row>
    <row r="2174" spans="1:4">
      <c r="A2174" s="70" t="s">
        <v>1691</v>
      </c>
      <c r="B2174" s="17" t="s">
        <v>2284</v>
      </c>
      <c r="C2174" s="16" t="s">
        <v>1695</v>
      </c>
      <c r="D2174" s="13">
        <v>7898909755250</v>
      </c>
    </row>
    <row r="2175" spans="1:4">
      <c r="A2175" s="70" t="s">
        <v>2579</v>
      </c>
      <c r="B2175" s="17" t="s">
        <v>2280</v>
      </c>
      <c r="C2175" s="16" t="s">
        <v>2581</v>
      </c>
      <c r="D2175" s="13">
        <v>7898152990156</v>
      </c>
    </row>
    <row r="2176" spans="1:4">
      <c r="A2176" s="70" t="s">
        <v>2579</v>
      </c>
      <c r="B2176" s="17" t="s">
        <v>2280</v>
      </c>
      <c r="C2176" s="16" t="s">
        <v>2582</v>
      </c>
      <c r="D2176" s="13">
        <v>7898152990132</v>
      </c>
    </row>
    <row r="2177" spans="1:4">
      <c r="A2177" s="70" t="s">
        <v>2579</v>
      </c>
      <c r="B2177" s="17" t="s">
        <v>2280</v>
      </c>
      <c r="C2177" s="16" t="s">
        <v>2583</v>
      </c>
      <c r="D2177" s="13">
        <v>7898152990170</v>
      </c>
    </row>
    <row r="2178" spans="1:4">
      <c r="A2178" s="70" t="s">
        <v>2579</v>
      </c>
      <c r="B2178" s="17" t="s">
        <v>2280</v>
      </c>
      <c r="C2178" s="16" t="s">
        <v>2584</v>
      </c>
      <c r="D2178" s="13">
        <v>7898152990163</v>
      </c>
    </row>
    <row r="2179" spans="1:4">
      <c r="A2179" s="70" t="s">
        <v>2585</v>
      </c>
      <c r="B2179" s="13" t="s">
        <v>2288</v>
      </c>
      <c r="C2179" s="16" t="s">
        <v>2586</v>
      </c>
      <c r="D2179" s="13">
        <v>7891000363256</v>
      </c>
    </row>
    <row r="2180" spans="1:4">
      <c r="A2180" s="70" t="s">
        <v>2585</v>
      </c>
      <c r="B2180" s="13" t="s">
        <v>2288</v>
      </c>
      <c r="C2180" s="16" t="s">
        <v>2587</v>
      </c>
      <c r="D2180" s="13">
        <v>7891000362037</v>
      </c>
    </row>
    <row r="2181" spans="1:4">
      <c r="A2181" s="70" t="s">
        <v>2588</v>
      </c>
      <c r="B2181" s="17" t="s">
        <v>2281</v>
      </c>
      <c r="C2181" s="16" t="s">
        <v>2589</v>
      </c>
      <c r="D2181" s="13">
        <v>7897173000349</v>
      </c>
    </row>
    <row r="2182" spans="1:4">
      <c r="A2182" s="70" t="s">
        <v>2588</v>
      </c>
      <c r="B2182" s="17" t="s">
        <v>2281</v>
      </c>
      <c r="C2182" s="16" t="s">
        <v>2590</v>
      </c>
      <c r="D2182" s="13">
        <v>7897173000332</v>
      </c>
    </row>
    <row r="2183" spans="1:4">
      <c r="A2183" s="10" t="s">
        <v>2591</v>
      </c>
      <c r="B2183" s="17" t="s">
        <v>2284</v>
      </c>
      <c r="C2183" s="16" t="s">
        <v>2596</v>
      </c>
      <c r="D2183" s="13">
        <v>7896102502145</v>
      </c>
    </row>
    <row r="2184" spans="1:4">
      <c r="A2184" s="70" t="s">
        <v>2593</v>
      </c>
      <c r="B2184" s="17" t="s">
        <v>2285</v>
      </c>
      <c r="C2184" s="16" t="s">
        <v>2337</v>
      </c>
      <c r="D2184" s="13">
        <v>7896007552429</v>
      </c>
    </row>
    <row r="2185" spans="1:4">
      <c r="A2185" s="70" t="s">
        <v>2593</v>
      </c>
      <c r="B2185" s="17" t="s">
        <v>2285</v>
      </c>
      <c r="C2185" s="16" t="s">
        <v>2338</v>
      </c>
      <c r="D2185" s="13">
        <v>7896007552412</v>
      </c>
    </row>
    <row r="2186" spans="1:4">
      <c r="A2186" s="70" t="s">
        <v>2593</v>
      </c>
      <c r="B2186" s="17" t="s">
        <v>2285</v>
      </c>
      <c r="C2186" s="16" t="s">
        <v>2339</v>
      </c>
      <c r="D2186" s="13">
        <v>7896007552405</v>
      </c>
    </row>
    <row r="2187" spans="1:4">
      <c r="A2187" s="70" t="s">
        <v>2593</v>
      </c>
      <c r="B2187" s="17" t="s">
        <v>2285</v>
      </c>
      <c r="C2187" s="16" t="s">
        <v>2597</v>
      </c>
      <c r="D2187" s="13">
        <v>7896007552436</v>
      </c>
    </row>
    <row r="2188" spans="1:4">
      <c r="A2188" s="70" t="s">
        <v>2593</v>
      </c>
      <c r="B2188" s="17" t="s">
        <v>2285</v>
      </c>
      <c r="C2188" s="16" t="s">
        <v>1557</v>
      </c>
      <c r="D2188" s="13">
        <v>7896007550234</v>
      </c>
    </row>
    <row r="2189" spans="1:4">
      <c r="A2189" s="70" t="s">
        <v>3047</v>
      </c>
      <c r="B2189" s="13" t="s">
        <v>2288</v>
      </c>
      <c r="C2189" s="16" t="s">
        <v>3048</v>
      </c>
      <c r="D2189" s="13">
        <v>7891097101717</v>
      </c>
    </row>
    <row r="2190" spans="1:4">
      <c r="A2190" s="70" t="s">
        <v>3047</v>
      </c>
      <c r="B2190" s="13" t="s">
        <v>2288</v>
      </c>
      <c r="C2190" s="16" t="s">
        <v>3049</v>
      </c>
      <c r="D2190" s="13">
        <v>7891097101854</v>
      </c>
    </row>
    <row r="2191" spans="1:4">
      <c r="A2191" s="70" t="s">
        <v>3047</v>
      </c>
      <c r="B2191" s="13" t="s">
        <v>2288</v>
      </c>
      <c r="C2191" s="16" t="s">
        <v>3050</v>
      </c>
      <c r="D2191" s="13">
        <v>7891097101861</v>
      </c>
    </row>
    <row r="2192" spans="1:4">
      <c r="A2192" s="70" t="s">
        <v>2594</v>
      </c>
      <c r="B2192" s="13" t="s">
        <v>2288</v>
      </c>
      <c r="C2192" s="16" t="s">
        <v>2598</v>
      </c>
      <c r="D2192" s="13">
        <v>7891097011580</v>
      </c>
    </row>
    <row r="2193" spans="1:4">
      <c r="A2193" s="37" t="s">
        <v>3351</v>
      </c>
      <c r="B2193" s="13" t="s">
        <v>2281</v>
      </c>
      <c r="C2193" s="16" t="s">
        <v>3355</v>
      </c>
      <c r="D2193" s="13">
        <v>7898215158851</v>
      </c>
    </row>
    <row r="2194" spans="1:4">
      <c r="A2194" s="70" t="s">
        <v>2595</v>
      </c>
      <c r="B2194" s="13" t="s">
        <v>2281</v>
      </c>
      <c r="C2194" s="16" t="s">
        <v>2599</v>
      </c>
      <c r="D2194" s="13">
        <v>7891330017355</v>
      </c>
    </row>
    <row r="2195" spans="1:4">
      <c r="A2195" s="70" t="s">
        <v>2595</v>
      </c>
      <c r="B2195" s="13" t="s">
        <v>2281</v>
      </c>
      <c r="C2195" s="16" t="s">
        <v>2600</v>
      </c>
      <c r="D2195" s="13">
        <v>7891330017317</v>
      </c>
    </row>
    <row r="2196" spans="1:4">
      <c r="A2196" s="70" t="s">
        <v>2595</v>
      </c>
      <c r="B2196" s="13" t="s">
        <v>2281</v>
      </c>
      <c r="C2196" s="16" t="s">
        <v>2601</v>
      </c>
      <c r="D2196" s="13">
        <v>7891330017348</v>
      </c>
    </row>
    <row r="2197" spans="1:4">
      <c r="A2197" s="70" t="s">
        <v>2595</v>
      </c>
      <c r="B2197" s="13" t="s">
        <v>2281</v>
      </c>
      <c r="C2197" s="16" t="s">
        <v>2602</v>
      </c>
      <c r="D2197" s="13">
        <v>7891330017362</v>
      </c>
    </row>
    <row r="2198" spans="1:4">
      <c r="A2198" s="70" t="s">
        <v>2595</v>
      </c>
      <c r="B2198" s="13" t="s">
        <v>2281</v>
      </c>
      <c r="C2198" s="16" t="s">
        <v>2603</v>
      </c>
      <c r="D2198" s="13">
        <v>7891330018864</v>
      </c>
    </row>
    <row r="2199" spans="1:4">
      <c r="A2199" s="70" t="s">
        <v>2595</v>
      </c>
      <c r="B2199" s="13" t="s">
        <v>2281</v>
      </c>
      <c r="C2199" s="16" t="s">
        <v>2604</v>
      </c>
      <c r="D2199" s="13">
        <v>7891330017331</v>
      </c>
    </row>
    <row r="2200" spans="1:4">
      <c r="A2200" s="70" t="s">
        <v>2595</v>
      </c>
      <c r="B2200" s="13" t="s">
        <v>2281</v>
      </c>
      <c r="C2200" s="16" t="s">
        <v>2605</v>
      </c>
      <c r="D2200" s="13">
        <v>7891330017324</v>
      </c>
    </row>
    <row r="2201" spans="1:4">
      <c r="A2201" s="70" t="s">
        <v>2595</v>
      </c>
      <c r="B2201" s="13" t="s">
        <v>2281</v>
      </c>
      <c r="C2201" s="16" t="s">
        <v>2606</v>
      </c>
      <c r="D2201" s="13">
        <v>7891330017959</v>
      </c>
    </row>
    <row r="2202" spans="1:4">
      <c r="A2202" s="70" t="s">
        <v>2592</v>
      </c>
      <c r="B2202" s="17" t="s">
        <v>2281</v>
      </c>
      <c r="C2202" s="16" t="s">
        <v>2607</v>
      </c>
      <c r="D2202" s="13">
        <v>7896035700021</v>
      </c>
    </row>
    <row r="2203" spans="1:4">
      <c r="A2203" s="70" t="s">
        <v>2592</v>
      </c>
      <c r="B2203" s="17" t="s">
        <v>2281</v>
      </c>
      <c r="C2203" s="16" t="s">
        <v>2608</v>
      </c>
      <c r="D2203" s="13">
        <v>7896035700014</v>
      </c>
    </row>
    <row r="2204" spans="1:4">
      <c r="A2204" s="70" t="s">
        <v>2592</v>
      </c>
      <c r="B2204" s="17" t="s">
        <v>2281</v>
      </c>
      <c r="C2204" s="16" t="s">
        <v>2739</v>
      </c>
      <c r="D2204" s="13">
        <v>7896035700038</v>
      </c>
    </row>
    <row r="2205" spans="1:4">
      <c r="A2205" s="70" t="s">
        <v>2592</v>
      </c>
      <c r="B2205" s="17" t="s">
        <v>2281</v>
      </c>
      <c r="C2205" s="16" t="s">
        <v>2738</v>
      </c>
      <c r="D2205" s="13">
        <v>7896035700052</v>
      </c>
    </row>
    <row r="2206" spans="1:4">
      <c r="A2206" s="70" t="s">
        <v>2592</v>
      </c>
      <c r="B2206" s="17" t="s">
        <v>2281</v>
      </c>
      <c r="C2206" s="16" t="s">
        <v>2609</v>
      </c>
      <c r="D2206" s="13">
        <v>7896035700045</v>
      </c>
    </row>
    <row r="2207" spans="1:4">
      <c r="A2207" s="70" t="s">
        <v>2611</v>
      </c>
      <c r="B2207" s="17" t="s">
        <v>2287</v>
      </c>
      <c r="C2207" s="16" t="s">
        <v>2612</v>
      </c>
      <c r="D2207" s="13">
        <v>7702425810969</v>
      </c>
    </row>
    <row r="2208" spans="1:4">
      <c r="A2208" s="70" t="s">
        <v>3497</v>
      </c>
      <c r="B2208" s="13" t="s">
        <v>2286</v>
      </c>
      <c r="C2208" s="16" t="s">
        <v>2613</v>
      </c>
      <c r="D2208" s="13">
        <v>7896056404717</v>
      </c>
    </row>
    <row r="2209" spans="1:4">
      <c r="A2209" s="70" t="s">
        <v>2614</v>
      </c>
      <c r="B2209" s="13" t="s">
        <v>2286</v>
      </c>
      <c r="C2209" s="16" t="s">
        <v>2615</v>
      </c>
      <c r="D2209" s="13">
        <v>7896098905661</v>
      </c>
    </row>
    <row r="2210" spans="1:4">
      <c r="A2210" s="10" t="s">
        <v>2617</v>
      </c>
      <c r="B2210" s="17" t="s">
        <v>2288</v>
      </c>
      <c r="C2210" s="16" t="s">
        <v>950</v>
      </c>
      <c r="D2210" s="13">
        <v>7891999144485</v>
      </c>
    </row>
    <row r="2211" spans="1:4">
      <c r="A2211" s="70" t="s">
        <v>2618</v>
      </c>
      <c r="B2211" s="17" t="s">
        <v>2283</v>
      </c>
      <c r="C2211" s="16" t="s">
        <v>2619</v>
      </c>
      <c r="D2211" s="13">
        <v>7891991015462</v>
      </c>
    </row>
    <row r="2212" spans="1:4">
      <c r="A2212" s="10" t="s">
        <v>2618</v>
      </c>
      <c r="B2212" s="17" t="s">
        <v>2283</v>
      </c>
      <c r="C2212" s="16" t="s">
        <v>217</v>
      </c>
      <c r="D2212" s="13">
        <v>7891991015486</v>
      </c>
    </row>
    <row r="2213" spans="1:4">
      <c r="A2213" s="70" t="s">
        <v>2829</v>
      </c>
      <c r="B2213" s="17" t="s">
        <v>2281</v>
      </c>
      <c r="C2213" s="16" t="s">
        <v>912</v>
      </c>
      <c r="D2213" s="13">
        <v>7891000076231</v>
      </c>
    </row>
    <row r="2214" spans="1:4">
      <c r="A2214" s="70" t="s">
        <v>2829</v>
      </c>
      <c r="B2214" s="17" t="s">
        <v>2281</v>
      </c>
      <c r="C2214" s="16" t="s">
        <v>912</v>
      </c>
      <c r="D2214" s="13">
        <v>7898215157410</v>
      </c>
    </row>
    <row r="2215" spans="1:4">
      <c r="A2215" s="70" t="s">
        <v>2829</v>
      </c>
      <c r="B2215" s="17" t="s">
        <v>2281</v>
      </c>
      <c r="C2215" s="16" t="s">
        <v>911</v>
      </c>
      <c r="D2215" s="13">
        <v>7898215157359</v>
      </c>
    </row>
    <row r="2216" spans="1:4">
      <c r="A2216" s="70" t="s">
        <v>2829</v>
      </c>
      <c r="B2216" s="17" t="s">
        <v>2281</v>
      </c>
      <c r="C2216" s="16" t="s">
        <v>939</v>
      </c>
      <c r="D2216" s="13">
        <v>7898215157458</v>
      </c>
    </row>
    <row r="2217" spans="1:4">
      <c r="A2217" s="70" t="s">
        <v>2829</v>
      </c>
      <c r="B2217" s="17" t="s">
        <v>2281</v>
      </c>
      <c r="C2217" s="16" t="s">
        <v>2745</v>
      </c>
      <c r="D2217" s="13">
        <v>7891000106754</v>
      </c>
    </row>
    <row r="2218" spans="1:4">
      <c r="A2218" s="70" t="s">
        <v>2829</v>
      </c>
      <c r="B2218" s="17" t="s">
        <v>2281</v>
      </c>
      <c r="C2218" s="16" t="s">
        <v>2620</v>
      </c>
      <c r="D2218" s="13">
        <v>7898215157434</v>
      </c>
    </row>
    <row r="2219" spans="1:4">
      <c r="A2219" s="70" t="s">
        <v>2829</v>
      </c>
      <c r="B2219" s="17" t="s">
        <v>2281</v>
      </c>
      <c r="C2219" s="16" t="s">
        <v>2621</v>
      </c>
      <c r="D2219" s="13">
        <v>7891000119495</v>
      </c>
    </row>
    <row r="2220" spans="1:4">
      <c r="A2220" s="70" t="s">
        <v>2664</v>
      </c>
      <c r="B2220" s="17" t="s">
        <v>2287</v>
      </c>
      <c r="C2220" s="16" t="s">
        <v>715</v>
      </c>
      <c r="D2220" s="13">
        <v>7896451844811</v>
      </c>
    </row>
    <row r="2221" spans="1:4">
      <c r="A2221" s="70" t="s">
        <v>2664</v>
      </c>
      <c r="B2221" s="17" t="s">
        <v>2287</v>
      </c>
      <c r="C2221" s="16" t="s">
        <v>2515</v>
      </c>
      <c r="D2221" s="13">
        <v>7896451844828</v>
      </c>
    </row>
    <row r="2222" spans="1:4">
      <c r="A2222" s="70" t="s">
        <v>2661</v>
      </c>
      <c r="B2222" s="13" t="s">
        <v>2281</v>
      </c>
      <c r="C2222" s="16" t="s">
        <v>2622</v>
      </c>
      <c r="D2222" s="13">
        <v>7891000294376</v>
      </c>
    </row>
    <row r="2223" spans="1:4">
      <c r="A2223" s="70" t="s">
        <v>2661</v>
      </c>
      <c r="B2223" s="13" t="s">
        <v>2281</v>
      </c>
      <c r="C2223" s="16" t="s">
        <v>2623</v>
      </c>
      <c r="D2223" s="13">
        <v>7891000243954</v>
      </c>
    </row>
    <row r="2224" spans="1:4">
      <c r="A2224" s="70" t="s">
        <v>2661</v>
      </c>
      <c r="B2224" s="13" t="s">
        <v>2281</v>
      </c>
      <c r="C2224" s="16" t="s">
        <v>2624</v>
      </c>
      <c r="D2224" s="13">
        <v>7891000243787</v>
      </c>
    </row>
    <row r="2225" spans="1:4">
      <c r="A2225" s="70" t="s">
        <v>2661</v>
      </c>
      <c r="B2225" s="13" t="s">
        <v>2281</v>
      </c>
      <c r="C2225" s="16" t="s">
        <v>2625</v>
      </c>
      <c r="D2225" s="13">
        <v>7891000291863</v>
      </c>
    </row>
    <row r="2226" spans="1:4">
      <c r="A2226" s="70" t="s">
        <v>2661</v>
      </c>
      <c r="B2226" s="13" t="s">
        <v>2281</v>
      </c>
      <c r="C2226" s="16" t="s">
        <v>2626</v>
      </c>
      <c r="D2226" s="13">
        <v>7891000621981</v>
      </c>
    </row>
    <row r="2227" spans="1:4">
      <c r="A2227" s="70" t="s">
        <v>2661</v>
      </c>
      <c r="B2227" s="13" t="s">
        <v>2281</v>
      </c>
      <c r="C2227" s="16" t="s">
        <v>2627</v>
      </c>
      <c r="D2227" s="13">
        <v>7891000243725</v>
      </c>
    </row>
    <row r="2228" spans="1:4">
      <c r="A2228" s="70" t="s">
        <v>2661</v>
      </c>
      <c r="B2228" s="13" t="s">
        <v>2281</v>
      </c>
      <c r="C2228" s="16" t="s">
        <v>2628</v>
      </c>
      <c r="D2228" s="13">
        <v>7891000355886</v>
      </c>
    </row>
    <row r="2229" spans="1:4">
      <c r="A2229" s="70" t="s">
        <v>2661</v>
      </c>
      <c r="B2229" s="13" t="s">
        <v>2281</v>
      </c>
      <c r="C2229" s="16" t="s">
        <v>2629</v>
      </c>
      <c r="D2229" s="13">
        <v>7891000147238</v>
      </c>
    </row>
    <row r="2230" spans="1:4">
      <c r="A2230" s="70" t="s">
        <v>2661</v>
      </c>
      <c r="B2230" s="13" t="s">
        <v>2281</v>
      </c>
      <c r="C2230" s="16" t="s">
        <v>2630</v>
      </c>
      <c r="D2230" s="13">
        <v>7891000302750</v>
      </c>
    </row>
    <row r="2231" spans="1:4">
      <c r="A2231" s="70" t="s">
        <v>2661</v>
      </c>
      <c r="B2231" s="13" t="s">
        <v>2281</v>
      </c>
      <c r="C2231" s="16" t="s">
        <v>3055</v>
      </c>
      <c r="D2231" s="13">
        <v>7891000158845</v>
      </c>
    </row>
    <row r="2232" spans="1:4">
      <c r="A2232" s="70" t="s">
        <v>2661</v>
      </c>
      <c r="B2232" s="13" t="s">
        <v>2281</v>
      </c>
      <c r="C2232" s="16" t="s">
        <v>3056</v>
      </c>
      <c r="D2232" s="13">
        <v>7891000513408</v>
      </c>
    </row>
    <row r="2233" spans="1:4">
      <c r="A2233" s="70" t="s">
        <v>2661</v>
      </c>
      <c r="B2233" s="13" t="s">
        <v>2281</v>
      </c>
      <c r="C2233" s="16" t="s">
        <v>3057</v>
      </c>
      <c r="D2233" s="13">
        <v>7891000401583</v>
      </c>
    </row>
    <row r="2234" spans="1:4">
      <c r="A2234" s="70" t="s">
        <v>2661</v>
      </c>
      <c r="B2234" s="13" t="s">
        <v>2281</v>
      </c>
      <c r="C2234" s="16" t="s">
        <v>3058</v>
      </c>
      <c r="D2234" s="13">
        <v>7891000551615</v>
      </c>
    </row>
    <row r="2235" spans="1:4">
      <c r="A2235" s="70" t="s">
        <v>2661</v>
      </c>
      <c r="B2235" s="13" t="s">
        <v>2281</v>
      </c>
      <c r="C2235" s="16" t="s">
        <v>2631</v>
      </c>
      <c r="D2235" s="13">
        <v>7891000388655</v>
      </c>
    </row>
    <row r="2236" spans="1:4">
      <c r="A2236" s="70" t="s">
        <v>2661</v>
      </c>
      <c r="B2236" s="13" t="s">
        <v>2281</v>
      </c>
      <c r="C2236" s="16" t="s">
        <v>2632</v>
      </c>
      <c r="D2236" s="13">
        <v>7891000907573</v>
      </c>
    </row>
    <row r="2237" spans="1:4">
      <c r="A2237" s="70" t="s">
        <v>2829</v>
      </c>
      <c r="B2237" s="17" t="s">
        <v>2281</v>
      </c>
      <c r="C2237" s="16" t="s">
        <v>2074</v>
      </c>
      <c r="D2237" s="13">
        <v>7898215157311</v>
      </c>
    </row>
    <row r="2238" spans="1:4">
      <c r="A2238" s="70" t="s">
        <v>2829</v>
      </c>
      <c r="B2238" s="17" t="s">
        <v>2281</v>
      </c>
      <c r="C2238" s="72" t="s">
        <v>932</v>
      </c>
      <c r="D2238" s="13">
        <v>7891000106761</v>
      </c>
    </row>
    <row r="2239" spans="1:4">
      <c r="A2239" s="70" t="s">
        <v>2829</v>
      </c>
      <c r="B2239" s="17" t="s">
        <v>2281</v>
      </c>
      <c r="C2239" s="72" t="s">
        <v>932</v>
      </c>
      <c r="D2239" s="13">
        <v>7898215157455</v>
      </c>
    </row>
    <row r="2240" spans="1:4">
      <c r="A2240" s="70" t="s">
        <v>2829</v>
      </c>
      <c r="B2240" s="17" t="s">
        <v>2281</v>
      </c>
      <c r="C2240" s="72" t="s">
        <v>2633</v>
      </c>
      <c r="D2240" s="13">
        <v>17891000076248</v>
      </c>
    </row>
    <row r="2241" spans="1:4">
      <c r="A2241" s="70" t="s">
        <v>2829</v>
      </c>
      <c r="B2241" s="17" t="s">
        <v>2281</v>
      </c>
      <c r="C2241" s="72" t="s">
        <v>2633</v>
      </c>
      <c r="D2241" s="13">
        <v>7898215157417</v>
      </c>
    </row>
    <row r="2242" spans="1:4">
      <c r="A2242" s="70" t="s">
        <v>1602</v>
      </c>
      <c r="B2242" s="17" t="s">
        <v>2283</v>
      </c>
      <c r="C2242" s="72" t="s">
        <v>3591</v>
      </c>
      <c r="D2242" s="75">
        <v>7896045506323</v>
      </c>
    </row>
    <row r="2243" spans="1:4">
      <c r="A2243" s="70" t="s">
        <v>2638</v>
      </c>
      <c r="B2243" s="13" t="s">
        <v>2281</v>
      </c>
      <c r="C2243" s="16" t="s">
        <v>340</v>
      </c>
      <c r="D2243" s="13">
        <v>7898215157403</v>
      </c>
    </row>
    <row r="2244" spans="1:4">
      <c r="A2244" s="70" t="s">
        <v>2638</v>
      </c>
      <c r="B2244" s="13" t="s">
        <v>2281</v>
      </c>
      <c r="C2244" s="16" t="s">
        <v>1108</v>
      </c>
      <c r="D2244" s="13">
        <v>7891000066577</v>
      </c>
    </row>
    <row r="2245" spans="1:4">
      <c r="A2245" s="70" t="s">
        <v>2635</v>
      </c>
      <c r="B2245" s="13" t="s">
        <v>2281</v>
      </c>
      <c r="C2245" s="16" t="s">
        <v>2639</v>
      </c>
      <c r="D2245" s="13">
        <v>7891330017096</v>
      </c>
    </row>
    <row r="2246" spans="1:4">
      <c r="A2246" s="70" t="s">
        <v>2636</v>
      </c>
      <c r="B2246" s="13" t="s">
        <v>2640</v>
      </c>
      <c r="C2246" s="16" t="s">
        <v>2641</v>
      </c>
      <c r="D2246" s="13">
        <v>7896102000368</v>
      </c>
    </row>
    <row r="2247" spans="1:4">
      <c r="A2247" s="70" t="s">
        <v>2636</v>
      </c>
      <c r="B2247" s="13" t="s">
        <v>2640</v>
      </c>
      <c r="C2247" s="16" t="s">
        <v>2642</v>
      </c>
      <c r="D2247" s="13">
        <v>7896102593068</v>
      </c>
    </row>
    <row r="2248" spans="1:4">
      <c r="A2248" s="70" t="s">
        <v>2636</v>
      </c>
      <c r="B2248" s="13" t="s">
        <v>2640</v>
      </c>
      <c r="C2248" s="16" t="s">
        <v>2643</v>
      </c>
      <c r="D2248" s="13">
        <v>7896102501544</v>
      </c>
    </row>
    <row r="2249" spans="1:4">
      <c r="A2249" s="70" t="s">
        <v>2636</v>
      </c>
      <c r="B2249" s="13" t="s">
        <v>2640</v>
      </c>
      <c r="C2249" s="16" t="s">
        <v>2643</v>
      </c>
      <c r="D2249" s="13">
        <v>7896102503708</v>
      </c>
    </row>
    <row r="2250" spans="1:4">
      <c r="A2250" s="70" t="s">
        <v>2644</v>
      </c>
      <c r="B2250" s="13" t="s">
        <v>2283</v>
      </c>
      <c r="C2250" s="16" t="s">
        <v>2647</v>
      </c>
      <c r="D2250" s="13">
        <v>7898963997344</v>
      </c>
    </row>
    <row r="2251" spans="1:4">
      <c r="A2251" s="10" t="s">
        <v>2695</v>
      </c>
      <c r="B2251" s="17" t="s">
        <v>2281</v>
      </c>
      <c r="C2251" s="16" t="s">
        <v>2312</v>
      </c>
      <c r="D2251" s="13">
        <v>7896004007625</v>
      </c>
    </row>
    <row r="2252" spans="1:4">
      <c r="A2252" s="70" t="s">
        <v>2645</v>
      </c>
      <c r="B2252" s="13" t="s">
        <v>2287</v>
      </c>
      <c r="C2252" s="16" t="s">
        <v>2648</v>
      </c>
      <c r="D2252" s="13">
        <v>7898363313232</v>
      </c>
    </row>
    <row r="2253" spans="1:4">
      <c r="A2253" s="70" t="s">
        <v>2645</v>
      </c>
      <c r="B2253" s="13" t="s">
        <v>2287</v>
      </c>
      <c r="C2253" s="16" t="s">
        <v>2649</v>
      </c>
      <c r="D2253" s="13">
        <v>7898363314208</v>
      </c>
    </row>
    <row r="2254" spans="1:4">
      <c r="A2254" s="70" t="s">
        <v>2645</v>
      </c>
      <c r="B2254" s="13" t="s">
        <v>2287</v>
      </c>
      <c r="C2254" s="16" t="s">
        <v>2650</v>
      </c>
      <c r="D2254" s="13">
        <v>7898363313287</v>
      </c>
    </row>
    <row r="2255" spans="1:4">
      <c r="A2255" s="70" t="s">
        <v>2654</v>
      </c>
      <c r="B2255" s="13" t="s">
        <v>2284</v>
      </c>
      <c r="C2255" s="16" t="s">
        <v>2656</v>
      </c>
      <c r="D2255" s="13">
        <v>7891095911486</v>
      </c>
    </row>
    <row r="2256" spans="1:4">
      <c r="A2256" s="70" t="s">
        <v>2654</v>
      </c>
      <c r="B2256" s="17" t="s">
        <v>2284</v>
      </c>
      <c r="C2256" s="16" t="s">
        <v>2656</v>
      </c>
      <c r="D2256" s="13">
        <v>7891095031665</v>
      </c>
    </row>
    <row r="2257" spans="1:4">
      <c r="A2257" s="70" t="s">
        <v>2653</v>
      </c>
      <c r="B2257" s="13" t="s">
        <v>2281</v>
      </c>
      <c r="C2257" s="16" t="s">
        <v>2657</v>
      </c>
      <c r="D2257" s="13">
        <v>7898215151807</v>
      </c>
    </row>
    <row r="2258" spans="1:4">
      <c r="A2258" s="70" t="s">
        <v>2655</v>
      </c>
      <c r="B2258" s="13" t="s">
        <v>2286</v>
      </c>
      <c r="C2258" s="16" t="s">
        <v>2658</v>
      </c>
      <c r="D2258" s="13">
        <v>7896098909751</v>
      </c>
    </row>
    <row r="2259" spans="1:4">
      <c r="A2259" s="70" t="s">
        <v>2655</v>
      </c>
      <c r="B2259" s="13" t="s">
        <v>2286</v>
      </c>
      <c r="C2259" s="16" t="s">
        <v>2659</v>
      </c>
      <c r="D2259" s="13">
        <v>7896098909744</v>
      </c>
    </row>
    <row r="2260" spans="1:4">
      <c r="A2260" s="70" t="s">
        <v>2663</v>
      </c>
      <c r="B2260" s="13" t="s">
        <v>2640</v>
      </c>
      <c r="C2260" s="16" t="s">
        <v>2666</v>
      </c>
      <c r="D2260" s="13">
        <v>7896102583182</v>
      </c>
    </row>
    <row r="2261" spans="1:4">
      <c r="A2261" s="70" t="s">
        <v>2663</v>
      </c>
      <c r="B2261" s="13" t="s">
        <v>2640</v>
      </c>
      <c r="C2261" s="16" t="s">
        <v>2667</v>
      </c>
      <c r="D2261" s="13">
        <v>7896102582949</v>
      </c>
    </row>
    <row r="2262" spans="1:4">
      <c r="A2262" s="70" t="s">
        <v>2665</v>
      </c>
      <c r="B2262" s="13" t="s">
        <v>2282</v>
      </c>
      <c r="C2262" s="16" t="s">
        <v>2668</v>
      </c>
      <c r="D2262" s="13">
        <v>7891515880507</v>
      </c>
    </row>
    <row r="2263" spans="1:4">
      <c r="A2263" s="10" t="s">
        <v>2669</v>
      </c>
      <c r="B2263" s="13" t="s">
        <v>2286</v>
      </c>
      <c r="C2263" s="16" t="s">
        <v>2670</v>
      </c>
      <c r="D2263" s="13">
        <v>7500435177566</v>
      </c>
    </row>
    <row r="2264" spans="1:4">
      <c r="A2264" s="70" t="s">
        <v>2672</v>
      </c>
      <c r="B2264" s="13" t="s">
        <v>2286</v>
      </c>
      <c r="C2264" s="16" t="s">
        <v>2673</v>
      </c>
      <c r="D2264" s="13">
        <v>7891150086845</v>
      </c>
    </row>
    <row r="2265" spans="1:4">
      <c r="A2265" s="70" t="s">
        <v>2679</v>
      </c>
      <c r="B2265" s="13" t="s">
        <v>2640</v>
      </c>
      <c r="C2265" s="16" t="s">
        <v>2680</v>
      </c>
      <c r="D2265" s="13">
        <v>7896102503708</v>
      </c>
    </row>
    <row r="2266" spans="1:4">
      <c r="A2266" s="70" t="s">
        <v>2681</v>
      </c>
      <c r="B2266" s="13" t="s">
        <v>2287</v>
      </c>
      <c r="C2266" s="16" t="s">
        <v>2682</v>
      </c>
      <c r="D2266" s="13">
        <v>7891023547282</v>
      </c>
    </row>
    <row r="2267" spans="1:4">
      <c r="A2267" s="70" t="s">
        <v>2681</v>
      </c>
      <c r="B2267" s="13" t="s">
        <v>2287</v>
      </c>
      <c r="C2267" s="16" t="s">
        <v>2683</v>
      </c>
      <c r="D2267" s="13">
        <v>7891023547299</v>
      </c>
    </row>
    <row r="2268" spans="1:4">
      <c r="A2268" s="70" t="s">
        <v>2681</v>
      </c>
      <c r="B2268" s="13" t="s">
        <v>2287</v>
      </c>
      <c r="C2268" s="16" t="s">
        <v>2684</v>
      </c>
      <c r="D2268" s="13">
        <v>7891023027005</v>
      </c>
    </row>
    <row r="2269" spans="1:4">
      <c r="A2269" s="10" t="s">
        <v>2686</v>
      </c>
      <c r="B2269" s="13" t="s">
        <v>2640</v>
      </c>
      <c r="C2269" s="15" t="s">
        <v>2688</v>
      </c>
      <c r="D2269" s="13">
        <v>7896102501896</v>
      </c>
    </row>
    <row r="2270" spans="1:4">
      <c r="A2270" s="70" t="s">
        <v>2694</v>
      </c>
      <c r="B2270" s="13" t="s">
        <v>2281</v>
      </c>
      <c r="C2270" s="16" t="s">
        <v>1970</v>
      </c>
      <c r="D2270" s="13">
        <v>7896003738605</v>
      </c>
    </row>
    <row r="2271" spans="1:4">
      <c r="A2271" s="70" t="s">
        <v>2694</v>
      </c>
      <c r="B2271" s="13" t="s">
        <v>2281</v>
      </c>
      <c r="C2271" s="16" t="s">
        <v>1969</v>
      </c>
      <c r="D2271" s="13">
        <v>7896003738636</v>
      </c>
    </row>
    <row r="2272" spans="1:4">
      <c r="A2272" s="70" t="s">
        <v>2694</v>
      </c>
      <c r="B2272" s="13" t="s">
        <v>2281</v>
      </c>
      <c r="C2272" s="16" t="s">
        <v>2029</v>
      </c>
      <c r="D2272" s="13">
        <v>7896003738612</v>
      </c>
    </row>
    <row r="2273" spans="1:4">
      <c r="A2273" s="70" t="s">
        <v>2692</v>
      </c>
      <c r="B2273" s="17" t="s">
        <v>2281</v>
      </c>
      <c r="C2273" s="16" t="s">
        <v>2696</v>
      </c>
      <c r="D2273" s="13">
        <v>7891330019373</v>
      </c>
    </row>
    <row r="2274" spans="1:4">
      <c r="A2274" s="70" t="s">
        <v>2692</v>
      </c>
      <c r="B2274" s="17" t="s">
        <v>2281</v>
      </c>
      <c r="C2274" s="16" t="s">
        <v>2697</v>
      </c>
      <c r="D2274" s="13">
        <v>7891330019359</v>
      </c>
    </row>
    <row r="2275" spans="1:4">
      <c r="A2275" s="70" t="s">
        <v>2692</v>
      </c>
      <c r="B2275" s="17" t="s">
        <v>2281</v>
      </c>
      <c r="C2275" s="16" t="s">
        <v>2698</v>
      </c>
      <c r="D2275" s="13">
        <v>7891330019335</v>
      </c>
    </row>
    <row r="2276" spans="1:4">
      <c r="A2276" s="70" t="s">
        <v>2692</v>
      </c>
      <c r="B2276" s="17" t="s">
        <v>2281</v>
      </c>
      <c r="C2276" s="16" t="s">
        <v>2699</v>
      </c>
      <c r="D2276" s="13">
        <v>7891330018895</v>
      </c>
    </row>
    <row r="2277" spans="1:4">
      <c r="A2277" s="70" t="s">
        <v>2692</v>
      </c>
      <c r="B2277" s="17" t="s">
        <v>2281</v>
      </c>
      <c r="C2277" s="16" t="s">
        <v>2700</v>
      </c>
      <c r="D2277" s="13">
        <v>7891330019366</v>
      </c>
    </row>
    <row r="2278" spans="1:4">
      <c r="A2278" s="70" t="s">
        <v>2692</v>
      </c>
      <c r="B2278" s="17" t="s">
        <v>2281</v>
      </c>
      <c r="C2278" s="16" t="s">
        <v>2701</v>
      </c>
      <c r="D2278" s="13">
        <v>7891330019342</v>
      </c>
    </row>
    <row r="2279" spans="1:4">
      <c r="A2279" s="70" t="s">
        <v>2692</v>
      </c>
      <c r="B2279" s="17" t="s">
        <v>2281</v>
      </c>
      <c r="C2279" s="16" t="s">
        <v>2702</v>
      </c>
      <c r="D2279" s="13">
        <v>7891330019328</v>
      </c>
    </row>
    <row r="2280" spans="1:4">
      <c r="A2280" s="70" t="s">
        <v>2692</v>
      </c>
      <c r="B2280" s="17" t="s">
        <v>2281</v>
      </c>
      <c r="C2280" s="16" t="s">
        <v>2703</v>
      </c>
      <c r="D2280" s="13">
        <v>7891330019380</v>
      </c>
    </row>
    <row r="2281" spans="1:4">
      <c r="A2281" s="70" t="s">
        <v>2692</v>
      </c>
      <c r="B2281" s="17" t="s">
        <v>2281</v>
      </c>
      <c r="C2281" s="16" t="s">
        <v>2708</v>
      </c>
      <c r="D2281" s="13">
        <v>7891330017355</v>
      </c>
    </row>
    <row r="2282" spans="1:4">
      <c r="A2282" s="70" t="s">
        <v>2692</v>
      </c>
      <c r="B2282" s="17" t="s">
        <v>2281</v>
      </c>
      <c r="C2282" s="16" t="s">
        <v>2709</v>
      </c>
      <c r="D2282" s="13">
        <v>7891330017331</v>
      </c>
    </row>
    <row r="2283" spans="1:4">
      <c r="A2283" s="70" t="s">
        <v>2692</v>
      </c>
      <c r="B2283" s="17" t="s">
        <v>2281</v>
      </c>
      <c r="C2283" s="16" t="s">
        <v>2710</v>
      </c>
      <c r="D2283" s="13">
        <v>7891330017324</v>
      </c>
    </row>
    <row r="2284" spans="1:4">
      <c r="A2284" s="70" t="s">
        <v>2692</v>
      </c>
      <c r="B2284" s="17" t="s">
        <v>2281</v>
      </c>
      <c r="C2284" s="16" t="s">
        <v>2711</v>
      </c>
      <c r="D2284" s="13">
        <v>7891330018864</v>
      </c>
    </row>
    <row r="2285" spans="1:4">
      <c r="A2285" s="70" t="s">
        <v>2692</v>
      </c>
      <c r="B2285" s="17" t="s">
        <v>2281</v>
      </c>
      <c r="C2285" s="16" t="s">
        <v>2712</v>
      </c>
      <c r="D2285" s="13">
        <v>7891330017959</v>
      </c>
    </row>
    <row r="2286" spans="1:4">
      <c r="A2286" s="70" t="s">
        <v>2692</v>
      </c>
      <c r="B2286" s="17" t="s">
        <v>2281</v>
      </c>
      <c r="C2286" s="16" t="s">
        <v>2600</v>
      </c>
      <c r="D2286" s="13">
        <v>7891330017317</v>
      </c>
    </row>
    <row r="2287" spans="1:4">
      <c r="A2287" s="70" t="s">
        <v>2692</v>
      </c>
      <c r="B2287" s="17" t="s">
        <v>2281</v>
      </c>
      <c r="C2287" s="16" t="s">
        <v>2714</v>
      </c>
      <c r="D2287" s="13">
        <v>7891330017348</v>
      </c>
    </row>
    <row r="2288" spans="1:4">
      <c r="A2288" s="70" t="s">
        <v>2692</v>
      </c>
      <c r="B2288" s="17" t="s">
        <v>2281</v>
      </c>
      <c r="C2288" s="16" t="s">
        <v>2602</v>
      </c>
      <c r="D2288" s="13">
        <v>7891330017362</v>
      </c>
    </row>
    <row r="2289" spans="1:4">
      <c r="A2289" s="70" t="s">
        <v>2692</v>
      </c>
      <c r="B2289" s="17" t="s">
        <v>2281</v>
      </c>
      <c r="C2289" s="16" t="s">
        <v>2704</v>
      </c>
      <c r="D2289" s="13">
        <v>7891330019311</v>
      </c>
    </row>
    <row r="2290" spans="1:4">
      <c r="A2290" s="70" t="s">
        <v>2693</v>
      </c>
      <c r="B2290" s="13" t="s">
        <v>2283</v>
      </c>
      <c r="C2290" s="16" t="s">
        <v>2705</v>
      </c>
      <c r="D2290" s="13">
        <v>7891149108718</v>
      </c>
    </row>
    <row r="2291" spans="1:4">
      <c r="A2291" s="70" t="s">
        <v>2693</v>
      </c>
      <c r="B2291" s="13" t="s">
        <v>2283</v>
      </c>
      <c r="C2291" s="73" t="s">
        <v>2715</v>
      </c>
      <c r="D2291" s="75">
        <v>7891149108725</v>
      </c>
    </row>
    <row r="2292" spans="1:4">
      <c r="A2292" s="70" t="s">
        <v>2693</v>
      </c>
      <c r="B2292" s="13" t="s">
        <v>2283</v>
      </c>
      <c r="C2292" s="73" t="s">
        <v>2727</v>
      </c>
      <c r="D2292" s="75">
        <v>7891149108732</v>
      </c>
    </row>
    <row r="2293" spans="1:4">
      <c r="A2293" s="70" t="s">
        <v>3086</v>
      </c>
      <c r="B2293" s="13" t="s">
        <v>2286</v>
      </c>
      <c r="C2293" s="16" t="s">
        <v>2706</v>
      </c>
      <c r="D2293" s="13">
        <v>7896098909904</v>
      </c>
    </row>
    <row r="2294" spans="1:4">
      <c r="A2294" s="70" t="s">
        <v>3086</v>
      </c>
      <c r="B2294" s="13" t="s">
        <v>2286</v>
      </c>
      <c r="C2294" s="16" t="s">
        <v>2707</v>
      </c>
      <c r="D2294" s="13">
        <v>7896098909959</v>
      </c>
    </row>
    <row r="2295" spans="1:4">
      <c r="A2295" s="10" t="s">
        <v>2719</v>
      </c>
      <c r="B2295" s="13" t="s">
        <v>2281</v>
      </c>
      <c r="C2295" s="16" t="s">
        <v>2736</v>
      </c>
      <c r="D2295" s="13">
        <v>7896089013405</v>
      </c>
    </row>
    <row r="2296" spans="1:4">
      <c r="A2296" s="10" t="s">
        <v>2719</v>
      </c>
      <c r="B2296" s="13" t="s">
        <v>2281</v>
      </c>
      <c r="C2296" s="16" t="s">
        <v>2737</v>
      </c>
      <c r="D2296" s="13">
        <v>7896089011357</v>
      </c>
    </row>
    <row r="2297" spans="1:4">
      <c r="A2297" s="10" t="s">
        <v>2716</v>
      </c>
      <c r="B2297" s="17" t="s">
        <v>2288</v>
      </c>
      <c r="C2297" s="16" t="s">
        <v>2722</v>
      </c>
      <c r="D2297" s="13">
        <v>7891999006271</v>
      </c>
    </row>
    <row r="2298" spans="1:4">
      <c r="A2298" s="10" t="s">
        <v>2717</v>
      </c>
      <c r="B2298" s="13" t="s">
        <v>2282</v>
      </c>
      <c r="C2298" s="16" t="s">
        <v>2723</v>
      </c>
      <c r="D2298" s="13">
        <v>7894904009862</v>
      </c>
    </row>
    <row r="2299" spans="1:4">
      <c r="A2299" s="10" t="s">
        <v>2718</v>
      </c>
      <c r="B2299" s="13" t="s">
        <v>2281</v>
      </c>
      <c r="C2299" s="16" t="s">
        <v>1787</v>
      </c>
      <c r="D2299" s="13">
        <v>7891021007078</v>
      </c>
    </row>
    <row r="2300" spans="1:4">
      <c r="A2300" s="10" t="s">
        <v>2718</v>
      </c>
      <c r="B2300" s="13" t="s">
        <v>2281</v>
      </c>
      <c r="C2300" s="16" t="s">
        <v>2725</v>
      </c>
      <c r="D2300" s="13">
        <v>7896348300857</v>
      </c>
    </row>
    <row r="2301" spans="1:4">
      <c r="A2301" s="10" t="s">
        <v>2718</v>
      </c>
      <c r="B2301" s="13" t="s">
        <v>2281</v>
      </c>
      <c r="C2301" s="16" t="s">
        <v>1788</v>
      </c>
      <c r="D2301" s="13">
        <v>7891021007290</v>
      </c>
    </row>
    <row r="2302" spans="1:4">
      <c r="A2302" s="10" t="s">
        <v>2718</v>
      </c>
      <c r="B2302" s="13" t="s">
        <v>2281</v>
      </c>
      <c r="C2302" s="16" t="s">
        <v>2724</v>
      </c>
      <c r="D2302" s="13">
        <v>7896348300840</v>
      </c>
    </row>
    <row r="2303" spans="1:4">
      <c r="A2303" s="10" t="s">
        <v>3498</v>
      </c>
      <c r="B2303" s="13" t="s">
        <v>2283</v>
      </c>
      <c r="C2303" s="16" t="s">
        <v>2726</v>
      </c>
      <c r="D2303" s="13">
        <v>7897123884029</v>
      </c>
    </row>
    <row r="2304" spans="1:4">
      <c r="A2304" s="10" t="s">
        <v>2728</v>
      </c>
      <c r="B2304" s="13" t="s">
        <v>2286</v>
      </c>
      <c r="C2304" s="16" t="s">
        <v>2731</v>
      </c>
      <c r="D2304" s="13">
        <v>7896098909898</v>
      </c>
    </row>
    <row r="2305" spans="1:4">
      <c r="A2305" s="70" t="s">
        <v>2729</v>
      </c>
      <c r="B2305" s="13" t="s">
        <v>2640</v>
      </c>
      <c r="C2305" s="16" t="s">
        <v>2732</v>
      </c>
      <c r="D2305" s="13">
        <v>7896238105364</v>
      </c>
    </row>
    <row r="2306" spans="1:4">
      <c r="A2306" s="70" t="s">
        <v>2730</v>
      </c>
      <c r="B2306" s="13" t="s">
        <v>2640</v>
      </c>
      <c r="C2306" s="16" t="s">
        <v>2733</v>
      </c>
      <c r="D2306" s="13">
        <v>7896102502077</v>
      </c>
    </row>
    <row r="2307" spans="1:4">
      <c r="A2307" s="70" t="s">
        <v>2730</v>
      </c>
      <c r="B2307" s="13" t="s">
        <v>2640</v>
      </c>
      <c r="C2307" s="16" t="s">
        <v>2734</v>
      </c>
      <c r="D2307" s="13">
        <v>7896102502084</v>
      </c>
    </row>
    <row r="2308" spans="1:4">
      <c r="A2308" s="70" t="s">
        <v>2730</v>
      </c>
      <c r="B2308" s="13" t="s">
        <v>2640</v>
      </c>
      <c r="C2308" s="16" t="s">
        <v>2735</v>
      </c>
      <c r="D2308" s="13">
        <v>7896102584189</v>
      </c>
    </row>
    <row r="2309" spans="1:4">
      <c r="A2309" s="70" t="s">
        <v>2743</v>
      </c>
      <c r="B2309" s="17" t="s">
        <v>2281</v>
      </c>
      <c r="C2309" s="16" t="s">
        <v>2744</v>
      </c>
      <c r="D2309" s="13">
        <v>7898215157465</v>
      </c>
    </row>
    <row r="2310" spans="1:4">
      <c r="A2310" s="70" t="s">
        <v>2743</v>
      </c>
      <c r="B2310" s="17" t="s">
        <v>2281</v>
      </c>
      <c r="C2310" s="16" t="s">
        <v>912</v>
      </c>
      <c r="D2310" s="13">
        <v>7891000076231</v>
      </c>
    </row>
    <row r="2311" spans="1:4">
      <c r="A2311" s="70" t="s">
        <v>2743</v>
      </c>
      <c r="B2311" s="17" t="s">
        <v>2281</v>
      </c>
      <c r="C2311" s="16" t="s">
        <v>912</v>
      </c>
      <c r="D2311" s="13">
        <v>7898215157410</v>
      </c>
    </row>
    <row r="2312" spans="1:4">
      <c r="A2312" s="70" t="s">
        <v>2743</v>
      </c>
      <c r="B2312" s="17" t="s">
        <v>2281</v>
      </c>
      <c r="C2312" s="16" t="s">
        <v>911</v>
      </c>
      <c r="D2312" s="13">
        <v>7898215157359</v>
      </c>
    </row>
    <row r="2313" spans="1:4">
      <c r="A2313" s="70" t="s">
        <v>2743</v>
      </c>
      <c r="B2313" s="17" t="s">
        <v>2281</v>
      </c>
      <c r="C2313" s="16" t="s">
        <v>2620</v>
      </c>
      <c r="D2313" s="13">
        <v>7898215157434</v>
      </c>
    </row>
    <row r="2314" spans="1:4">
      <c r="A2314" s="70" t="s">
        <v>2743</v>
      </c>
      <c r="B2314" s="17" t="s">
        <v>2281</v>
      </c>
      <c r="C2314" s="16" t="s">
        <v>2621</v>
      </c>
      <c r="D2314" s="13">
        <v>7891000119495</v>
      </c>
    </row>
    <row r="2315" spans="1:4">
      <c r="A2315" s="70" t="s">
        <v>2743</v>
      </c>
      <c r="B2315" s="17" t="s">
        <v>2281</v>
      </c>
      <c r="C2315" s="16" t="s">
        <v>932</v>
      </c>
      <c r="D2315" s="13">
        <v>7891000106761</v>
      </c>
    </row>
    <row r="2316" spans="1:4">
      <c r="A2316" s="70" t="s">
        <v>2743</v>
      </c>
      <c r="B2316" s="17" t="s">
        <v>2281</v>
      </c>
      <c r="C2316" s="16" t="s">
        <v>2633</v>
      </c>
      <c r="D2316" s="13">
        <v>17898215157417</v>
      </c>
    </row>
    <row r="2317" spans="1:4">
      <c r="A2317" s="10" t="s">
        <v>2019</v>
      </c>
      <c r="B2317" s="13" t="s">
        <v>2281</v>
      </c>
      <c r="C2317" s="16" t="s">
        <v>2020</v>
      </c>
      <c r="D2317" s="13">
        <v>7896004007427</v>
      </c>
    </row>
    <row r="2318" spans="1:4">
      <c r="A2318" s="10" t="s">
        <v>2019</v>
      </c>
      <c r="B2318" s="13" t="s">
        <v>2281</v>
      </c>
      <c r="C2318" s="16" t="s">
        <v>2021</v>
      </c>
      <c r="D2318" s="13">
        <v>7896004007366</v>
      </c>
    </row>
    <row r="2319" spans="1:4">
      <c r="A2319" s="70" t="s">
        <v>2747</v>
      </c>
      <c r="B2319" s="13" t="s">
        <v>2284</v>
      </c>
      <c r="C2319" s="16" t="s">
        <v>2749</v>
      </c>
      <c r="D2319" s="13">
        <v>7896102500608</v>
      </c>
    </row>
    <row r="2320" spans="1:4">
      <c r="A2320" s="10" t="s">
        <v>3499</v>
      </c>
      <c r="B2320" s="13" t="s">
        <v>2283</v>
      </c>
      <c r="C2320" s="16" t="s">
        <v>2751</v>
      </c>
      <c r="D2320" s="13">
        <v>7898945131292</v>
      </c>
    </row>
    <row r="2321" spans="1:4">
      <c r="A2321" s="70" t="s">
        <v>3500</v>
      </c>
      <c r="B2321" s="17" t="s">
        <v>2280</v>
      </c>
      <c r="C2321" s="16" t="s">
        <v>1251</v>
      </c>
      <c r="D2321" s="13">
        <v>7896864400178</v>
      </c>
    </row>
    <row r="2322" spans="1:4">
      <c r="A2322" s="70" t="s">
        <v>2750</v>
      </c>
      <c r="B2322" s="13" t="s">
        <v>2288</v>
      </c>
      <c r="C2322" s="16" t="s">
        <v>2753</v>
      </c>
      <c r="D2322" s="13">
        <v>7898337980064</v>
      </c>
    </row>
    <row r="2323" spans="1:4">
      <c r="A2323" s="70" t="s">
        <v>2750</v>
      </c>
      <c r="B2323" s="13" t="s">
        <v>2288</v>
      </c>
      <c r="C2323" s="16" t="s">
        <v>2754</v>
      </c>
      <c r="D2323" s="13">
        <v>7898337980187</v>
      </c>
    </row>
    <row r="2324" spans="1:4">
      <c r="A2324" s="70" t="s">
        <v>2755</v>
      </c>
      <c r="B2324" s="13" t="s">
        <v>2287</v>
      </c>
      <c r="C2324" s="16" t="s">
        <v>2756</v>
      </c>
      <c r="D2324" s="13">
        <v>7891261671190</v>
      </c>
    </row>
    <row r="2325" spans="1:4">
      <c r="A2325" s="70" t="s">
        <v>3501</v>
      </c>
      <c r="B2325" s="13" t="s">
        <v>2287</v>
      </c>
      <c r="C2325" s="16" t="s">
        <v>2758</v>
      </c>
      <c r="D2325" s="13">
        <v>7909937389925</v>
      </c>
    </row>
    <row r="2326" spans="1:4">
      <c r="A2326" s="10" t="s">
        <v>2759</v>
      </c>
      <c r="B2326" s="13" t="s">
        <v>2640</v>
      </c>
      <c r="C2326" s="16" t="s">
        <v>2767</v>
      </c>
      <c r="D2326" s="13">
        <v>7898951850064</v>
      </c>
    </row>
    <row r="2327" spans="1:4">
      <c r="A2327" s="10" t="s">
        <v>2759</v>
      </c>
      <c r="B2327" s="13" t="s">
        <v>2640</v>
      </c>
      <c r="C2327" s="16" t="s">
        <v>2768</v>
      </c>
      <c r="D2327" s="13">
        <v>7898951850118</v>
      </c>
    </row>
    <row r="2328" spans="1:4">
      <c r="A2328" s="10" t="s">
        <v>2762</v>
      </c>
      <c r="B2328" s="13" t="s">
        <v>2640</v>
      </c>
      <c r="C2328" s="16" t="s">
        <v>2769</v>
      </c>
      <c r="D2328" s="13">
        <v>7898951850217</v>
      </c>
    </row>
    <row r="2329" spans="1:4">
      <c r="A2329" s="10" t="s">
        <v>2763</v>
      </c>
      <c r="B2329" s="13" t="s">
        <v>2640</v>
      </c>
      <c r="C2329" s="16" t="s">
        <v>2770</v>
      </c>
      <c r="D2329" s="13">
        <v>8076800195057</v>
      </c>
    </row>
    <row r="2330" spans="1:4">
      <c r="A2330" s="10" t="s">
        <v>2764</v>
      </c>
      <c r="B2330" s="13" t="s">
        <v>2640</v>
      </c>
      <c r="C2330" s="16" t="s">
        <v>2771</v>
      </c>
      <c r="D2330" s="13">
        <v>8076802085738</v>
      </c>
    </row>
    <row r="2331" spans="1:4">
      <c r="A2331" s="10" t="s">
        <v>2765</v>
      </c>
      <c r="B2331" s="13" t="s">
        <v>2640</v>
      </c>
      <c r="C2331" s="16" t="s">
        <v>2772</v>
      </c>
      <c r="D2331" s="13">
        <v>8076809513739</v>
      </c>
    </row>
    <row r="2332" spans="1:4">
      <c r="A2332" s="70" t="s">
        <v>2760</v>
      </c>
      <c r="B2332" s="13" t="s">
        <v>2640</v>
      </c>
      <c r="C2332" s="16" t="s">
        <v>2641</v>
      </c>
      <c r="D2332" s="13">
        <v>7896102000368</v>
      </c>
    </row>
    <row r="2333" spans="1:4">
      <c r="A2333" s="70" t="s">
        <v>2760</v>
      </c>
      <c r="B2333" s="13" t="s">
        <v>2640</v>
      </c>
      <c r="C2333" s="16" t="s">
        <v>2642</v>
      </c>
      <c r="D2333" s="13">
        <v>7896102593068</v>
      </c>
    </row>
    <row r="2334" spans="1:4">
      <c r="A2334" s="70" t="s">
        <v>2760</v>
      </c>
      <c r="B2334" s="13" t="s">
        <v>2640</v>
      </c>
      <c r="C2334" s="16" t="s">
        <v>2643</v>
      </c>
      <c r="D2334" s="13">
        <v>7896102501544</v>
      </c>
    </row>
    <row r="2335" spans="1:4">
      <c r="A2335" s="70" t="s">
        <v>2760</v>
      </c>
      <c r="B2335" s="13" t="s">
        <v>2640</v>
      </c>
      <c r="C2335" s="16" t="s">
        <v>2680</v>
      </c>
      <c r="D2335" s="13">
        <v>7896102503708</v>
      </c>
    </row>
    <row r="2336" spans="1:4">
      <c r="A2336" s="10" t="s">
        <v>2759</v>
      </c>
      <c r="B2336" s="13" t="s">
        <v>2640</v>
      </c>
      <c r="C2336" s="16" t="s">
        <v>2774</v>
      </c>
      <c r="D2336" s="13">
        <v>7898951850255</v>
      </c>
    </row>
    <row r="2337" spans="1:4">
      <c r="A2337" s="10" t="s">
        <v>2759</v>
      </c>
      <c r="B2337" s="13" t="s">
        <v>2640</v>
      </c>
      <c r="C2337" s="16" t="s">
        <v>2775</v>
      </c>
      <c r="D2337" s="13">
        <v>7898951850132</v>
      </c>
    </row>
    <row r="2338" spans="1:4">
      <c r="A2338" s="10" t="s">
        <v>2759</v>
      </c>
      <c r="B2338" s="13" t="s">
        <v>2640</v>
      </c>
      <c r="C2338" s="16" t="s">
        <v>2776</v>
      </c>
      <c r="D2338" s="13">
        <v>7898951850088</v>
      </c>
    </row>
    <row r="2339" spans="1:4">
      <c r="A2339" s="10" t="s">
        <v>2759</v>
      </c>
      <c r="B2339" s="13" t="s">
        <v>2640</v>
      </c>
      <c r="C2339" s="16" t="s">
        <v>2777</v>
      </c>
      <c r="D2339" s="13">
        <v>7898951850101</v>
      </c>
    </row>
    <row r="2340" spans="1:4">
      <c r="A2340" s="10" t="s">
        <v>2759</v>
      </c>
      <c r="B2340" s="13" t="s">
        <v>2640</v>
      </c>
      <c r="C2340" s="16" t="s">
        <v>2778</v>
      </c>
      <c r="D2340" s="13">
        <v>7898951850071</v>
      </c>
    </row>
    <row r="2341" spans="1:4">
      <c r="A2341" s="10" t="s">
        <v>2759</v>
      </c>
      <c r="B2341" s="13" t="s">
        <v>2640</v>
      </c>
      <c r="C2341" s="16" t="s">
        <v>2779</v>
      </c>
      <c r="D2341" s="13">
        <v>7898951850095</v>
      </c>
    </row>
    <row r="2342" spans="1:4">
      <c r="A2342" s="10" t="s">
        <v>2763</v>
      </c>
      <c r="B2342" s="13" t="s">
        <v>2640</v>
      </c>
      <c r="C2342" s="16" t="s">
        <v>2780</v>
      </c>
      <c r="D2342" s="13">
        <v>8076800195033</v>
      </c>
    </row>
    <row r="2343" spans="1:4">
      <c r="A2343" s="10" t="s">
        <v>2763</v>
      </c>
      <c r="B2343" s="13" t="s">
        <v>2640</v>
      </c>
      <c r="C2343" s="16" t="s">
        <v>2781</v>
      </c>
      <c r="D2343" s="13">
        <v>8076808150072</v>
      </c>
    </row>
    <row r="2344" spans="1:4">
      <c r="A2344" s="10" t="s">
        <v>2763</v>
      </c>
      <c r="B2344" s="13" t="s">
        <v>2640</v>
      </c>
      <c r="C2344" s="16" t="s">
        <v>2782</v>
      </c>
      <c r="D2344" s="13">
        <v>8076800195132</v>
      </c>
    </row>
    <row r="2345" spans="1:4">
      <c r="A2345" s="70" t="s">
        <v>2785</v>
      </c>
      <c r="B2345" s="17" t="s">
        <v>2283</v>
      </c>
      <c r="C2345" s="16" t="s">
        <v>2789</v>
      </c>
      <c r="D2345" s="13">
        <v>7897395000943</v>
      </c>
    </row>
    <row r="2346" spans="1:4">
      <c r="A2346" s="70" t="s">
        <v>2787</v>
      </c>
      <c r="B2346" s="13" t="s">
        <v>2281</v>
      </c>
      <c r="C2346" s="16" t="s">
        <v>2790</v>
      </c>
      <c r="D2346" s="13">
        <v>7896045104147</v>
      </c>
    </row>
    <row r="2347" spans="1:4">
      <c r="A2347" s="70" t="s">
        <v>2788</v>
      </c>
      <c r="B2347" s="13" t="s">
        <v>2282</v>
      </c>
      <c r="C2347" s="16" t="s">
        <v>2791</v>
      </c>
      <c r="D2347" s="13">
        <v>7891515606824</v>
      </c>
    </row>
    <row r="2348" spans="1:4">
      <c r="A2348" s="70" t="s">
        <v>2784</v>
      </c>
      <c r="B2348" s="13" t="s">
        <v>2283</v>
      </c>
      <c r="C2348" s="16" t="s">
        <v>2792</v>
      </c>
      <c r="D2348" s="13">
        <v>7896000594020</v>
      </c>
    </row>
    <row r="2349" spans="1:4">
      <c r="A2349" s="70" t="s">
        <v>2786</v>
      </c>
      <c r="B2349" s="17" t="s">
        <v>2287</v>
      </c>
      <c r="C2349" s="16" t="s">
        <v>2793</v>
      </c>
      <c r="D2349" s="13">
        <v>7896001010000</v>
      </c>
    </row>
    <row r="2350" spans="1:4">
      <c r="A2350" s="70" t="s">
        <v>2783</v>
      </c>
      <c r="B2350" s="13" t="s">
        <v>2640</v>
      </c>
      <c r="C2350" s="16" t="s">
        <v>2734</v>
      </c>
      <c r="D2350" s="13">
        <v>7896102502084</v>
      </c>
    </row>
    <row r="2351" spans="1:4">
      <c r="A2351" s="70" t="s">
        <v>2783</v>
      </c>
      <c r="B2351" s="13" t="s">
        <v>2640</v>
      </c>
      <c r="C2351" s="16" t="s">
        <v>2735</v>
      </c>
      <c r="D2351" s="13">
        <v>7896102584189</v>
      </c>
    </row>
    <row r="2352" spans="1:4">
      <c r="A2352" s="70" t="s">
        <v>2664</v>
      </c>
      <c r="B2352" s="17" t="s">
        <v>2287</v>
      </c>
      <c r="C2352" s="16" t="s">
        <v>715</v>
      </c>
      <c r="D2352" s="13">
        <v>7896451844842</v>
      </c>
    </row>
    <row r="2353" spans="1:4">
      <c r="A2353" s="70" t="s">
        <v>2664</v>
      </c>
      <c r="B2353" s="17" t="s">
        <v>2287</v>
      </c>
      <c r="C2353" s="16" t="s">
        <v>2515</v>
      </c>
      <c r="D2353" s="13">
        <v>7896451844859</v>
      </c>
    </row>
    <row r="2354" spans="1:4">
      <c r="A2354" s="70" t="s">
        <v>2785</v>
      </c>
      <c r="B2354" s="17" t="s">
        <v>2283</v>
      </c>
      <c r="C2354" s="72" t="s">
        <v>2794</v>
      </c>
      <c r="D2354" s="75">
        <v>7897395000950</v>
      </c>
    </row>
    <row r="2355" spans="1:4">
      <c r="A2355" s="70" t="s">
        <v>2795</v>
      </c>
      <c r="B2355" s="13" t="s">
        <v>2281</v>
      </c>
      <c r="C2355" s="16" t="s">
        <v>2806</v>
      </c>
      <c r="D2355" s="13">
        <v>7896004009001</v>
      </c>
    </row>
    <row r="2356" spans="1:4">
      <c r="A2356" s="70" t="s">
        <v>2795</v>
      </c>
      <c r="B2356" s="13" t="s">
        <v>2281</v>
      </c>
      <c r="C2356" s="16" t="s">
        <v>2807</v>
      </c>
      <c r="D2356" s="13">
        <v>7896004009049</v>
      </c>
    </row>
    <row r="2357" spans="1:4">
      <c r="A2357" s="70" t="s">
        <v>2795</v>
      </c>
      <c r="B2357" s="13" t="s">
        <v>2281</v>
      </c>
      <c r="C2357" s="16" t="s">
        <v>2803</v>
      </c>
      <c r="D2357" s="13">
        <v>7896004009025</v>
      </c>
    </row>
    <row r="2358" spans="1:4">
      <c r="A2358" s="70" t="s">
        <v>2796</v>
      </c>
      <c r="B2358" s="13" t="s">
        <v>2281</v>
      </c>
      <c r="C2358" s="16" t="s">
        <v>2804</v>
      </c>
      <c r="D2358" s="13">
        <v>7896004009063</v>
      </c>
    </row>
    <row r="2359" spans="1:4">
      <c r="A2359" s="70" t="s">
        <v>2796</v>
      </c>
      <c r="B2359" s="13" t="s">
        <v>2281</v>
      </c>
      <c r="C2359" s="16" t="s">
        <v>2805</v>
      </c>
      <c r="D2359" s="13">
        <v>7896004009056</v>
      </c>
    </row>
    <row r="2360" spans="1:4">
      <c r="A2360" s="70" t="s">
        <v>2797</v>
      </c>
      <c r="B2360" s="13" t="s">
        <v>2282</v>
      </c>
      <c r="C2360" s="16" t="s">
        <v>2808</v>
      </c>
      <c r="D2360" s="13">
        <v>7894904285716</v>
      </c>
    </row>
    <row r="2361" spans="1:4">
      <c r="A2361" s="70" t="s">
        <v>2797</v>
      </c>
      <c r="B2361" s="13" t="s">
        <v>2282</v>
      </c>
      <c r="C2361" s="16" t="s">
        <v>2809</v>
      </c>
      <c r="D2361" s="13">
        <v>7894904285709</v>
      </c>
    </row>
    <row r="2362" spans="1:4">
      <c r="A2362" s="70" t="s">
        <v>3699</v>
      </c>
      <c r="B2362" s="13" t="s">
        <v>2282</v>
      </c>
      <c r="C2362" s="16" t="s">
        <v>2811</v>
      </c>
      <c r="D2362" s="13">
        <v>7894904283361</v>
      </c>
    </row>
    <row r="2363" spans="1:4">
      <c r="A2363" s="70" t="s">
        <v>3699</v>
      </c>
      <c r="B2363" s="13" t="s">
        <v>2282</v>
      </c>
      <c r="C2363" s="16" t="s">
        <v>2810</v>
      </c>
      <c r="D2363" s="13">
        <v>7894904283378</v>
      </c>
    </row>
    <row r="2364" spans="1:4">
      <c r="A2364" s="70" t="s">
        <v>2799</v>
      </c>
      <c r="B2364" s="13" t="s">
        <v>2282</v>
      </c>
      <c r="C2364" s="16" t="s">
        <v>2812</v>
      </c>
      <c r="D2364" s="13">
        <v>7894904280001</v>
      </c>
    </row>
    <row r="2365" spans="1:4">
      <c r="A2365" s="70" t="s">
        <v>2800</v>
      </c>
      <c r="B2365" s="13" t="s">
        <v>2282</v>
      </c>
      <c r="C2365" s="16" t="s">
        <v>2813</v>
      </c>
      <c r="D2365" s="13">
        <v>7894904284733</v>
      </c>
    </row>
    <row r="2366" spans="1:4">
      <c r="A2366" s="70" t="s">
        <v>2800</v>
      </c>
      <c r="B2366" s="13" t="s">
        <v>2282</v>
      </c>
      <c r="C2366" s="16" t="s">
        <v>2814</v>
      </c>
      <c r="D2366" s="13">
        <v>7894904284726</v>
      </c>
    </row>
    <row r="2367" spans="1:4">
      <c r="A2367" s="70" t="s">
        <v>2801</v>
      </c>
      <c r="B2367" s="17" t="s">
        <v>2283</v>
      </c>
      <c r="C2367" s="16" t="s">
        <v>1041</v>
      </c>
      <c r="D2367" s="13">
        <v>7896072902921</v>
      </c>
    </row>
    <row r="2368" spans="1:4">
      <c r="A2368" s="70" t="s">
        <v>2801</v>
      </c>
      <c r="B2368" s="17" t="s">
        <v>2283</v>
      </c>
      <c r="C2368" s="16" t="s">
        <v>1042</v>
      </c>
      <c r="D2368" s="13">
        <v>7896072902938</v>
      </c>
    </row>
    <row r="2369" spans="1:4">
      <c r="A2369" s="70" t="s">
        <v>2801</v>
      </c>
      <c r="B2369" s="17" t="s">
        <v>2283</v>
      </c>
      <c r="C2369" s="16" t="s">
        <v>1042</v>
      </c>
      <c r="D2369" s="13">
        <v>7896072910971</v>
      </c>
    </row>
    <row r="2370" spans="1:4">
      <c r="A2370" s="70" t="s">
        <v>2801</v>
      </c>
      <c r="B2370" s="17" t="s">
        <v>2283</v>
      </c>
      <c r="C2370" s="16" t="s">
        <v>2685</v>
      </c>
      <c r="D2370" s="13">
        <v>7896072903768</v>
      </c>
    </row>
    <row r="2371" spans="1:4">
      <c r="A2371" s="70" t="s">
        <v>2801</v>
      </c>
      <c r="B2371" s="17" t="s">
        <v>2283</v>
      </c>
      <c r="C2371" s="16" t="s">
        <v>1063</v>
      </c>
      <c r="D2371" s="13">
        <v>7896072902945</v>
      </c>
    </row>
    <row r="2372" spans="1:4">
      <c r="A2372" s="70" t="s">
        <v>2816</v>
      </c>
      <c r="B2372" s="17" t="s">
        <v>2283</v>
      </c>
      <c r="C2372" s="16" t="s">
        <v>2821</v>
      </c>
      <c r="D2372" s="13">
        <v>50196081</v>
      </c>
    </row>
    <row r="2373" spans="1:4">
      <c r="A2373" s="70" t="s">
        <v>3405</v>
      </c>
      <c r="B2373" s="13" t="s">
        <v>2288</v>
      </c>
      <c r="C2373" s="16" t="s">
        <v>2822</v>
      </c>
      <c r="D2373" s="13">
        <v>7898921567985</v>
      </c>
    </row>
    <row r="2374" spans="1:4">
      <c r="A2374" s="70" t="s">
        <v>2817</v>
      </c>
      <c r="B2374" s="13" t="s">
        <v>2281</v>
      </c>
      <c r="C2374" s="16" t="s">
        <v>2823</v>
      </c>
      <c r="D2374" s="13">
        <v>7896045110582</v>
      </c>
    </row>
    <row r="2375" spans="1:4">
      <c r="A2375" s="70" t="s">
        <v>2818</v>
      </c>
      <c r="B2375" s="13" t="s">
        <v>2287</v>
      </c>
      <c r="C2375" s="16" t="s">
        <v>2824</v>
      </c>
      <c r="D2375" s="13">
        <v>7896029009055</v>
      </c>
    </row>
    <row r="2376" spans="1:4">
      <c r="A2376" s="70" t="s">
        <v>2820</v>
      </c>
      <c r="B2376" s="13" t="s">
        <v>2287</v>
      </c>
      <c r="C2376" s="16" t="s">
        <v>2825</v>
      </c>
      <c r="D2376" s="13">
        <v>7909937437275</v>
      </c>
    </row>
    <row r="2377" spans="1:4">
      <c r="A2377" s="70" t="s">
        <v>2826</v>
      </c>
      <c r="B2377" s="13" t="s">
        <v>2640</v>
      </c>
      <c r="C2377" s="16" t="s">
        <v>2667</v>
      </c>
      <c r="D2377" s="13">
        <v>7896102582949</v>
      </c>
    </row>
    <row r="2378" spans="1:4">
      <c r="A2378" s="70" t="s">
        <v>2828</v>
      </c>
      <c r="B2378" s="13" t="s">
        <v>2288</v>
      </c>
      <c r="C2378" s="16" t="s">
        <v>2831</v>
      </c>
      <c r="D2378" s="13">
        <v>7896105800989</v>
      </c>
    </row>
    <row r="2379" spans="1:4">
      <c r="A2379" s="70" t="s">
        <v>1570</v>
      </c>
      <c r="B2379" s="17" t="s">
        <v>2281</v>
      </c>
      <c r="C2379" s="16" t="s">
        <v>1579</v>
      </c>
      <c r="D2379" s="13">
        <v>3045140118502</v>
      </c>
    </row>
    <row r="2380" spans="1:4">
      <c r="A2380" s="70" t="s">
        <v>1570</v>
      </c>
      <c r="B2380" s="17" t="s">
        <v>2281</v>
      </c>
      <c r="C2380" s="16" t="s">
        <v>2832</v>
      </c>
      <c r="D2380" s="13">
        <v>7622210656742</v>
      </c>
    </row>
    <row r="2381" spans="1:4">
      <c r="A2381" s="70" t="s">
        <v>1570</v>
      </c>
      <c r="B2381" s="17" t="s">
        <v>2281</v>
      </c>
      <c r="C2381" s="16" t="s">
        <v>2833</v>
      </c>
      <c r="D2381" s="13">
        <v>7622210653062</v>
      </c>
    </row>
    <row r="2382" spans="1:4">
      <c r="A2382" s="70" t="s">
        <v>1570</v>
      </c>
      <c r="B2382" s="17" t="s">
        <v>2281</v>
      </c>
      <c r="C2382" s="16" t="s">
        <v>2834</v>
      </c>
      <c r="D2382" s="13">
        <v>7622201109615</v>
      </c>
    </row>
    <row r="2383" spans="1:4">
      <c r="A2383" s="70" t="s">
        <v>2828</v>
      </c>
      <c r="B2383" s="13" t="s">
        <v>2288</v>
      </c>
      <c r="C2383" s="16" t="s">
        <v>2831</v>
      </c>
      <c r="D2383" s="13">
        <v>7896105801092</v>
      </c>
    </row>
    <row r="2384" spans="1:4">
      <c r="A2384" s="70" t="s">
        <v>1046</v>
      </c>
      <c r="B2384" s="17" t="s">
        <v>2284</v>
      </c>
      <c r="C2384" s="16" t="s">
        <v>1044</v>
      </c>
      <c r="D2384" s="13">
        <v>7896206905965</v>
      </c>
    </row>
    <row r="2385" spans="1:4">
      <c r="A2385" s="70" t="s">
        <v>2877</v>
      </c>
      <c r="B2385" s="13" t="s">
        <v>2286</v>
      </c>
      <c r="C2385" s="16" t="s">
        <v>2839</v>
      </c>
      <c r="D2385" s="13">
        <v>7896056406988</v>
      </c>
    </row>
    <row r="2386" spans="1:4">
      <c r="A2386" s="70" t="s">
        <v>2877</v>
      </c>
      <c r="B2386" s="13" t="s">
        <v>2286</v>
      </c>
      <c r="C2386" s="16" t="s">
        <v>2840</v>
      </c>
      <c r="D2386" s="13">
        <v>7896056407008</v>
      </c>
    </row>
    <row r="2387" spans="1:4">
      <c r="A2387" s="70" t="s">
        <v>2877</v>
      </c>
      <c r="B2387" s="13" t="s">
        <v>2286</v>
      </c>
      <c r="C2387" s="16" t="s">
        <v>2841</v>
      </c>
      <c r="D2387" s="13">
        <v>7896056406995</v>
      </c>
    </row>
    <row r="2388" spans="1:4">
      <c r="A2388" s="70" t="s">
        <v>2877</v>
      </c>
      <c r="B2388" s="13" t="s">
        <v>2286</v>
      </c>
      <c r="C2388" s="16" t="s">
        <v>2842</v>
      </c>
      <c r="D2388" s="13">
        <v>7896056407015</v>
      </c>
    </row>
    <row r="2389" spans="1:4">
      <c r="A2389" s="70" t="s">
        <v>2835</v>
      </c>
      <c r="B2389" s="13" t="s">
        <v>2281</v>
      </c>
      <c r="C2389" s="16" t="s">
        <v>785</v>
      </c>
      <c r="D2389" s="13">
        <v>7896089010916</v>
      </c>
    </row>
    <row r="2390" spans="1:4">
      <c r="A2390" s="70" t="s">
        <v>2835</v>
      </c>
      <c r="B2390" s="13" t="s">
        <v>2281</v>
      </c>
      <c r="C2390" s="16" t="s">
        <v>2846</v>
      </c>
      <c r="D2390" s="13">
        <v>7891910021109</v>
      </c>
    </row>
    <row r="2391" spans="1:4">
      <c r="A2391" s="70" t="s">
        <v>2835</v>
      </c>
      <c r="B2391" s="17" t="s">
        <v>2281</v>
      </c>
      <c r="C2391" s="16" t="s">
        <v>802</v>
      </c>
      <c r="D2391" s="13">
        <v>7896089016215</v>
      </c>
    </row>
    <row r="2392" spans="1:4">
      <c r="A2392" s="70" t="s">
        <v>2836</v>
      </c>
      <c r="B2392" s="17" t="s">
        <v>2287</v>
      </c>
      <c r="C2392" s="16" t="s">
        <v>2843</v>
      </c>
      <c r="D2392" s="13">
        <v>7896001014428</v>
      </c>
    </row>
    <row r="2393" spans="1:4">
      <c r="A2393" s="70" t="s">
        <v>3503</v>
      </c>
      <c r="B2393" s="13" t="s">
        <v>2283</v>
      </c>
      <c r="C2393" s="16" t="s">
        <v>2845</v>
      </c>
      <c r="D2393" s="13">
        <v>7898386200045</v>
      </c>
    </row>
    <row r="2394" spans="1:4">
      <c r="A2394" s="70" t="s">
        <v>1046</v>
      </c>
      <c r="B2394" s="17" t="s">
        <v>2284</v>
      </c>
      <c r="C2394" s="16" t="s">
        <v>1045</v>
      </c>
      <c r="D2394" s="13">
        <v>7896206912031</v>
      </c>
    </row>
    <row r="2395" spans="1:4">
      <c r="A2395" s="70" t="s">
        <v>2851</v>
      </c>
      <c r="B2395" s="13" t="s">
        <v>2640</v>
      </c>
      <c r="C2395" s="16" t="s">
        <v>2642</v>
      </c>
      <c r="D2395" s="13">
        <v>7896102593068</v>
      </c>
    </row>
    <row r="2396" spans="1:4">
      <c r="A2396" s="70" t="s">
        <v>2851</v>
      </c>
      <c r="B2396" s="13" t="s">
        <v>2640</v>
      </c>
      <c r="C2396" s="16" t="s">
        <v>2680</v>
      </c>
      <c r="D2396" s="13">
        <v>7896102503708</v>
      </c>
    </row>
    <row r="2397" spans="1:4">
      <c r="A2397" s="70" t="s">
        <v>2849</v>
      </c>
      <c r="B2397" s="13" t="s">
        <v>2283</v>
      </c>
      <c r="C2397" s="16" t="s">
        <v>2855</v>
      </c>
      <c r="D2397" s="13">
        <v>7896045506590</v>
      </c>
    </row>
    <row r="2398" spans="1:4">
      <c r="A2398" s="70" t="s">
        <v>2849</v>
      </c>
      <c r="B2398" s="13" t="s">
        <v>2283</v>
      </c>
      <c r="C2398" s="72" t="s">
        <v>2856</v>
      </c>
      <c r="D2398" s="75">
        <v>7896045506606</v>
      </c>
    </row>
    <row r="2399" spans="1:4">
      <c r="A2399" s="70" t="s">
        <v>2853</v>
      </c>
      <c r="B2399" s="13" t="s">
        <v>2287</v>
      </c>
      <c r="C2399" s="16" t="s">
        <v>2857</v>
      </c>
      <c r="D2399" s="13">
        <v>7896029065075</v>
      </c>
    </row>
    <row r="2400" spans="1:4">
      <c r="A2400" s="70" t="s">
        <v>2858</v>
      </c>
      <c r="B2400" s="13" t="s">
        <v>2285</v>
      </c>
      <c r="C2400" s="16" t="s">
        <v>2864</v>
      </c>
      <c r="D2400" s="13">
        <v>7896061917608</v>
      </c>
    </row>
    <row r="2401" spans="1:4">
      <c r="A2401" s="70" t="s">
        <v>2862</v>
      </c>
      <c r="B2401" s="13" t="s">
        <v>2286</v>
      </c>
      <c r="C2401" s="16" t="s">
        <v>2865</v>
      </c>
      <c r="D2401" s="13">
        <v>7896098904688</v>
      </c>
    </row>
    <row r="2402" spans="1:4">
      <c r="A2402" s="70" t="s">
        <v>2859</v>
      </c>
      <c r="B2402" s="13" t="s">
        <v>2286</v>
      </c>
      <c r="C2402" s="16" t="s">
        <v>2866</v>
      </c>
      <c r="D2402" s="13">
        <v>7896056406810</v>
      </c>
    </row>
    <row r="2403" spans="1:4">
      <c r="A2403" s="70" t="s">
        <v>2860</v>
      </c>
      <c r="B2403" s="13" t="s">
        <v>2287</v>
      </c>
      <c r="C2403" s="16" t="s">
        <v>2867</v>
      </c>
      <c r="D2403" s="13">
        <v>7896061920318</v>
      </c>
    </row>
    <row r="2404" spans="1:4">
      <c r="A2404" s="70" t="s">
        <v>2861</v>
      </c>
      <c r="B2404" s="13" t="s">
        <v>2287</v>
      </c>
      <c r="C2404" s="16" t="s">
        <v>2868</v>
      </c>
      <c r="D2404" s="13">
        <v>7896314707659</v>
      </c>
    </row>
    <row r="2405" spans="1:4">
      <c r="A2405" s="70" t="s">
        <v>2863</v>
      </c>
      <c r="B2405" s="13" t="s">
        <v>2287</v>
      </c>
      <c r="C2405" s="16" t="s">
        <v>2869</v>
      </c>
      <c r="D2405" s="13">
        <v>7896314703514</v>
      </c>
    </row>
    <row r="2406" spans="1:4">
      <c r="A2406" s="70" t="s">
        <v>2863</v>
      </c>
      <c r="B2406" s="13" t="s">
        <v>2287</v>
      </c>
      <c r="C2406" s="16" t="s">
        <v>2870</v>
      </c>
      <c r="D2406" s="13">
        <v>7896314703521</v>
      </c>
    </row>
    <row r="2407" spans="1:4">
      <c r="A2407" s="70" t="s">
        <v>2871</v>
      </c>
      <c r="B2407" s="13" t="s">
        <v>2640</v>
      </c>
      <c r="C2407" s="16" t="s">
        <v>2733</v>
      </c>
      <c r="D2407" s="13">
        <v>7896102502077</v>
      </c>
    </row>
    <row r="2408" spans="1:4">
      <c r="A2408" s="70" t="s">
        <v>2871</v>
      </c>
      <c r="B2408" s="13" t="s">
        <v>2640</v>
      </c>
      <c r="C2408" s="16" t="s">
        <v>2734</v>
      </c>
      <c r="D2408" s="13">
        <v>7896102502084</v>
      </c>
    </row>
    <row r="2409" spans="1:4">
      <c r="A2409" s="70" t="s">
        <v>2871</v>
      </c>
      <c r="B2409" s="13" t="s">
        <v>2640</v>
      </c>
      <c r="C2409" s="15" t="s">
        <v>2874</v>
      </c>
      <c r="D2409" s="13">
        <v>7896102502589</v>
      </c>
    </row>
    <row r="2410" spans="1:4">
      <c r="A2410" s="70" t="s">
        <v>2871</v>
      </c>
      <c r="B2410" s="13" t="s">
        <v>2640</v>
      </c>
      <c r="C2410" s="16" t="s">
        <v>2735</v>
      </c>
      <c r="D2410" s="13">
        <v>7896102584189</v>
      </c>
    </row>
    <row r="2411" spans="1:4">
      <c r="A2411" s="70" t="s">
        <v>2872</v>
      </c>
      <c r="B2411" s="13" t="s">
        <v>2288</v>
      </c>
      <c r="C2411" s="16" t="s">
        <v>1724</v>
      </c>
      <c r="D2411" s="13">
        <v>7896002360326</v>
      </c>
    </row>
    <row r="2412" spans="1:4">
      <c r="A2412" s="70" t="s">
        <v>2872</v>
      </c>
      <c r="B2412" s="13" t="s">
        <v>2288</v>
      </c>
      <c r="C2412" s="16" t="s">
        <v>2873</v>
      </c>
      <c r="D2412" s="13">
        <v>7896002300148</v>
      </c>
    </row>
    <row r="2413" spans="1:4">
      <c r="A2413" s="70" t="s">
        <v>2875</v>
      </c>
      <c r="B2413" s="13" t="s">
        <v>2283</v>
      </c>
      <c r="C2413" s="16" t="s">
        <v>2880</v>
      </c>
      <c r="D2413" s="13">
        <v>7896000583062</v>
      </c>
    </row>
    <row r="2414" spans="1:4">
      <c r="A2414" s="70" t="s">
        <v>2875</v>
      </c>
      <c r="B2414" s="13" t="s">
        <v>2283</v>
      </c>
      <c r="C2414" s="16" t="s">
        <v>2881</v>
      </c>
      <c r="D2414" s="13">
        <v>7896000583321</v>
      </c>
    </row>
    <row r="2415" spans="1:4">
      <c r="A2415" s="70" t="s">
        <v>2875</v>
      </c>
      <c r="B2415" s="13" t="s">
        <v>2283</v>
      </c>
      <c r="C2415" s="16" t="s">
        <v>2882</v>
      </c>
      <c r="D2415" s="13">
        <v>7896000593979</v>
      </c>
    </row>
    <row r="2416" spans="1:4">
      <c r="A2416" s="70" t="s">
        <v>2875</v>
      </c>
      <c r="B2416" s="13" t="s">
        <v>2283</v>
      </c>
      <c r="C2416" s="16" t="s">
        <v>2883</v>
      </c>
      <c r="D2416" s="13">
        <v>7896000595553</v>
      </c>
    </row>
    <row r="2417" spans="1:4">
      <c r="A2417" s="70" t="s">
        <v>2875</v>
      </c>
      <c r="B2417" s="13" t="s">
        <v>2283</v>
      </c>
      <c r="C2417" s="16" t="s">
        <v>2884</v>
      </c>
      <c r="D2417" s="13">
        <v>7896000530356</v>
      </c>
    </row>
    <row r="2418" spans="1:4">
      <c r="A2418" s="70" t="s">
        <v>2875</v>
      </c>
      <c r="B2418" s="13" t="s">
        <v>2283</v>
      </c>
      <c r="C2418" s="16" t="s">
        <v>2885</v>
      </c>
      <c r="D2418" s="13">
        <v>7896000530264</v>
      </c>
    </row>
    <row r="2419" spans="1:4">
      <c r="A2419" s="70" t="s">
        <v>2875</v>
      </c>
      <c r="B2419" s="13" t="s">
        <v>2283</v>
      </c>
      <c r="C2419" s="16" t="s">
        <v>2886</v>
      </c>
      <c r="D2419" s="13">
        <v>7896000530066</v>
      </c>
    </row>
    <row r="2420" spans="1:4">
      <c r="A2420" s="70" t="s">
        <v>2875</v>
      </c>
      <c r="B2420" s="13" t="s">
        <v>2283</v>
      </c>
      <c r="C2420" s="16" t="s">
        <v>2887</v>
      </c>
      <c r="D2420" s="13">
        <v>7896000593702</v>
      </c>
    </row>
    <row r="2421" spans="1:4">
      <c r="A2421" s="70" t="s">
        <v>2875</v>
      </c>
      <c r="B2421" s="13" t="s">
        <v>2283</v>
      </c>
      <c r="C2421" s="16" t="s">
        <v>2888</v>
      </c>
      <c r="D2421" s="13">
        <v>7896000530653</v>
      </c>
    </row>
    <row r="2422" spans="1:4">
      <c r="A2422" s="70" t="s">
        <v>2875</v>
      </c>
      <c r="B2422" s="13" t="s">
        <v>2283</v>
      </c>
      <c r="C2422" s="16" t="s">
        <v>2889</v>
      </c>
      <c r="D2422" s="13">
        <v>7896000594198</v>
      </c>
    </row>
    <row r="2423" spans="1:4">
      <c r="A2423" s="70" t="s">
        <v>2875</v>
      </c>
      <c r="B2423" s="13" t="s">
        <v>2283</v>
      </c>
      <c r="C2423" s="16" t="s">
        <v>2890</v>
      </c>
      <c r="D2423" s="13">
        <v>7896000530530</v>
      </c>
    </row>
    <row r="2424" spans="1:4">
      <c r="A2424" s="70" t="s">
        <v>2875</v>
      </c>
      <c r="B2424" s="13" t="s">
        <v>2283</v>
      </c>
      <c r="C2424" s="16" t="s">
        <v>2897</v>
      </c>
      <c r="D2424" s="13">
        <v>7896000595263</v>
      </c>
    </row>
    <row r="2425" spans="1:4">
      <c r="A2425" s="70" t="s">
        <v>2875</v>
      </c>
      <c r="B2425" s="13" t="s">
        <v>2283</v>
      </c>
      <c r="C2425" s="16" t="s">
        <v>2898</v>
      </c>
      <c r="D2425" s="13">
        <v>7896000530363</v>
      </c>
    </row>
    <row r="2426" spans="1:4">
      <c r="A2426" s="70" t="s">
        <v>2875</v>
      </c>
      <c r="B2426" s="13" t="s">
        <v>2283</v>
      </c>
      <c r="C2426" s="16" t="s">
        <v>2891</v>
      </c>
      <c r="D2426" s="13">
        <v>7896000593719</v>
      </c>
    </row>
    <row r="2427" spans="1:4">
      <c r="A2427" s="70" t="s">
        <v>2875</v>
      </c>
      <c r="B2427" s="13" t="s">
        <v>2283</v>
      </c>
      <c r="C2427" s="16" t="s">
        <v>2892</v>
      </c>
      <c r="D2427" s="13">
        <v>7896000530325</v>
      </c>
    </row>
    <row r="2428" spans="1:4">
      <c r="A2428" s="70" t="s">
        <v>2878</v>
      </c>
      <c r="B2428" s="17" t="s">
        <v>2288</v>
      </c>
      <c r="C2428" s="16" t="s">
        <v>2893</v>
      </c>
      <c r="D2428" s="13">
        <v>7891025119869</v>
      </c>
    </row>
    <row r="2429" spans="1:4">
      <c r="A2429" s="70" t="s">
        <v>2878</v>
      </c>
      <c r="B2429" s="17" t="s">
        <v>2288</v>
      </c>
      <c r="C2429" s="16" t="s">
        <v>2894</v>
      </c>
      <c r="D2429" s="13">
        <v>7891025119852</v>
      </c>
    </row>
    <row r="2430" spans="1:4">
      <c r="A2430" s="70" t="s">
        <v>2879</v>
      </c>
      <c r="B2430" s="13" t="s">
        <v>2284</v>
      </c>
      <c r="C2430" s="16" t="s">
        <v>2895</v>
      </c>
      <c r="D2430" s="13">
        <v>7897001010502</v>
      </c>
    </row>
    <row r="2431" spans="1:4">
      <c r="A2431" s="70" t="s">
        <v>2900</v>
      </c>
      <c r="B2431" s="13" t="s">
        <v>2640</v>
      </c>
      <c r="C2431" s="16" t="s">
        <v>2735</v>
      </c>
      <c r="D2431" s="13">
        <v>7896102584189</v>
      </c>
    </row>
    <row r="2432" spans="1:4">
      <c r="A2432" s="70" t="s">
        <v>2909</v>
      </c>
      <c r="B2432" s="13" t="s">
        <v>2283</v>
      </c>
      <c r="C2432" s="16" t="s">
        <v>2903</v>
      </c>
      <c r="D2432" s="13">
        <v>7897395031626</v>
      </c>
    </row>
    <row r="2433" spans="1:4">
      <c r="A2433" s="70" t="s">
        <v>2909</v>
      </c>
      <c r="B2433" s="13" t="s">
        <v>2283</v>
      </c>
      <c r="C2433" s="16" t="s">
        <v>2904</v>
      </c>
      <c r="D2433" s="13">
        <v>7898377662081</v>
      </c>
    </row>
    <row r="2434" spans="1:4">
      <c r="A2434" s="70" t="s">
        <v>2909</v>
      </c>
      <c r="B2434" s="13" t="s">
        <v>2283</v>
      </c>
      <c r="C2434" s="20" t="s">
        <v>2917</v>
      </c>
      <c r="D2434" s="14">
        <v>7898377662029</v>
      </c>
    </row>
    <row r="2435" spans="1:4">
      <c r="A2435" s="70" t="s">
        <v>2909</v>
      </c>
      <c r="B2435" s="13" t="s">
        <v>2283</v>
      </c>
      <c r="C2435" s="16" t="s">
        <v>2905</v>
      </c>
      <c r="D2435" s="13">
        <v>7897395000363</v>
      </c>
    </row>
    <row r="2436" spans="1:4">
      <c r="A2436" s="70" t="s">
        <v>2909</v>
      </c>
      <c r="B2436" s="13" t="s">
        <v>2283</v>
      </c>
      <c r="C2436" s="16" t="s">
        <v>2906</v>
      </c>
      <c r="D2436" s="13">
        <v>7898377662050</v>
      </c>
    </row>
    <row r="2437" spans="1:4">
      <c r="A2437" s="70" t="s">
        <v>1600</v>
      </c>
      <c r="B2437" s="17" t="s">
        <v>2285</v>
      </c>
      <c r="C2437" s="16" t="s">
        <v>1607</v>
      </c>
      <c r="D2437" s="13">
        <v>7896007551309</v>
      </c>
    </row>
    <row r="2438" spans="1:4">
      <c r="A2438" s="70" t="s">
        <v>1600</v>
      </c>
      <c r="B2438" s="17" t="s">
        <v>2285</v>
      </c>
      <c r="C2438" s="16" t="s">
        <v>1608</v>
      </c>
      <c r="D2438" s="13">
        <v>7896007551316</v>
      </c>
    </row>
    <row r="2439" spans="1:4">
      <c r="A2439" s="70" t="s">
        <v>1600</v>
      </c>
      <c r="B2439" s="17" t="s">
        <v>2285</v>
      </c>
      <c r="C2439" s="16" t="s">
        <v>1609</v>
      </c>
      <c r="D2439" s="13">
        <v>7896007551323</v>
      </c>
    </row>
    <row r="2440" spans="1:4">
      <c r="A2440" s="70" t="s">
        <v>1600</v>
      </c>
      <c r="B2440" s="17" t="s">
        <v>2285</v>
      </c>
      <c r="C2440" s="16" t="s">
        <v>1610</v>
      </c>
      <c r="D2440" s="13">
        <v>7896007551330</v>
      </c>
    </row>
    <row r="2441" spans="1:4">
      <c r="A2441" s="70" t="s">
        <v>1600</v>
      </c>
      <c r="B2441" s="17" t="s">
        <v>2285</v>
      </c>
      <c r="C2441" s="16" t="s">
        <v>1611</v>
      </c>
      <c r="D2441" s="13">
        <v>7896007551347</v>
      </c>
    </row>
    <row r="2442" spans="1:4">
      <c r="A2442" s="70" t="s">
        <v>2908</v>
      </c>
      <c r="B2442" s="13" t="s">
        <v>2283</v>
      </c>
      <c r="C2442" s="16" t="s">
        <v>2912</v>
      </c>
      <c r="D2442" s="13">
        <v>7897395060107</v>
      </c>
    </row>
    <row r="2443" spans="1:4">
      <c r="A2443" s="70" t="s">
        <v>2908</v>
      </c>
      <c r="B2443" s="13" t="s">
        <v>2283</v>
      </c>
      <c r="C2443" s="72" t="s">
        <v>2913</v>
      </c>
      <c r="D2443" s="75">
        <v>7897395060138</v>
      </c>
    </row>
    <row r="2444" spans="1:4">
      <c r="A2444" s="70" t="s">
        <v>2907</v>
      </c>
      <c r="B2444" s="13" t="s">
        <v>2281</v>
      </c>
      <c r="C2444" s="16" t="s">
        <v>2914</v>
      </c>
      <c r="D2444" s="13">
        <v>7898920041455</v>
      </c>
    </row>
    <row r="2445" spans="1:4">
      <c r="A2445" s="70" t="s">
        <v>2918</v>
      </c>
      <c r="B2445" s="17" t="s">
        <v>2284</v>
      </c>
      <c r="C2445" s="16" t="s">
        <v>394</v>
      </c>
      <c r="D2445" s="13">
        <v>7896114900274</v>
      </c>
    </row>
    <row r="2446" spans="1:4">
      <c r="A2446" s="70" t="s">
        <v>2918</v>
      </c>
      <c r="B2446" s="17" t="s">
        <v>2284</v>
      </c>
      <c r="C2446" s="16" t="s">
        <v>2344</v>
      </c>
      <c r="D2446" s="13">
        <v>7896114990213</v>
      </c>
    </row>
    <row r="2447" spans="1:4">
      <c r="A2447" s="70" t="s">
        <v>2941</v>
      </c>
      <c r="B2447" s="13" t="s">
        <v>2288</v>
      </c>
      <c r="C2447" s="16" t="s">
        <v>2921</v>
      </c>
      <c r="D2447" s="13">
        <v>7896895500137</v>
      </c>
    </row>
    <row r="2448" spans="1:4">
      <c r="A2448" s="70" t="s">
        <v>2922</v>
      </c>
      <c r="B2448" s="13" t="s">
        <v>2284</v>
      </c>
      <c r="C2448" s="16" t="s">
        <v>2923</v>
      </c>
      <c r="D2448" s="13">
        <v>7897517200022</v>
      </c>
    </row>
    <row r="2449" spans="1:4">
      <c r="A2449" s="70" t="s">
        <v>2919</v>
      </c>
      <c r="B2449" s="13" t="s">
        <v>2288</v>
      </c>
      <c r="C2449" s="16" t="s">
        <v>956</v>
      </c>
      <c r="D2449" s="13">
        <v>7896275970796</v>
      </c>
    </row>
    <row r="2450" spans="1:4">
      <c r="A2450" s="70" t="s">
        <v>2919</v>
      </c>
      <c r="B2450" s="13" t="s">
        <v>2288</v>
      </c>
      <c r="C2450" s="16" t="s">
        <v>953</v>
      </c>
      <c r="D2450" s="13">
        <v>7896275980290</v>
      </c>
    </row>
    <row r="2451" spans="1:4">
      <c r="A2451" s="70" t="s">
        <v>2920</v>
      </c>
      <c r="B2451" s="13" t="s">
        <v>2283</v>
      </c>
      <c r="C2451" s="16" t="s">
        <v>2924</v>
      </c>
      <c r="D2451" s="13">
        <v>7898377661695</v>
      </c>
    </row>
    <row r="2452" spans="1:4">
      <c r="A2452" s="70" t="s">
        <v>2920</v>
      </c>
      <c r="B2452" s="13" t="s">
        <v>2283</v>
      </c>
      <c r="C2452" s="16" t="s">
        <v>2925</v>
      </c>
      <c r="D2452" s="13">
        <v>7898377661718</v>
      </c>
    </row>
    <row r="2453" spans="1:4">
      <c r="A2453" s="70" t="s">
        <v>2920</v>
      </c>
      <c r="B2453" s="13" t="s">
        <v>2283</v>
      </c>
      <c r="C2453" s="16" t="s">
        <v>2926</v>
      </c>
      <c r="D2453" s="13">
        <v>7898377661732</v>
      </c>
    </row>
    <row r="2454" spans="1:4">
      <c r="A2454" s="70" t="s">
        <v>2920</v>
      </c>
      <c r="B2454" s="13" t="s">
        <v>2283</v>
      </c>
      <c r="C2454" s="16" t="s">
        <v>2927</v>
      </c>
      <c r="D2454" s="13">
        <v>7898377661756</v>
      </c>
    </row>
    <row r="2455" spans="1:4">
      <c r="A2455" s="70" t="s">
        <v>2928</v>
      </c>
      <c r="B2455" s="13" t="s">
        <v>2288</v>
      </c>
      <c r="C2455" s="16" t="s">
        <v>2931</v>
      </c>
      <c r="D2455" s="13">
        <v>7891025124139</v>
      </c>
    </row>
    <row r="2456" spans="1:4">
      <c r="A2456" s="70" t="s">
        <v>2928</v>
      </c>
      <c r="B2456" s="13" t="s">
        <v>2288</v>
      </c>
      <c r="C2456" s="16" t="s">
        <v>2932</v>
      </c>
      <c r="D2456" s="13">
        <v>7891025124108</v>
      </c>
    </row>
    <row r="2457" spans="1:4">
      <c r="A2457" s="70" t="s">
        <v>2928</v>
      </c>
      <c r="B2457" s="13" t="s">
        <v>2288</v>
      </c>
      <c r="C2457" s="16" t="s">
        <v>2933</v>
      </c>
      <c r="D2457" s="13">
        <v>7891025124122</v>
      </c>
    </row>
    <row r="2458" spans="1:4">
      <c r="A2458" s="70" t="s">
        <v>2928</v>
      </c>
      <c r="B2458" s="13" t="s">
        <v>2288</v>
      </c>
      <c r="C2458" s="16" t="s">
        <v>2934</v>
      </c>
      <c r="D2458" s="13">
        <v>7891025124054</v>
      </c>
    </row>
    <row r="2459" spans="1:4">
      <c r="A2459" s="70" t="s">
        <v>2928</v>
      </c>
      <c r="B2459" s="13" t="s">
        <v>2288</v>
      </c>
      <c r="C2459" s="16" t="s">
        <v>2935</v>
      </c>
      <c r="D2459" s="13">
        <v>7891025124047</v>
      </c>
    </row>
    <row r="2460" spans="1:4">
      <c r="A2460" s="70" t="s">
        <v>2930</v>
      </c>
      <c r="B2460" s="13" t="s">
        <v>2284</v>
      </c>
      <c r="C2460" s="16" t="s">
        <v>2936</v>
      </c>
      <c r="D2460" s="13">
        <v>7896292300460</v>
      </c>
    </row>
    <row r="2461" spans="1:4">
      <c r="A2461" s="70" t="s">
        <v>2930</v>
      </c>
      <c r="B2461" s="13" t="s">
        <v>2284</v>
      </c>
      <c r="C2461" s="16" t="s">
        <v>2937</v>
      </c>
      <c r="D2461" s="13">
        <v>7896292360464</v>
      </c>
    </row>
    <row r="2462" spans="1:4">
      <c r="A2462" s="70" t="s">
        <v>2929</v>
      </c>
      <c r="B2462" s="13" t="s">
        <v>2284</v>
      </c>
      <c r="C2462" s="16" t="s">
        <v>2938</v>
      </c>
      <c r="D2462" s="13">
        <v>7896040908122</v>
      </c>
    </row>
    <row r="2463" spans="1:4">
      <c r="A2463" s="70" t="s">
        <v>2939</v>
      </c>
      <c r="B2463" s="17" t="s">
        <v>2283</v>
      </c>
      <c r="C2463" s="16" t="s">
        <v>2940</v>
      </c>
      <c r="D2463" s="13">
        <v>7897001050515</v>
      </c>
    </row>
    <row r="2464" spans="1:4">
      <c r="A2464" s="70" t="s">
        <v>2942</v>
      </c>
      <c r="B2464" s="17" t="s">
        <v>2284</v>
      </c>
      <c r="C2464" s="16" t="s">
        <v>2943</v>
      </c>
      <c r="D2464" s="13">
        <v>7896009301032</v>
      </c>
    </row>
    <row r="2465" spans="1:4">
      <c r="A2465" s="70" t="s">
        <v>2944</v>
      </c>
      <c r="B2465" s="13" t="s">
        <v>2288</v>
      </c>
      <c r="C2465" s="16" t="s">
        <v>2947</v>
      </c>
      <c r="D2465" s="13">
        <v>7898955617526</v>
      </c>
    </row>
    <row r="2466" spans="1:4">
      <c r="A2466" s="70" t="s">
        <v>2944</v>
      </c>
      <c r="B2466" s="13" t="s">
        <v>2288</v>
      </c>
      <c r="C2466" s="16" t="s">
        <v>2946</v>
      </c>
      <c r="D2466" s="13">
        <v>7898955617519</v>
      </c>
    </row>
    <row r="2467" spans="1:4">
      <c r="A2467" s="70" t="s">
        <v>2945</v>
      </c>
      <c r="B2467" s="13" t="s">
        <v>2283</v>
      </c>
      <c r="C2467" s="16" t="s">
        <v>2948</v>
      </c>
      <c r="D2467" s="13">
        <v>7896072911022</v>
      </c>
    </row>
    <row r="2468" spans="1:4">
      <c r="A2468" s="70" t="s">
        <v>2949</v>
      </c>
      <c r="B2468" s="13" t="s">
        <v>2283</v>
      </c>
      <c r="C2468" s="16" t="s">
        <v>2950</v>
      </c>
      <c r="D2468" s="13">
        <v>5000281004020</v>
      </c>
    </row>
    <row r="2469" spans="1:4">
      <c r="A2469" s="70" t="s">
        <v>2953</v>
      </c>
      <c r="B2469" s="13" t="s">
        <v>2283</v>
      </c>
      <c r="C2469" s="16" t="s">
        <v>1078</v>
      </c>
      <c r="D2469" s="13">
        <v>7896023082993</v>
      </c>
    </row>
    <row r="2470" spans="1:4">
      <c r="A2470" s="70" t="s">
        <v>2953</v>
      </c>
      <c r="B2470" s="13" t="s">
        <v>2283</v>
      </c>
      <c r="C2470" s="16" t="s">
        <v>1079</v>
      </c>
      <c r="D2470" s="13">
        <v>7896023082979</v>
      </c>
    </row>
    <row r="2471" spans="1:4">
      <c r="A2471" s="70" t="s">
        <v>2953</v>
      </c>
      <c r="B2471" s="13" t="s">
        <v>2283</v>
      </c>
      <c r="C2471" s="16" t="s">
        <v>2955</v>
      </c>
      <c r="D2471" s="13">
        <v>7896023083938</v>
      </c>
    </row>
    <row r="2472" spans="1:4">
      <c r="A2472" s="70" t="s">
        <v>2953</v>
      </c>
      <c r="B2472" s="13" t="s">
        <v>2283</v>
      </c>
      <c r="C2472" s="16" t="s">
        <v>969</v>
      </c>
      <c r="D2472" s="13">
        <v>7896023082634</v>
      </c>
    </row>
    <row r="2473" spans="1:4">
      <c r="A2473" s="70" t="s">
        <v>2953</v>
      </c>
      <c r="B2473" s="13" t="s">
        <v>2283</v>
      </c>
      <c r="C2473" s="16" t="s">
        <v>1243</v>
      </c>
      <c r="D2473" s="13">
        <v>7896023085994</v>
      </c>
    </row>
    <row r="2474" spans="1:4">
      <c r="A2474" s="70" t="s">
        <v>2951</v>
      </c>
      <c r="B2474" s="17" t="s">
        <v>2285</v>
      </c>
      <c r="C2474" s="16" t="s">
        <v>2954</v>
      </c>
      <c r="D2474" s="13">
        <v>7896007545094</v>
      </c>
    </row>
    <row r="2475" spans="1:4">
      <c r="A2475" s="70" t="s">
        <v>2952</v>
      </c>
      <c r="B2475" s="17" t="s">
        <v>2282</v>
      </c>
      <c r="C2475" s="16" t="s">
        <v>645</v>
      </c>
      <c r="D2475" s="13">
        <v>7896074604496</v>
      </c>
    </row>
    <row r="2476" spans="1:4">
      <c r="A2476" s="70" t="s">
        <v>2952</v>
      </c>
      <c r="B2476" s="17" t="s">
        <v>2282</v>
      </c>
      <c r="C2476" s="16" t="s">
        <v>646</v>
      </c>
      <c r="D2476" s="13">
        <v>7896074605318</v>
      </c>
    </row>
    <row r="2477" spans="1:4">
      <c r="A2477" s="70" t="s">
        <v>2526</v>
      </c>
      <c r="B2477" s="13" t="s">
        <v>2283</v>
      </c>
      <c r="C2477" s="72" t="s">
        <v>2961</v>
      </c>
      <c r="D2477" s="75">
        <v>7896045506927</v>
      </c>
    </row>
    <row r="2478" spans="1:4">
      <c r="A2478" s="70" t="s">
        <v>2526</v>
      </c>
      <c r="B2478" s="13" t="s">
        <v>2283</v>
      </c>
      <c r="C2478" s="16" t="s">
        <v>2958</v>
      </c>
      <c r="D2478" s="13">
        <v>7896045506910</v>
      </c>
    </row>
    <row r="2479" spans="1:4">
      <c r="A2479" s="70" t="s">
        <v>2959</v>
      </c>
      <c r="B2479" s="13" t="s">
        <v>2288</v>
      </c>
      <c r="C2479" s="16" t="s">
        <v>2587</v>
      </c>
      <c r="D2479" s="13">
        <v>7891000362037</v>
      </c>
    </row>
    <row r="2480" spans="1:4">
      <c r="A2480" s="70" t="s">
        <v>3504</v>
      </c>
      <c r="B2480" s="13" t="s">
        <v>2283</v>
      </c>
      <c r="C2480" s="16" t="s">
        <v>2963</v>
      </c>
      <c r="D2480" s="13">
        <v>7896023080487</v>
      </c>
    </row>
    <row r="2481" spans="1:4">
      <c r="A2481" s="70" t="s">
        <v>2964</v>
      </c>
      <c r="B2481" s="17" t="s">
        <v>2284</v>
      </c>
      <c r="C2481" s="16" t="s">
        <v>2965</v>
      </c>
      <c r="D2481" s="13">
        <v>7896009301032</v>
      </c>
    </row>
    <row r="2482" spans="1:4">
      <c r="A2482" s="70" t="s">
        <v>2964</v>
      </c>
      <c r="B2482" s="17" t="s">
        <v>2284</v>
      </c>
      <c r="C2482" s="16" t="s">
        <v>2967</v>
      </c>
      <c r="D2482" s="13">
        <v>7894321811147</v>
      </c>
    </row>
    <row r="2483" spans="1:4">
      <c r="A2483" s="70" t="s">
        <v>2964</v>
      </c>
      <c r="B2483" s="17" t="s">
        <v>2284</v>
      </c>
      <c r="C2483" s="16" t="s">
        <v>2957</v>
      </c>
      <c r="D2483" s="13">
        <v>7894321811277</v>
      </c>
    </row>
    <row r="2484" spans="1:4">
      <c r="A2484" s="70" t="s">
        <v>2964</v>
      </c>
      <c r="B2484" s="17" t="s">
        <v>2284</v>
      </c>
      <c r="C2484" s="16" t="s">
        <v>2966</v>
      </c>
      <c r="D2484" s="13">
        <v>7896009301025</v>
      </c>
    </row>
    <row r="2485" spans="1:4">
      <c r="A2485" s="70" t="s">
        <v>2968</v>
      </c>
      <c r="B2485" s="13" t="s">
        <v>2283</v>
      </c>
      <c r="C2485" s="16" t="s">
        <v>2972</v>
      </c>
      <c r="D2485" s="13">
        <v>7892840813444</v>
      </c>
    </row>
    <row r="2486" spans="1:4">
      <c r="A2486" s="70" t="s">
        <v>2978</v>
      </c>
      <c r="B2486" s="17" t="s">
        <v>2287</v>
      </c>
      <c r="C2486" s="16" t="s">
        <v>2979</v>
      </c>
      <c r="D2486" s="13">
        <v>7896314709660</v>
      </c>
    </row>
    <row r="2487" spans="1:4">
      <c r="A2487" s="70" t="s">
        <v>2977</v>
      </c>
      <c r="B2487" s="13" t="s">
        <v>2287</v>
      </c>
      <c r="C2487" s="16" t="s">
        <v>2980</v>
      </c>
      <c r="D2487" s="13">
        <v>7909806031313</v>
      </c>
    </row>
    <row r="2488" spans="1:4">
      <c r="A2488" s="70" t="s">
        <v>2981</v>
      </c>
      <c r="B2488" s="17" t="s">
        <v>2281</v>
      </c>
      <c r="C2488" s="16" t="s">
        <v>2983</v>
      </c>
      <c r="D2488" s="13">
        <v>7896035733326</v>
      </c>
    </row>
    <row r="2489" spans="1:4">
      <c r="A2489" s="70" t="s">
        <v>2982</v>
      </c>
      <c r="B2489" s="17" t="s">
        <v>2283</v>
      </c>
      <c r="C2489" s="16" t="s">
        <v>2266</v>
      </c>
      <c r="D2489" s="13">
        <v>7896855901080</v>
      </c>
    </row>
    <row r="2490" spans="1:4">
      <c r="A2490" s="70" t="s">
        <v>2984</v>
      </c>
      <c r="B2490" s="13" t="s">
        <v>2283</v>
      </c>
      <c r="C2490" s="16" t="s">
        <v>2985</v>
      </c>
      <c r="D2490" s="13">
        <v>7896596100056</v>
      </c>
    </row>
    <row r="2491" spans="1:4" ht="30">
      <c r="A2491" s="70" t="s">
        <v>2996</v>
      </c>
      <c r="B2491" s="13" t="s">
        <v>2286</v>
      </c>
      <c r="C2491" s="16" t="s">
        <v>2997</v>
      </c>
      <c r="D2491" s="13">
        <v>7896098903957</v>
      </c>
    </row>
    <row r="2492" spans="1:4">
      <c r="A2492" s="70" t="s">
        <v>2998</v>
      </c>
      <c r="B2492" s="13" t="s">
        <v>2287</v>
      </c>
      <c r="C2492" s="16" t="s">
        <v>2999</v>
      </c>
      <c r="D2492" s="13">
        <v>7909006027529</v>
      </c>
    </row>
    <row r="2493" spans="1:4">
      <c r="A2493" s="70" t="s">
        <v>3000</v>
      </c>
      <c r="B2493" s="17" t="s">
        <v>2284</v>
      </c>
      <c r="C2493" s="16" t="s">
        <v>981</v>
      </c>
      <c r="D2493" s="13">
        <v>7896232111842</v>
      </c>
    </row>
    <row r="2494" spans="1:4">
      <c r="A2494" s="70" t="s">
        <v>3000</v>
      </c>
      <c r="B2494" s="17" t="s">
        <v>2284</v>
      </c>
      <c r="C2494" s="16" t="s">
        <v>982</v>
      </c>
      <c r="D2494" s="13">
        <v>7896232111828</v>
      </c>
    </row>
    <row r="2495" spans="1:4">
      <c r="A2495" s="70" t="s">
        <v>3000</v>
      </c>
      <c r="B2495" s="17" t="s">
        <v>2284</v>
      </c>
      <c r="C2495" s="16" t="s">
        <v>983</v>
      </c>
      <c r="D2495" s="13">
        <v>7896232111804</v>
      </c>
    </row>
    <row r="2496" spans="1:4">
      <c r="A2496" s="70" t="s">
        <v>3000</v>
      </c>
      <c r="B2496" s="17" t="s">
        <v>2284</v>
      </c>
      <c r="C2496" s="16" t="s">
        <v>984</v>
      </c>
      <c r="D2496" s="13">
        <v>7896232111811</v>
      </c>
    </row>
    <row r="2497" spans="1:4">
      <c r="A2497" s="70" t="s">
        <v>3000</v>
      </c>
      <c r="B2497" s="17" t="s">
        <v>2284</v>
      </c>
      <c r="C2497" s="16" t="s">
        <v>3001</v>
      </c>
      <c r="D2497" s="13">
        <v>7896232111835</v>
      </c>
    </row>
    <row r="2498" spans="1:4">
      <c r="A2498" s="70" t="s">
        <v>3000</v>
      </c>
      <c r="B2498" s="17" t="s">
        <v>2284</v>
      </c>
      <c r="C2498" s="16" t="s">
        <v>3002</v>
      </c>
      <c r="D2498" s="13">
        <v>7896232115802</v>
      </c>
    </row>
    <row r="2499" spans="1:4">
      <c r="A2499" s="70" t="s">
        <v>3007</v>
      </c>
      <c r="B2499" s="17" t="s">
        <v>2640</v>
      </c>
      <c r="C2499" s="16" t="s">
        <v>3011</v>
      </c>
      <c r="D2499" s="13">
        <v>7898152990064</v>
      </c>
    </row>
    <row r="2500" spans="1:4">
      <c r="A2500" s="70" t="s">
        <v>3007</v>
      </c>
      <c r="B2500" s="17" t="s">
        <v>2640</v>
      </c>
      <c r="C2500" s="16" t="s">
        <v>3012</v>
      </c>
      <c r="D2500" s="13">
        <v>7898152996370</v>
      </c>
    </row>
    <row r="2501" spans="1:4">
      <c r="A2501" s="70" t="s">
        <v>3008</v>
      </c>
      <c r="B2501" s="17" t="s">
        <v>2640</v>
      </c>
      <c r="C2501" s="16" t="s">
        <v>3013</v>
      </c>
      <c r="D2501" s="13">
        <v>7898152990040</v>
      </c>
    </row>
    <row r="2502" spans="1:4">
      <c r="A2502" s="70" t="s">
        <v>3010</v>
      </c>
      <c r="B2502" s="13" t="s">
        <v>2282</v>
      </c>
      <c r="C2502" s="16" t="s">
        <v>3014</v>
      </c>
      <c r="D2502" s="13">
        <v>7894904326259</v>
      </c>
    </row>
    <row r="2503" spans="1:4">
      <c r="A2503" s="70" t="s">
        <v>3010</v>
      </c>
      <c r="B2503" s="13" t="s">
        <v>2282</v>
      </c>
      <c r="C2503" s="16" t="s">
        <v>3015</v>
      </c>
      <c r="D2503" s="13">
        <v>7894904326044</v>
      </c>
    </row>
    <row r="2504" spans="1:4">
      <c r="A2504" s="70" t="s">
        <v>3010</v>
      </c>
      <c r="B2504" s="13" t="s">
        <v>2282</v>
      </c>
      <c r="C2504" s="16" t="s">
        <v>3016</v>
      </c>
      <c r="D2504" s="13">
        <v>7894904325702</v>
      </c>
    </row>
    <row r="2505" spans="1:4">
      <c r="A2505" s="70" t="s">
        <v>3010</v>
      </c>
      <c r="B2505" s="13" t="s">
        <v>2282</v>
      </c>
      <c r="C2505" s="16" t="s">
        <v>3017</v>
      </c>
      <c r="D2505" s="13">
        <v>7894904578566</v>
      </c>
    </row>
    <row r="2506" spans="1:4">
      <c r="A2506" s="70" t="s">
        <v>3010</v>
      </c>
      <c r="B2506" s="13" t="s">
        <v>2282</v>
      </c>
      <c r="C2506" s="16" t="s">
        <v>3018</v>
      </c>
      <c r="D2506" s="13">
        <v>7894904578573</v>
      </c>
    </row>
    <row r="2507" spans="1:4">
      <c r="A2507" s="70" t="s">
        <v>3010</v>
      </c>
      <c r="B2507" s="13" t="s">
        <v>2282</v>
      </c>
      <c r="C2507" s="16" t="s">
        <v>3019</v>
      </c>
      <c r="D2507" s="13">
        <v>7894904326068</v>
      </c>
    </row>
    <row r="2508" spans="1:4">
      <c r="A2508" s="70" t="s">
        <v>3010</v>
      </c>
      <c r="B2508" s="13" t="s">
        <v>2282</v>
      </c>
      <c r="C2508" s="16" t="s">
        <v>3020</v>
      </c>
      <c r="D2508" s="13">
        <v>7894904827220</v>
      </c>
    </row>
    <row r="2509" spans="1:4">
      <c r="A2509" s="70" t="s">
        <v>3025</v>
      </c>
      <c r="B2509" s="13" t="s">
        <v>2283</v>
      </c>
      <c r="C2509" s="16" t="s">
        <v>3026</v>
      </c>
      <c r="D2509" s="13">
        <v>7897395040390</v>
      </c>
    </row>
    <row r="2510" spans="1:4">
      <c r="A2510" s="70" t="s">
        <v>3025</v>
      </c>
      <c r="B2510" s="13" t="s">
        <v>2283</v>
      </c>
      <c r="C2510" s="72" t="s">
        <v>3027</v>
      </c>
      <c r="D2510" s="75">
        <v>7897395040406</v>
      </c>
    </row>
    <row r="2511" spans="1:4">
      <c r="A2511" s="70" t="s">
        <v>3028</v>
      </c>
      <c r="B2511" s="13" t="s">
        <v>2640</v>
      </c>
      <c r="C2511" s="16" t="s">
        <v>2666</v>
      </c>
      <c r="D2511" s="13">
        <v>7896102583182</v>
      </c>
    </row>
    <row r="2512" spans="1:4">
      <c r="A2512" s="70" t="s">
        <v>3029</v>
      </c>
      <c r="B2512" s="17" t="s">
        <v>2281</v>
      </c>
      <c r="C2512" s="16" t="s">
        <v>3032</v>
      </c>
      <c r="D2512" s="13">
        <v>7622210575975</v>
      </c>
    </row>
    <row r="2513" spans="1:4">
      <c r="A2513" s="70" t="s">
        <v>3030</v>
      </c>
      <c r="B2513" s="13" t="s">
        <v>2285</v>
      </c>
      <c r="C2513" s="16" t="s">
        <v>3033</v>
      </c>
      <c r="D2513" s="13">
        <v>7896060401849</v>
      </c>
    </row>
    <row r="2514" spans="1:4">
      <c r="A2514" s="70" t="s">
        <v>3034</v>
      </c>
      <c r="B2514" s="13" t="s">
        <v>2281</v>
      </c>
      <c r="C2514" s="16" t="s">
        <v>3037</v>
      </c>
      <c r="D2514" s="13">
        <v>7896089088656</v>
      </c>
    </row>
    <row r="2515" spans="1:4">
      <c r="A2515" s="70" t="s">
        <v>3036</v>
      </c>
      <c r="B2515" s="17" t="s">
        <v>2283</v>
      </c>
      <c r="C2515" s="16" t="s">
        <v>3038</v>
      </c>
      <c r="D2515" s="13">
        <v>7897395020194</v>
      </c>
    </row>
    <row r="2516" spans="1:4">
      <c r="A2516" s="70" t="s">
        <v>3039</v>
      </c>
      <c r="B2516" s="13" t="s">
        <v>2640</v>
      </c>
      <c r="C2516" s="16" t="s">
        <v>3040</v>
      </c>
      <c r="D2516" s="13">
        <v>7898187830021</v>
      </c>
    </row>
    <row r="2517" spans="1:4">
      <c r="A2517" s="70" t="s">
        <v>3041</v>
      </c>
      <c r="B2517" s="17" t="s">
        <v>2281</v>
      </c>
      <c r="C2517" s="16" t="s">
        <v>2744</v>
      </c>
      <c r="D2517" s="13">
        <v>7898215157465</v>
      </c>
    </row>
    <row r="2518" spans="1:4">
      <c r="A2518" s="70" t="s">
        <v>3042</v>
      </c>
      <c r="B2518" s="17" t="s">
        <v>2283</v>
      </c>
      <c r="C2518" s="16" t="s">
        <v>3043</v>
      </c>
      <c r="D2518" s="13">
        <v>4066600060741</v>
      </c>
    </row>
    <row r="2519" spans="1:4">
      <c r="A2519" s="70" t="s">
        <v>3041</v>
      </c>
      <c r="B2519" s="17" t="s">
        <v>2281</v>
      </c>
      <c r="C2519" s="76" t="s">
        <v>3044</v>
      </c>
      <c r="D2519" s="13">
        <v>7898215157366</v>
      </c>
    </row>
    <row r="2520" spans="1:4">
      <c r="A2520" s="70" t="s">
        <v>3052</v>
      </c>
      <c r="B2520" s="13" t="s">
        <v>2286</v>
      </c>
      <c r="C2520" s="16" t="s">
        <v>3054</v>
      </c>
      <c r="D2520" s="13">
        <v>7896060401801</v>
      </c>
    </row>
    <row r="2521" spans="1:4">
      <c r="A2521" s="70" t="s">
        <v>3053</v>
      </c>
      <c r="B2521" s="17" t="s">
        <v>2281</v>
      </c>
      <c r="C2521" s="16" t="s">
        <v>448</v>
      </c>
      <c r="D2521" s="13">
        <v>7896005801529</v>
      </c>
    </row>
    <row r="2522" spans="1:4">
      <c r="A2522" s="70" t="s">
        <v>3061</v>
      </c>
      <c r="B2522" s="17" t="s">
        <v>2283</v>
      </c>
      <c r="C2522" s="16" t="s">
        <v>2417</v>
      </c>
      <c r="D2522" s="13">
        <v>7891991000826</v>
      </c>
    </row>
    <row r="2523" spans="1:4">
      <c r="A2523" s="70" t="s">
        <v>3061</v>
      </c>
      <c r="B2523" s="17" t="s">
        <v>2283</v>
      </c>
      <c r="C2523" s="72" t="s">
        <v>2440</v>
      </c>
      <c r="D2523" s="75">
        <v>7891991015103</v>
      </c>
    </row>
    <row r="2524" spans="1:4">
      <c r="A2524" s="70" t="s">
        <v>3061</v>
      </c>
      <c r="B2524" s="17" t="s">
        <v>2283</v>
      </c>
      <c r="C2524" s="72" t="s">
        <v>165</v>
      </c>
      <c r="D2524" s="75">
        <v>7891991002189</v>
      </c>
    </row>
    <row r="2525" spans="1:4">
      <c r="A2525" s="70" t="s">
        <v>3061</v>
      </c>
      <c r="B2525" s="17" t="s">
        <v>2283</v>
      </c>
      <c r="C2525" s="16" t="s">
        <v>3063</v>
      </c>
      <c r="D2525" s="13">
        <v>7891991000727</v>
      </c>
    </row>
    <row r="2526" spans="1:4">
      <c r="A2526" s="70" t="s">
        <v>3061</v>
      </c>
      <c r="B2526" s="17" t="s">
        <v>2283</v>
      </c>
      <c r="C2526" s="72" t="s">
        <v>3064</v>
      </c>
      <c r="D2526" s="13">
        <v>7891991002288</v>
      </c>
    </row>
    <row r="2527" spans="1:4">
      <c r="A2527" s="70" t="s">
        <v>3062</v>
      </c>
      <c r="B2527" s="17" t="s">
        <v>2283</v>
      </c>
      <c r="C2527" s="16" t="s">
        <v>3065</v>
      </c>
      <c r="D2527" s="13">
        <v>7891991295055</v>
      </c>
    </row>
    <row r="2528" spans="1:4">
      <c r="A2528" s="70" t="s">
        <v>3062</v>
      </c>
      <c r="B2528" s="17" t="s">
        <v>2283</v>
      </c>
      <c r="C2528" s="72" t="s">
        <v>3066</v>
      </c>
      <c r="D2528" s="75">
        <v>7891991295062</v>
      </c>
    </row>
    <row r="2529" spans="1:4">
      <c r="A2529" s="70" t="s">
        <v>3060</v>
      </c>
      <c r="B2529" s="17" t="s">
        <v>2284</v>
      </c>
      <c r="C2529" s="16" t="s">
        <v>3067</v>
      </c>
      <c r="D2529" s="13">
        <v>7891031409121</v>
      </c>
    </row>
    <row r="2530" spans="1:4">
      <c r="A2530" s="70" t="s">
        <v>3070</v>
      </c>
      <c r="B2530" s="13" t="s">
        <v>2281</v>
      </c>
      <c r="C2530" s="16" t="s">
        <v>2020</v>
      </c>
      <c r="D2530" s="13">
        <v>7896004007427</v>
      </c>
    </row>
    <row r="2531" spans="1:4">
      <c r="A2531" s="10" t="s">
        <v>3240</v>
      </c>
      <c r="B2531" s="13" t="s">
        <v>2286</v>
      </c>
      <c r="C2531" s="16" t="s">
        <v>3072</v>
      </c>
      <c r="D2531" s="13">
        <v>7500435243650</v>
      </c>
    </row>
    <row r="2532" spans="1:4">
      <c r="A2532" s="10" t="s">
        <v>3240</v>
      </c>
      <c r="B2532" s="13" t="s">
        <v>2286</v>
      </c>
      <c r="C2532" s="16" t="s">
        <v>3073</v>
      </c>
      <c r="D2532" s="13">
        <v>7506339332643</v>
      </c>
    </row>
    <row r="2533" spans="1:4">
      <c r="A2533" s="10" t="s">
        <v>3240</v>
      </c>
      <c r="B2533" s="13" t="s">
        <v>2286</v>
      </c>
      <c r="C2533" s="16" t="s">
        <v>3074</v>
      </c>
      <c r="D2533" s="13">
        <v>7500435153850</v>
      </c>
    </row>
    <row r="2534" spans="1:4">
      <c r="A2534" s="10" t="s">
        <v>3240</v>
      </c>
      <c r="B2534" s="13" t="s">
        <v>2286</v>
      </c>
      <c r="C2534" s="16" t="s">
        <v>3075</v>
      </c>
      <c r="D2534" s="13">
        <v>7506339389876</v>
      </c>
    </row>
    <row r="2535" spans="1:4">
      <c r="A2535" s="10" t="s">
        <v>3240</v>
      </c>
      <c r="B2535" s="13" t="s">
        <v>2286</v>
      </c>
      <c r="C2535" s="16" t="s">
        <v>3076</v>
      </c>
      <c r="D2535" s="13">
        <v>7500435201285</v>
      </c>
    </row>
    <row r="2536" spans="1:4">
      <c r="A2536" s="10" t="s">
        <v>3240</v>
      </c>
      <c r="B2536" s="13" t="s">
        <v>2286</v>
      </c>
      <c r="C2536" s="16" t="s">
        <v>3077</v>
      </c>
      <c r="D2536" s="13">
        <v>7500435160001</v>
      </c>
    </row>
    <row r="2537" spans="1:4">
      <c r="A2537" s="10" t="s">
        <v>3240</v>
      </c>
      <c r="B2537" s="13" t="s">
        <v>2286</v>
      </c>
      <c r="C2537" s="16" t="s">
        <v>3078</v>
      </c>
      <c r="D2537" s="13">
        <v>7500435160018</v>
      </c>
    </row>
    <row r="2538" spans="1:4">
      <c r="A2538" s="10" t="s">
        <v>3240</v>
      </c>
      <c r="B2538" s="13" t="s">
        <v>2286</v>
      </c>
      <c r="C2538" s="16" t="s">
        <v>3558</v>
      </c>
      <c r="D2538" s="13">
        <v>7500435252201</v>
      </c>
    </row>
    <row r="2539" spans="1:4">
      <c r="A2539" s="10" t="s">
        <v>3240</v>
      </c>
      <c r="B2539" s="13" t="s">
        <v>2286</v>
      </c>
      <c r="C2539" s="16" t="s">
        <v>3079</v>
      </c>
      <c r="D2539" s="13">
        <v>7500435156967</v>
      </c>
    </row>
    <row r="2540" spans="1:4">
      <c r="A2540" s="70" t="s">
        <v>3068</v>
      </c>
      <c r="B2540" s="13" t="s">
        <v>2283</v>
      </c>
      <c r="C2540" s="16" t="s">
        <v>3080</v>
      </c>
      <c r="D2540" s="13">
        <v>7898132846664</v>
      </c>
    </row>
    <row r="2541" spans="1:4">
      <c r="A2541" s="70" t="s">
        <v>3068</v>
      </c>
      <c r="B2541" s="13" t="s">
        <v>2283</v>
      </c>
      <c r="C2541" s="16" t="s">
        <v>3081</v>
      </c>
      <c r="D2541" s="13">
        <v>7898132846947</v>
      </c>
    </row>
    <row r="2542" spans="1:4">
      <c r="A2542" s="70" t="s">
        <v>3068</v>
      </c>
      <c r="B2542" s="13" t="s">
        <v>2283</v>
      </c>
      <c r="C2542" s="16" t="s">
        <v>3082</v>
      </c>
      <c r="D2542" s="13">
        <v>7898132846862</v>
      </c>
    </row>
    <row r="2543" spans="1:4">
      <c r="A2543" s="70" t="s">
        <v>3068</v>
      </c>
      <c r="B2543" s="13" t="s">
        <v>2283</v>
      </c>
      <c r="C2543" s="16" t="s">
        <v>3083</v>
      </c>
      <c r="D2543" s="13">
        <v>7898132844493</v>
      </c>
    </row>
    <row r="2544" spans="1:4">
      <c r="A2544" s="70" t="s">
        <v>3071</v>
      </c>
      <c r="B2544" s="13" t="s">
        <v>2288</v>
      </c>
      <c r="C2544" s="16" t="s">
        <v>3084</v>
      </c>
      <c r="D2544" s="13">
        <v>7891999006271</v>
      </c>
    </row>
    <row r="2545" spans="1:4">
      <c r="A2545" s="70" t="s">
        <v>3087</v>
      </c>
      <c r="B2545" s="13" t="s">
        <v>2283</v>
      </c>
      <c r="C2545" s="16" t="s">
        <v>3088</v>
      </c>
      <c r="D2545" s="13">
        <v>7891050000101</v>
      </c>
    </row>
    <row r="2546" spans="1:4">
      <c r="A2546" s="70" t="s">
        <v>3089</v>
      </c>
      <c r="B2546" s="13" t="s">
        <v>2288</v>
      </c>
      <c r="C2546" s="16" t="s">
        <v>3090</v>
      </c>
      <c r="D2546" s="13">
        <v>7891025124269</v>
      </c>
    </row>
    <row r="2547" spans="1:4">
      <c r="A2547" s="70" t="s">
        <v>2530</v>
      </c>
      <c r="B2547" s="13" t="s">
        <v>2288</v>
      </c>
      <c r="C2547" s="16" t="s">
        <v>3424</v>
      </c>
      <c r="D2547" s="13">
        <v>7891025125013</v>
      </c>
    </row>
    <row r="2548" spans="1:4">
      <c r="A2548" s="70" t="s">
        <v>3089</v>
      </c>
      <c r="B2548" s="13" t="s">
        <v>2288</v>
      </c>
      <c r="C2548" s="16" t="s">
        <v>3091</v>
      </c>
      <c r="D2548" s="13">
        <v>7891025124252</v>
      </c>
    </row>
    <row r="2549" spans="1:4">
      <c r="A2549" s="10" t="s">
        <v>3092</v>
      </c>
      <c r="B2549" s="17" t="s">
        <v>2299</v>
      </c>
      <c r="C2549" s="16" t="s">
        <v>3093</v>
      </c>
      <c r="D2549" s="13">
        <v>618341046290</v>
      </c>
    </row>
    <row r="2550" spans="1:4">
      <c r="A2550" s="70" t="s">
        <v>3095</v>
      </c>
      <c r="B2550" s="13" t="s">
        <v>2287</v>
      </c>
      <c r="C2550" s="16" t="s">
        <v>3096</v>
      </c>
      <c r="D2550" s="13">
        <v>7896075028239</v>
      </c>
    </row>
    <row r="2551" spans="1:4">
      <c r="A2551" s="10" t="s">
        <v>3098</v>
      </c>
      <c r="B2551" s="17" t="s">
        <v>2283</v>
      </c>
      <c r="C2551" s="16" t="s">
        <v>3586</v>
      </c>
      <c r="D2551" s="13">
        <v>7896045523412</v>
      </c>
    </row>
    <row r="2552" spans="1:4">
      <c r="A2552" s="10" t="s">
        <v>3098</v>
      </c>
      <c r="B2552" s="17" t="s">
        <v>2283</v>
      </c>
      <c r="C2552" s="16" t="s">
        <v>3588</v>
      </c>
      <c r="D2552" s="13">
        <v>7896045506873</v>
      </c>
    </row>
    <row r="2553" spans="1:4">
      <c r="A2553" s="10" t="s">
        <v>3098</v>
      </c>
      <c r="B2553" s="13" t="s">
        <v>2283</v>
      </c>
      <c r="C2553" s="16" t="s">
        <v>2529</v>
      </c>
      <c r="D2553" s="13">
        <v>7896045506064</v>
      </c>
    </row>
    <row r="2554" spans="1:4">
      <c r="A2554" s="10" t="s">
        <v>3098</v>
      </c>
      <c r="B2554" s="13" t="s">
        <v>2283</v>
      </c>
      <c r="C2554" s="16" t="s">
        <v>2958</v>
      </c>
      <c r="D2554" s="13">
        <v>7896045506910</v>
      </c>
    </row>
    <row r="2555" spans="1:4">
      <c r="A2555" s="10" t="s">
        <v>3098</v>
      </c>
      <c r="B2555" s="17" t="s">
        <v>2283</v>
      </c>
      <c r="C2555" s="72" t="s">
        <v>3587</v>
      </c>
      <c r="D2555" s="75">
        <v>7896045501038</v>
      </c>
    </row>
    <row r="2556" spans="1:4">
      <c r="A2556" s="10" t="s">
        <v>3098</v>
      </c>
      <c r="B2556" s="17" t="s">
        <v>2283</v>
      </c>
      <c r="C2556" s="72" t="s">
        <v>3589</v>
      </c>
      <c r="D2556" s="75">
        <v>7896045506880</v>
      </c>
    </row>
    <row r="2557" spans="1:4">
      <c r="A2557" s="10" t="s">
        <v>3098</v>
      </c>
      <c r="B2557" s="13" t="s">
        <v>2283</v>
      </c>
      <c r="C2557" s="72" t="s">
        <v>2961</v>
      </c>
      <c r="D2557" s="75">
        <v>7896045506927</v>
      </c>
    </row>
    <row r="2558" spans="1:4">
      <c r="A2558" s="70" t="s">
        <v>3097</v>
      </c>
      <c r="B2558" s="17" t="s">
        <v>2283</v>
      </c>
      <c r="C2558" s="16" t="s">
        <v>1869</v>
      </c>
      <c r="D2558" s="13">
        <v>8001929136377</v>
      </c>
    </row>
    <row r="2559" spans="1:4">
      <c r="A2559" s="70" t="s">
        <v>3097</v>
      </c>
      <c r="B2559" s="17" t="s">
        <v>2283</v>
      </c>
      <c r="C2559" s="16" t="s">
        <v>1870</v>
      </c>
      <c r="D2559" s="13">
        <v>8001929241545</v>
      </c>
    </row>
    <row r="2560" spans="1:4">
      <c r="A2560" s="70" t="s">
        <v>3097</v>
      </c>
      <c r="B2560" s="17" t="s">
        <v>2283</v>
      </c>
      <c r="C2560" s="16" t="s">
        <v>1871</v>
      </c>
      <c r="D2560" s="13">
        <v>8001929136353</v>
      </c>
    </row>
    <row r="2561" spans="1:4">
      <c r="A2561" s="70" t="s">
        <v>3099</v>
      </c>
      <c r="B2561" s="17" t="s">
        <v>2281</v>
      </c>
      <c r="C2561" s="16" t="s">
        <v>911</v>
      </c>
      <c r="D2561" s="13">
        <v>7898215157359</v>
      </c>
    </row>
    <row r="2562" spans="1:4">
      <c r="A2562" s="70" t="s">
        <v>3099</v>
      </c>
      <c r="B2562" s="17" t="s">
        <v>2281</v>
      </c>
      <c r="C2562" s="16" t="s">
        <v>939</v>
      </c>
      <c r="D2562" s="13">
        <v>7898215157458</v>
      </c>
    </row>
    <row r="2563" spans="1:4">
      <c r="A2563" s="70" t="s">
        <v>3099</v>
      </c>
      <c r="B2563" s="17" t="s">
        <v>2281</v>
      </c>
      <c r="C2563" s="16" t="s">
        <v>2745</v>
      </c>
      <c r="D2563" s="13">
        <v>7891000106754</v>
      </c>
    </row>
    <row r="2564" spans="1:4">
      <c r="A2564" s="70" t="s">
        <v>3099</v>
      </c>
      <c r="B2564" s="17" t="s">
        <v>2281</v>
      </c>
      <c r="C2564" s="16" t="s">
        <v>2620</v>
      </c>
      <c r="D2564" s="13">
        <v>7898215157434</v>
      </c>
    </row>
    <row r="2565" spans="1:4">
      <c r="A2565" s="70" t="s">
        <v>3099</v>
      </c>
      <c r="B2565" s="17" t="s">
        <v>2281</v>
      </c>
      <c r="C2565" s="16" t="s">
        <v>2621</v>
      </c>
      <c r="D2565" s="13">
        <v>7891000119495</v>
      </c>
    </row>
    <row r="2566" spans="1:4">
      <c r="A2566" s="70" t="s">
        <v>3099</v>
      </c>
      <c r="B2566" s="17" t="s">
        <v>2281</v>
      </c>
      <c r="C2566" s="72" t="s">
        <v>932</v>
      </c>
      <c r="D2566" s="13">
        <v>7891000106761</v>
      </c>
    </row>
    <row r="2567" spans="1:4">
      <c r="A2567" s="70" t="s">
        <v>3099</v>
      </c>
      <c r="B2567" s="17" t="s">
        <v>2281</v>
      </c>
      <c r="C2567" s="72" t="s">
        <v>932</v>
      </c>
      <c r="D2567" s="13">
        <v>7898215157455</v>
      </c>
    </row>
    <row r="2568" spans="1:4">
      <c r="A2568" s="70" t="s">
        <v>3099</v>
      </c>
      <c r="B2568" s="17" t="s">
        <v>2281</v>
      </c>
      <c r="C2568" s="72" t="s">
        <v>2633</v>
      </c>
      <c r="D2568" s="13">
        <v>7898215157417</v>
      </c>
    </row>
    <row r="2569" spans="1:4">
      <c r="A2569" s="70" t="s">
        <v>1462</v>
      </c>
      <c r="B2569" s="17" t="s">
        <v>2285</v>
      </c>
      <c r="C2569" s="16" t="s">
        <v>3100</v>
      </c>
      <c r="D2569" s="13">
        <v>7500435233644</v>
      </c>
    </row>
    <row r="2570" spans="1:4">
      <c r="A2570" s="10" t="s">
        <v>3106</v>
      </c>
      <c r="B2570" s="17" t="s">
        <v>2281</v>
      </c>
      <c r="C2570" s="16" t="s">
        <v>2026</v>
      </c>
      <c r="D2570" s="13">
        <v>7896003738568</v>
      </c>
    </row>
    <row r="2571" spans="1:4">
      <c r="A2571" s="10" t="s">
        <v>3106</v>
      </c>
      <c r="B2571" s="17" t="s">
        <v>2281</v>
      </c>
      <c r="C2571" s="16" t="s">
        <v>1971</v>
      </c>
      <c r="D2571" s="13">
        <v>7896003738582</v>
      </c>
    </row>
    <row r="2572" spans="1:4">
      <c r="A2572" s="10" t="s">
        <v>3106</v>
      </c>
      <c r="B2572" s="17" t="s">
        <v>2281</v>
      </c>
      <c r="C2572" s="16" t="s">
        <v>1976</v>
      </c>
      <c r="D2572" s="13">
        <v>7896003738520</v>
      </c>
    </row>
    <row r="2573" spans="1:4">
      <c r="A2573" s="10" t="s">
        <v>3106</v>
      </c>
      <c r="B2573" s="17" t="s">
        <v>2281</v>
      </c>
      <c r="C2573" s="16" t="s">
        <v>1972</v>
      </c>
      <c r="D2573" s="13">
        <v>7896003738575</v>
      </c>
    </row>
    <row r="2574" spans="1:4">
      <c r="A2574" s="10" t="s">
        <v>3106</v>
      </c>
      <c r="B2574" s="17" t="s">
        <v>2281</v>
      </c>
      <c r="C2574" s="16" t="s">
        <v>2028</v>
      </c>
      <c r="D2574" s="13">
        <v>7896003738551</v>
      </c>
    </row>
    <row r="2575" spans="1:4">
      <c r="A2575" s="10" t="s">
        <v>600</v>
      </c>
      <c r="B2575" s="17" t="s">
        <v>2283</v>
      </c>
      <c r="C2575" s="16" t="s">
        <v>626</v>
      </c>
      <c r="D2575" s="13">
        <v>7896023080043</v>
      </c>
    </row>
    <row r="2576" spans="1:4">
      <c r="A2576" s="10" t="s">
        <v>600</v>
      </c>
      <c r="B2576" s="17" t="s">
        <v>2283</v>
      </c>
      <c r="C2576" s="16" t="s">
        <v>627</v>
      </c>
      <c r="D2576" s="13">
        <v>7896023081477</v>
      </c>
    </row>
    <row r="2577" spans="1:4">
      <c r="A2577" s="10" t="s">
        <v>600</v>
      </c>
      <c r="B2577" s="17" t="s">
        <v>2283</v>
      </c>
      <c r="C2577" s="16" t="s">
        <v>628</v>
      </c>
      <c r="D2577" s="13">
        <v>7896023081415</v>
      </c>
    </row>
    <row r="2578" spans="1:4">
      <c r="A2578" s="10" t="s">
        <v>600</v>
      </c>
      <c r="B2578" s="17" t="s">
        <v>2283</v>
      </c>
      <c r="C2578" s="16" t="s">
        <v>1840</v>
      </c>
      <c r="D2578" s="13">
        <v>7896023010750</v>
      </c>
    </row>
    <row r="2579" spans="1:4">
      <c r="A2579" s="10" t="s">
        <v>600</v>
      </c>
      <c r="B2579" s="17" t="s">
        <v>2283</v>
      </c>
      <c r="C2579" s="16" t="s">
        <v>629</v>
      </c>
      <c r="D2579" s="13">
        <v>7896023084096</v>
      </c>
    </row>
    <row r="2580" spans="1:4">
      <c r="A2580" s="70" t="s">
        <v>3104</v>
      </c>
      <c r="B2580" s="17" t="s">
        <v>2285</v>
      </c>
      <c r="C2580" s="16" t="s">
        <v>3107</v>
      </c>
      <c r="D2580" s="13">
        <v>7896049527805</v>
      </c>
    </row>
    <row r="2581" spans="1:4">
      <c r="A2581" s="70" t="s">
        <v>3104</v>
      </c>
      <c r="B2581" s="17" t="s">
        <v>2285</v>
      </c>
      <c r="C2581" s="16" t="s">
        <v>3108</v>
      </c>
      <c r="D2581" s="13">
        <v>7896049527782</v>
      </c>
    </row>
    <row r="2582" spans="1:4">
      <c r="A2582" s="70" t="s">
        <v>3104</v>
      </c>
      <c r="B2582" s="17" t="s">
        <v>2285</v>
      </c>
      <c r="C2582" s="16" t="s">
        <v>3109</v>
      </c>
      <c r="D2582" s="13">
        <v>7896049527775</v>
      </c>
    </row>
    <row r="2583" spans="1:4">
      <c r="A2583" s="70" t="s">
        <v>3104</v>
      </c>
      <c r="B2583" s="17" t="s">
        <v>2285</v>
      </c>
      <c r="C2583" s="16" t="s">
        <v>3110</v>
      </c>
      <c r="D2583" s="13">
        <v>7896049527768</v>
      </c>
    </row>
    <row r="2584" spans="1:4">
      <c r="A2584" s="70" t="s">
        <v>3104</v>
      </c>
      <c r="B2584" s="17" t="s">
        <v>2285</v>
      </c>
      <c r="C2584" s="16" t="s">
        <v>3111</v>
      </c>
      <c r="D2584" s="13">
        <v>7896049527799</v>
      </c>
    </row>
    <row r="2585" spans="1:4">
      <c r="A2585" s="10" t="s">
        <v>3105</v>
      </c>
      <c r="B2585" s="17" t="s">
        <v>2285</v>
      </c>
      <c r="C2585" s="16" t="s">
        <v>3112</v>
      </c>
      <c r="D2585" s="13">
        <v>7896049508774</v>
      </c>
    </row>
    <row r="2586" spans="1:4">
      <c r="A2586" s="10" t="s">
        <v>3105</v>
      </c>
      <c r="B2586" s="17" t="s">
        <v>2285</v>
      </c>
      <c r="C2586" s="16" t="s">
        <v>3113</v>
      </c>
      <c r="D2586" s="13">
        <v>7896049508767</v>
      </c>
    </row>
    <row r="2587" spans="1:4">
      <c r="A2587" s="10" t="s">
        <v>3105</v>
      </c>
      <c r="B2587" s="17" t="s">
        <v>2285</v>
      </c>
      <c r="C2587" s="16" t="s">
        <v>3114</v>
      </c>
      <c r="D2587" s="13">
        <v>7896049508736</v>
      </c>
    </row>
    <row r="2588" spans="1:4">
      <c r="A2588" s="10" t="s">
        <v>3105</v>
      </c>
      <c r="B2588" s="17" t="s">
        <v>2285</v>
      </c>
      <c r="C2588" s="16" t="s">
        <v>3115</v>
      </c>
      <c r="D2588" s="13">
        <v>7896049508712</v>
      </c>
    </row>
    <row r="2589" spans="1:4">
      <c r="A2589" s="10" t="s">
        <v>3105</v>
      </c>
      <c r="B2589" s="17" t="s">
        <v>2285</v>
      </c>
      <c r="C2589" s="16" t="s">
        <v>3116</v>
      </c>
      <c r="D2589" s="13">
        <v>7896049508743</v>
      </c>
    </row>
    <row r="2590" spans="1:4">
      <c r="A2590" s="10" t="s">
        <v>3105</v>
      </c>
      <c r="B2590" s="17" t="s">
        <v>2285</v>
      </c>
      <c r="C2590" s="16" t="s">
        <v>3117</v>
      </c>
      <c r="D2590" s="13">
        <v>7896049508750</v>
      </c>
    </row>
    <row r="2591" spans="1:4">
      <c r="A2591" s="10" t="s">
        <v>3145</v>
      </c>
      <c r="B2591" s="13" t="s">
        <v>2286</v>
      </c>
      <c r="C2591" s="16" t="s">
        <v>2706</v>
      </c>
      <c r="D2591" s="13">
        <v>7896098909904</v>
      </c>
    </row>
    <row r="2592" spans="1:4">
      <c r="A2592" s="10" t="s">
        <v>3145</v>
      </c>
      <c r="B2592" s="13" t="s">
        <v>2286</v>
      </c>
      <c r="C2592" s="16" t="s">
        <v>2707</v>
      </c>
      <c r="D2592" s="13">
        <v>7896098909959</v>
      </c>
    </row>
    <row r="2593" spans="1:4">
      <c r="A2593" s="70" t="s">
        <v>3442</v>
      </c>
      <c r="B2593" s="17" t="s">
        <v>2284</v>
      </c>
      <c r="C2593" s="16" t="s">
        <v>167</v>
      </c>
      <c r="D2593" s="13">
        <v>7891031116951</v>
      </c>
    </row>
    <row r="2594" spans="1:4">
      <c r="A2594" s="70" t="s">
        <v>3102</v>
      </c>
      <c r="B2594" s="13" t="s">
        <v>2281</v>
      </c>
      <c r="C2594" s="16" t="s">
        <v>3119</v>
      </c>
      <c r="D2594" s="13">
        <v>7898944774261</v>
      </c>
    </row>
    <row r="2595" spans="1:4">
      <c r="A2595" s="70" t="s">
        <v>3102</v>
      </c>
      <c r="B2595" s="13" t="s">
        <v>2281</v>
      </c>
      <c r="C2595" s="16" t="s">
        <v>3120</v>
      </c>
      <c r="D2595" s="13">
        <v>7898944774254</v>
      </c>
    </row>
    <row r="2596" spans="1:4">
      <c r="A2596" s="70" t="s">
        <v>3102</v>
      </c>
      <c r="B2596" s="13" t="s">
        <v>2281</v>
      </c>
      <c r="C2596" s="16" t="s">
        <v>3121</v>
      </c>
      <c r="D2596" s="13">
        <v>7898944774278</v>
      </c>
    </row>
    <row r="2597" spans="1:4">
      <c r="A2597" s="10" t="s">
        <v>3105</v>
      </c>
      <c r="B2597" s="17" t="s">
        <v>2285</v>
      </c>
      <c r="C2597" s="16" t="s">
        <v>3122</v>
      </c>
      <c r="D2597" s="13">
        <v>7896049508729</v>
      </c>
    </row>
    <row r="2598" spans="1:4">
      <c r="A2598" s="10" t="s">
        <v>3124</v>
      </c>
      <c r="B2598" s="13" t="s">
        <v>2283</v>
      </c>
      <c r="C2598" s="16" t="s">
        <v>3125</v>
      </c>
      <c r="D2598" s="13">
        <v>7891991010481</v>
      </c>
    </row>
    <row r="2599" spans="1:4">
      <c r="A2599" s="10" t="s">
        <v>3124</v>
      </c>
      <c r="B2599" s="13" t="s">
        <v>2283</v>
      </c>
      <c r="C2599" s="72" t="s">
        <v>2493</v>
      </c>
      <c r="D2599" s="75">
        <v>7891991296342</v>
      </c>
    </row>
    <row r="2600" spans="1:4">
      <c r="A2600" s="10" t="s">
        <v>3124</v>
      </c>
      <c r="B2600" s="13" t="s">
        <v>2283</v>
      </c>
      <c r="C2600" s="72" t="s">
        <v>2493</v>
      </c>
      <c r="D2600" s="75">
        <v>7891991010863</v>
      </c>
    </row>
    <row r="2601" spans="1:4">
      <c r="A2601" s="10" t="s">
        <v>3124</v>
      </c>
      <c r="B2601" s="13" t="s">
        <v>2283</v>
      </c>
      <c r="C2601" s="72" t="s">
        <v>2493</v>
      </c>
      <c r="D2601" s="75">
        <v>7891991010825</v>
      </c>
    </row>
    <row r="2602" spans="1:4">
      <c r="A2602" s="10" t="s">
        <v>3123</v>
      </c>
      <c r="B2602" s="17" t="s">
        <v>2285</v>
      </c>
      <c r="C2602" s="16" t="s">
        <v>3126</v>
      </c>
      <c r="D2602" s="13">
        <v>7898962794180</v>
      </c>
    </row>
    <row r="2603" spans="1:4">
      <c r="A2603" s="70" t="s">
        <v>3129</v>
      </c>
      <c r="B2603" s="13" t="s">
        <v>2283</v>
      </c>
      <c r="C2603" s="16" t="s">
        <v>3130</v>
      </c>
      <c r="D2603" s="13">
        <v>7891991304870</v>
      </c>
    </row>
    <row r="2604" spans="1:4">
      <c r="A2604" s="70" t="s">
        <v>3127</v>
      </c>
      <c r="B2604" s="13" t="s">
        <v>2283</v>
      </c>
      <c r="C2604" s="16" t="s">
        <v>3131</v>
      </c>
      <c r="D2604" s="13">
        <v>7898215157120</v>
      </c>
    </row>
    <row r="2605" spans="1:4">
      <c r="A2605" s="70" t="s">
        <v>3127</v>
      </c>
      <c r="B2605" s="13" t="s">
        <v>2283</v>
      </c>
      <c r="C2605" s="16" t="s">
        <v>3132</v>
      </c>
      <c r="D2605" s="13">
        <v>7898215157113</v>
      </c>
    </row>
    <row r="2606" spans="1:4">
      <c r="A2606" s="70" t="s">
        <v>3127</v>
      </c>
      <c r="B2606" s="13" t="s">
        <v>2283</v>
      </c>
      <c r="C2606" s="16" t="s">
        <v>3133</v>
      </c>
      <c r="D2606" s="13">
        <v>7898215157106</v>
      </c>
    </row>
    <row r="2607" spans="1:4">
      <c r="A2607" s="70" t="s">
        <v>3127</v>
      </c>
      <c r="B2607" s="13" t="s">
        <v>2283</v>
      </c>
      <c r="C2607" s="16" t="s">
        <v>3134</v>
      </c>
      <c r="D2607" s="13">
        <v>7898215157175</v>
      </c>
    </row>
    <row r="2608" spans="1:4">
      <c r="A2608" s="70" t="s">
        <v>3128</v>
      </c>
      <c r="B2608" s="13" t="s">
        <v>2283</v>
      </c>
      <c r="C2608" s="16" t="s">
        <v>3135</v>
      </c>
      <c r="D2608" s="13">
        <v>7898215157977</v>
      </c>
    </row>
    <row r="2609" spans="1:4">
      <c r="A2609" s="70" t="s">
        <v>3128</v>
      </c>
      <c r="B2609" s="13" t="s">
        <v>2283</v>
      </c>
      <c r="C2609" s="16" t="s">
        <v>3136</v>
      </c>
      <c r="D2609" s="13">
        <v>7898215157854</v>
      </c>
    </row>
    <row r="2610" spans="1:4">
      <c r="A2610" s="70" t="s">
        <v>3128</v>
      </c>
      <c r="B2610" s="13" t="s">
        <v>2283</v>
      </c>
      <c r="C2610" s="16" t="s">
        <v>3137</v>
      </c>
      <c r="D2610" s="13">
        <v>7898215157861</v>
      </c>
    </row>
    <row r="2611" spans="1:4">
      <c r="A2611" s="70" t="s">
        <v>3128</v>
      </c>
      <c r="B2611" s="13" t="s">
        <v>2283</v>
      </c>
      <c r="C2611" s="16" t="s">
        <v>3138</v>
      </c>
      <c r="D2611" s="13">
        <v>7898215157847</v>
      </c>
    </row>
    <row r="2612" spans="1:4">
      <c r="A2612" s="10" t="s">
        <v>3129</v>
      </c>
      <c r="B2612" s="13" t="s">
        <v>2283</v>
      </c>
      <c r="C2612" s="72" t="s">
        <v>3139</v>
      </c>
      <c r="D2612" s="75">
        <v>7891991304887</v>
      </c>
    </row>
    <row r="2613" spans="1:4">
      <c r="A2613" s="10" t="s">
        <v>3140</v>
      </c>
      <c r="B2613" s="17" t="s">
        <v>2299</v>
      </c>
      <c r="C2613" s="16" t="s">
        <v>3142</v>
      </c>
      <c r="D2613" s="13">
        <v>618341046245</v>
      </c>
    </row>
    <row r="2614" spans="1:4" ht="15" customHeight="1">
      <c r="A2614" s="70" t="s">
        <v>3141</v>
      </c>
      <c r="B2614" s="13" t="s">
        <v>2281</v>
      </c>
      <c r="C2614" s="16" t="s">
        <v>3143</v>
      </c>
      <c r="D2614" s="13">
        <v>7898920041448</v>
      </c>
    </row>
    <row r="2615" spans="1:4">
      <c r="A2615" s="10" t="s">
        <v>3140</v>
      </c>
      <c r="B2615" s="17" t="s">
        <v>2299</v>
      </c>
      <c r="C2615" s="16" t="s">
        <v>3144</v>
      </c>
      <c r="D2615" s="13">
        <v>7898951441200</v>
      </c>
    </row>
    <row r="2616" spans="1:4">
      <c r="A2616" s="70" t="s">
        <v>3146</v>
      </c>
      <c r="B2616" s="13" t="s">
        <v>2283</v>
      </c>
      <c r="C2616" s="16" t="s">
        <v>3147</v>
      </c>
      <c r="D2616" s="13">
        <v>7891050000460</v>
      </c>
    </row>
    <row r="2617" spans="1:4">
      <c r="A2617" s="70" t="s">
        <v>3146</v>
      </c>
      <c r="B2617" s="13" t="s">
        <v>2283</v>
      </c>
      <c r="C2617" s="16" t="s">
        <v>3569</v>
      </c>
      <c r="D2617" s="13">
        <v>7891050000309</v>
      </c>
    </row>
    <row r="2618" spans="1:4">
      <c r="A2618" s="10" t="s">
        <v>3150</v>
      </c>
      <c r="B2618" s="13" t="s">
        <v>2285</v>
      </c>
      <c r="C2618" s="16" t="s">
        <v>3152</v>
      </c>
      <c r="D2618" s="13">
        <v>7898962794289</v>
      </c>
    </row>
    <row r="2619" spans="1:4">
      <c r="A2619" s="70" t="s">
        <v>3149</v>
      </c>
      <c r="B2619" s="13" t="s">
        <v>2281</v>
      </c>
      <c r="C2619" s="16" t="s">
        <v>3153</v>
      </c>
      <c r="D2619" s="13">
        <v>7896005800706</v>
      </c>
    </row>
    <row r="2620" spans="1:4">
      <c r="A2620" s="70" t="s">
        <v>3149</v>
      </c>
      <c r="B2620" s="13" t="s">
        <v>2281</v>
      </c>
      <c r="C2620" s="16" t="s">
        <v>3154</v>
      </c>
      <c r="D2620" s="13">
        <v>7896005800683</v>
      </c>
    </row>
    <row r="2621" spans="1:4">
      <c r="A2621" s="70" t="s">
        <v>3149</v>
      </c>
      <c r="B2621" s="13" t="s">
        <v>2281</v>
      </c>
      <c r="C2621" s="16" t="s">
        <v>3155</v>
      </c>
      <c r="D2621" s="13">
        <v>7896005801154</v>
      </c>
    </row>
    <row r="2622" spans="1:4">
      <c r="A2622" s="70" t="s">
        <v>3156</v>
      </c>
      <c r="B2622" s="13" t="s">
        <v>2286</v>
      </c>
      <c r="C2622" s="16" t="s">
        <v>3160</v>
      </c>
      <c r="D2622" s="13">
        <v>7896085124136</v>
      </c>
    </row>
    <row r="2623" spans="1:4">
      <c r="A2623" s="70" t="s">
        <v>3156</v>
      </c>
      <c r="B2623" s="13" t="s">
        <v>2286</v>
      </c>
      <c r="C2623" s="16" t="s">
        <v>3161</v>
      </c>
      <c r="D2623" s="13">
        <v>7896085124143</v>
      </c>
    </row>
    <row r="2624" spans="1:4">
      <c r="A2624" s="70" t="s">
        <v>3156</v>
      </c>
      <c r="B2624" s="13" t="s">
        <v>2286</v>
      </c>
      <c r="C2624" s="16" t="s">
        <v>3162</v>
      </c>
      <c r="D2624" s="13">
        <v>7896183311841</v>
      </c>
    </row>
    <row r="2625" spans="1:4">
      <c r="A2625" s="70" t="s">
        <v>3156</v>
      </c>
      <c r="B2625" s="13" t="s">
        <v>2286</v>
      </c>
      <c r="C2625" s="16" t="s">
        <v>3163</v>
      </c>
      <c r="D2625" s="13">
        <v>7896085123009</v>
      </c>
    </row>
    <row r="2626" spans="1:4">
      <c r="A2626" s="70" t="s">
        <v>3156</v>
      </c>
      <c r="B2626" s="13" t="s">
        <v>2286</v>
      </c>
      <c r="C2626" s="16" t="s">
        <v>3164</v>
      </c>
      <c r="D2626" s="13">
        <v>7896085123092</v>
      </c>
    </row>
    <row r="2627" spans="1:4">
      <c r="A2627" s="70" t="s">
        <v>3157</v>
      </c>
      <c r="B2627" s="13" t="s">
        <v>2287</v>
      </c>
      <c r="C2627" s="16" t="s">
        <v>3165</v>
      </c>
      <c r="D2627" s="13">
        <v>7909937976002</v>
      </c>
    </row>
    <row r="2628" spans="1:4">
      <c r="A2628" s="70" t="s">
        <v>3157</v>
      </c>
      <c r="B2628" s="13" t="s">
        <v>2287</v>
      </c>
      <c r="C2628" s="16" t="s">
        <v>3165</v>
      </c>
      <c r="D2628" s="13">
        <v>7909937975906</v>
      </c>
    </row>
    <row r="2629" spans="1:4">
      <c r="A2629" s="70" t="s">
        <v>3158</v>
      </c>
      <c r="B2629" s="13" t="s">
        <v>2287</v>
      </c>
      <c r="C2629" s="16" t="s">
        <v>3166</v>
      </c>
      <c r="D2629" s="13">
        <v>7909937039677</v>
      </c>
    </row>
    <row r="2630" spans="1:4">
      <c r="A2630" s="70" t="s">
        <v>3159</v>
      </c>
      <c r="B2630" s="13" t="s">
        <v>2287</v>
      </c>
      <c r="C2630" s="16" t="s">
        <v>3167</v>
      </c>
      <c r="D2630" s="13">
        <v>7909806327485</v>
      </c>
    </row>
    <row r="2631" spans="1:4">
      <c r="A2631" s="10" t="s">
        <v>3505</v>
      </c>
      <c r="B2631" s="13" t="s">
        <v>2281</v>
      </c>
      <c r="C2631" s="16" t="s">
        <v>3170</v>
      </c>
      <c r="D2631" s="13">
        <v>7891330016068</v>
      </c>
    </row>
    <row r="2632" spans="1:4">
      <c r="A2632" s="10" t="s">
        <v>3505</v>
      </c>
      <c r="B2632" s="13" t="s">
        <v>2281</v>
      </c>
      <c r="C2632" s="16" t="s">
        <v>3171</v>
      </c>
      <c r="D2632" s="13">
        <v>7891330017140</v>
      </c>
    </row>
    <row r="2633" spans="1:4">
      <c r="A2633" s="10" t="s">
        <v>3168</v>
      </c>
      <c r="B2633" s="13" t="s">
        <v>2283</v>
      </c>
      <c r="C2633" s="16" t="s">
        <v>1077</v>
      </c>
      <c r="D2633" s="13">
        <v>7896855901417</v>
      </c>
    </row>
    <row r="2634" spans="1:4">
      <c r="A2634" s="70" t="s">
        <v>3666</v>
      </c>
      <c r="B2634" s="13" t="s">
        <v>2283</v>
      </c>
      <c r="C2634" s="16" t="s">
        <v>3174</v>
      </c>
      <c r="D2634" s="13">
        <v>7896097760162</v>
      </c>
    </row>
    <row r="2635" spans="1:4">
      <c r="A2635" s="70" t="s">
        <v>3666</v>
      </c>
      <c r="B2635" s="13" t="s">
        <v>2283</v>
      </c>
      <c r="C2635" s="16" t="s">
        <v>3175</v>
      </c>
      <c r="D2635" s="13">
        <v>7896097745817</v>
      </c>
    </row>
    <row r="2636" spans="1:4">
      <c r="A2636" s="10" t="s">
        <v>3173</v>
      </c>
      <c r="B2636" s="13" t="s">
        <v>2286</v>
      </c>
      <c r="C2636" s="16" t="s">
        <v>3176</v>
      </c>
      <c r="D2636" s="13">
        <v>7896098902400</v>
      </c>
    </row>
    <row r="2637" spans="1:4">
      <c r="A2637" s="10" t="s">
        <v>3173</v>
      </c>
      <c r="B2637" s="13" t="s">
        <v>2286</v>
      </c>
      <c r="C2637" s="16" t="s">
        <v>3177</v>
      </c>
      <c r="D2637" s="13">
        <v>7896098902394</v>
      </c>
    </row>
    <row r="2638" spans="1:4">
      <c r="A2638" s="10" t="s">
        <v>3173</v>
      </c>
      <c r="B2638" s="13" t="s">
        <v>2286</v>
      </c>
      <c r="C2638" s="16" t="s">
        <v>3178</v>
      </c>
      <c r="D2638" s="13">
        <v>7896098903032</v>
      </c>
    </row>
    <row r="2639" spans="1:4">
      <c r="A2639" s="10" t="s">
        <v>3173</v>
      </c>
      <c r="B2639" s="13" t="s">
        <v>2286</v>
      </c>
      <c r="C2639" s="16" t="s">
        <v>3179</v>
      </c>
      <c r="D2639" s="13">
        <v>7896098902417</v>
      </c>
    </row>
    <row r="2640" spans="1:4">
      <c r="A2640" s="70" t="s">
        <v>3506</v>
      </c>
      <c r="B2640" s="13" t="s">
        <v>2288</v>
      </c>
      <c r="C2640" s="16" t="s">
        <v>3181</v>
      </c>
      <c r="D2640" s="13">
        <v>7896625211234</v>
      </c>
    </row>
    <row r="2641" spans="1:4">
      <c r="A2641" s="70" t="s">
        <v>3506</v>
      </c>
      <c r="B2641" s="13" t="s">
        <v>2288</v>
      </c>
      <c r="C2641" s="16" t="s">
        <v>3182</v>
      </c>
      <c r="D2641" s="13">
        <v>7896625211227</v>
      </c>
    </row>
    <row r="2642" spans="1:4">
      <c r="A2642" s="70" t="s">
        <v>3127</v>
      </c>
      <c r="B2642" s="13" t="s">
        <v>2283</v>
      </c>
      <c r="C2642" s="16" t="s">
        <v>3183</v>
      </c>
      <c r="D2642" s="13">
        <v>7898215157694</v>
      </c>
    </row>
    <row r="2643" spans="1:4">
      <c r="A2643" s="70" t="s">
        <v>3185</v>
      </c>
      <c r="B2643" s="13" t="s">
        <v>2280</v>
      </c>
      <c r="C2643" s="16" t="s">
        <v>483</v>
      </c>
      <c r="D2643" s="13">
        <v>7896022200282</v>
      </c>
    </row>
    <row r="2644" spans="1:4">
      <c r="A2644" s="70" t="s">
        <v>3185</v>
      </c>
      <c r="B2644" s="13" t="s">
        <v>2280</v>
      </c>
      <c r="C2644" s="16" t="s">
        <v>482</v>
      </c>
      <c r="D2644" s="13">
        <v>7896022200275</v>
      </c>
    </row>
    <row r="2645" spans="1:4">
      <c r="A2645" s="70" t="s">
        <v>3185</v>
      </c>
      <c r="B2645" s="13" t="s">
        <v>2280</v>
      </c>
      <c r="C2645" s="16" t="s">
        <v>481</v>
      </c>
      <c r="D2645" s="13">
        <v>7896022205478</v>
      </c>
    </row>
    <row r="2646" spans="1:4">
      <c r="A2646" s="70" t="s">
        <v>3185</v>
      </c>
      <c r="B2646" s="13" t="s">
        <v>2280</v>
      </c>
      <c r="C2646" s="16" t="s">
        <v>480</v>
      </c>
      <c r="D2646" s="13">
        <v>7896022200206</v>
      </c>
    </row>
    <row r="2647" spans="1:4">
      <c r="A2647" s="70" t="s">
        <v>3185</v>
      </c>
      <c r="B2647" s="13" t="s">
        <v>2280</v>
      </c>
      <c r="C2647" s="16" t="s">
        <v>3189</v>
      </c>
      <c r="D2647" s="13">
        <v>7896022200213</v>
      </c>
    </row>
    <row r="2648" spans="1:4">
      <c r="A2648" s="70" t="s">
        <v>3186</v>
      </c>
      <c r="B2648" s="17" t="s">
        <v>2283</v>
      </c>
      <c r="C2648" s="16" t="s">
        <v>3190</v>
      </c>
      <c r="D2648" s="13">
        <v>7896097720111</v>
      </c>
    </row>
    <row r="2649" spans="1:4">
      <c r="A2649" s="70" t="s">
        <v>3186</v>
      </c>
      <c r="B2649" s="17" t="s">
        <v>2283</v>
      </c>
      <c r="C2649" s="16" t="s">
        <v>3191</v>
      </c>
      <c r="D2649" s="13">
        <v>7896097720128</v>
      </c>
    </row>
    <row r="2650" spans="1:4">
      <c r="A2650" s="70" t="s">
        <v>3187</v>
      </c>
      <c r="B2650" s="13" t="s">
        <v>2288</v>
      </c>
      <c r="C2650" s="16" t="s">
        <v>2970</v>
      </c>
      <c r="D2650" s="13">
        <v>7896074606940</v>
      </c>
    </row>
    <row r="2651" spans="1:4">
      <c r="A2651" s="70" t="s">
        <v>3188</v>
      </c>
      <c r="B2651" s="17" t="s">
        <v>2288</v>
      </c>
      <c r="C2651" s="16" t="s">
        <v>3192</v>
      </c>
      <c r="D2651" s="13">
        <v>7891999004833</v>
      </c>
    </row>
    <row r="2652" spans="1:4">
      <c r="A2652" s="70" t="s">
        <v>3184</v>
      </c>
      <c r="B2652" s="17" t="s">
        <v>2288</v>
      </c>
      <c r="C2652" s="16" t="s">
        <v>1207</v>
      </c>
      <c r="D2652" s="13">
        <v>7898553442933</v>
      </c>
    </row>
    <row r="2653" spans="1:4">
      <c r="A2653" s="70" t="s">
        <v>3193</v>
      </c>
      <c r="B2653" s="13" t="s">
        <v>2283</v>
      </c>
      <c r="C2653" s="16" t="s">
        <v>3194</v>
      </c>
      <c r="D2653" s="13">
        <v>82184038734</v>
      </c>
    </row>
    <row r="2654" spans="1:4">
      <c r="A2654" s="70" t="s">
        <v>68</v>
      </c>
      <c r="B2654" s="17" t="s">
        <v>2284</v>
      </c>
      <c r="C2654" s="16" t="s">
        <v>1071</v>
      </c>
      <c r="D2654" s="13">
        <v>7894321823096</v>
      </c>
    </row>
    <row r="2655" spans="1:4">
      <c r="A2655" s="70" t="s">
        <v>68</v>
      </c>
      <c r="B2655" s="17" t="s">
        <v>2284</v>
      </c>
      <c r="C2655" s="16" t="s">
        <v>1071</v>
      </c>
      <c r="D2655" s="13">
        <v>7896009301100</v>
      </c>
    </row>
    <row r="2656" spans="1:4">
      <c r="A2656" s="70" t="s">
        <v>3195</v>
      </c>
      <c r="B2656" s="17" t="s">
        <v>2284</v>
      </c>
      <c r="C2656" s="16" t="s">
        <v>586</v>
      </c>
      <c r="D2656" s="13">
        <v>7896009301155</v>
      </c>
    </row>
    <row r="2657" spans="1:4">
      <c r="A2657" s="70" t="s">
        <v>3195</v>
      </c>
      <c r="B2657" s="17" t="s">
        <v>2284</v>
      </c>
      <c r="C2657" s="16" t="s">
        <v>587</v>
      </c>
      <c r="D2657" s="13">
        <v>7894321824505</v>
      </c>
    </row>
    <row r="2658" spans="1:4">
      <c r="A2658" s="70" t="s">
        <v>3195</v>
      </c>
      <c r="B2658" s="17" t="s">
        <v>2284</v>
      </c>
      <c r="C2658" s="16" t="s">
        <v>588</v>
      </c>
      <c r="D2658" s="13">
        <v>7896009301148</v>
      </c>
    </row>
    <row r="2659" spans="1:4">
      <c r="A2659" s="70" t="s">
        <v>3195</v>
      </c>
      <c r="B2659" s="17" t="s">
        <v>2284</v>
      </c>
      <c r="C2659" s="16" t="s">
        <v>586</v>
      </c>
      <c r="D2659" s="13">
        <v>7894321821108</v>
      </c>
    </row>
    <row r="2660" spans="1:4">
      <c r="A2660" s="70" t="s">
        <v>3196</v>
      </c>
      <c r="B2660" s="17" t="s">
        <v>2284</v>
      </c>
      <c r="C2660" s="16" t="s">
        <v>513</v>
      </c>
      <c r="D2660" s="13">
        <v>7896114901738</v>
      </c>
    </row>
    <row r="2661" spans="1:4">
      <c r="A2661" s="70" t="s">
        <v>3196</v>
      </c>
      <c r="B2661" s="17" t="s">
        <v>2284</v>
      </c>
      <c r="C2661" s="16" t="s">
        <v>513</v>
      </c>
      <c r="D2661" s="13">
        <v>7896114900014</v>
      </c>
    </row>
    <row r="2662" spans="1:4">
      <c r="A2662" s="70" t="s">
        <v>3197</v>
      </c>
      <c r="B2662" s="17" t="s">
        <v>2283</v>
      </c>
      <c r="C2662" s="16" t="s">
        <v>3604</v>
      </c>
      <c r="D2662" s="13">
        <v>78936683</v>
      </c>
    </row>
    <row r="2663" spans="1:4">
      <c r="A2663" s="70" t="s">
        <v>3197</v>
      </c>
      <c r="B2663" s="17" t="s">
        <v>2283</v>
      </c>
      <c r="C2663" s="72" t="s">
        <v>3605</v>
      </c>
      <c r="D2663" s="75">
        <v>7896045505371</v>
      </c>
    </row>
    <row r="2664" spans="1:4">
      <c r="A2664" s="70" t="s">
        <v>3197</v>
      </c>
      <c r="B2664" s="17" t="s">
        <v>2283</v>
      </c>
      <c r="C2664" s="16" t="s">
        <v>3606</v>
      </c>
      <c r="D2664" s="13">
        <v>7896045506040</v>
      </c>
    </row>
    <row r="2665" spans="1:4">
      <c r="A2665" s="70" t="s">
        <v>3197</v>
      </c>
      <c r="B2665" s="17" t="s">
        <v>2283</v>
      </c>
      <c r="C2665" s="72" t="s">
        <v>3607</v>
      </c>
      <c r="D2665" s="75">
        <v>7896045506057</v>
      </c>
    </row>
    <row r="2666" spans="1:4">
      <c r="A2666" s="70" t="s">
        <v>3198</v>
      </c>
      <c r="B2666" s="13" t="s">
        <v>2288</v>
      </c>
      <c r="C2666" s="16" t="s">
        <v>3199</v>
      </c>
      <c r="D2666" s="13">
        <v>7896275970406</v>
      </c>
    </row>
    <row r="2667" spans="1:4">
      <c r="A2667" s="10" t="s">
        <v>3200</v>
      </c>
      <c r="B2667" s="13" t="s">
        <v>2280</v>
      </c>
      <c r="C2667" s="16" t="s">
        <v>3189</v>
      </c>
      <c r="D2667" s="13">
        <v>7896022200213</v>
      </c>
    </row>
    <row r="2668" spans="1:4">
      <c r="A2668" s="10" t="s">
        <v>3201</v>
      </c>
      <c r="B2668" s="13" t="s">
        <v>2282</v>
      </c>
      <c r="C2668" s="16" t="s">
        <v>3203</v>
      </c>
      <c r="D2668" s="13">
        <v>98526</v>
      </c>
    </row>
    <row r="2669" spans="1:4">
      <c r="A2669" s="10" t="s">
        <v>3201</v>
      </c>
      <c r="B2669" s="13" t="s">
        <v>2282</v>
      </c>
      <c r="C2669" s="16" t="s">
        <v>3204</v>
      </c>
      <c r="D2669" s="13">
        <v>98533</v>
      </c>
    </row>
    <row r="2670" spans="1:4">
      <c r="A2670" s="70" t="s">
        <v>3202</v>
      </c>
      <c r="B2670" s="13" t="s">
        <v>2282</v>
      </c>
      <c r="C2670" s="16" t="s">
        <v>3205</v>
      </c>
      <c r="D2670" s="13">
        <v>7891527062991</v>
      </c>
    </row>
    <row r="2671" spans="1:4">
      <c r="A2671" s="10" t="s">
        <v>3210</v>
      </c>
      <c r="B2671" s="13" t="s">
        <v>2281</v>
      </c>
      <c r="C2671" s="15" t="s">
        <v>3207</v>
      </c>
      <c r="D2671" s="13">
        <v>7897380000231</v>
      </c>
    </row>
    <row r="2672" spans="1:4">
      <c r="A2672" s="10" t="s">
        <v>3210</v>
      </c>
      <c r="B2672" s="13" t="s">
        <v>2281</v>
      </c>
      <c r="C2672" s="15" t="s">
        <v>3218</v>
      </c>
      <c r="D2672" s="13">
        <v>7896066767291</v>
      </c>
    </row>
    <row r="2673" spans="1:4">
      <c r="A2673" s="10" t="s">
        <v>3210</v>
      </c>
      <c r="B2673" s="13" t="s">
        <v>2281</v>
      </c>
      <c r="C2673" s="15" t="s">
        <v>3208</v>
      </c>
      <c r="D2673" s="13">
        <v>7897380000217</v>
      </c>
    </row>
    <row r="2674" spans="1:4">
      <c r="A2674" s="10" t="s">
        <v>3210</v>
      </c>
      <c r="B2674" s="13" t="s">
        <v>2281</v>
      </c>
      <c r="C2674" s="15" t="s">
        <v>3208</v>
      </c>
      <c r="D2674" s="13">
        <v>7896066767284</v>
      </c>
    </row>
    <row r="2675" spans="1:4">
      <c r="A2675" s="10" t="s">
        <v>3210</v>
      </c>
      <c r="B2675" s="13" t="s">
        <v>2281</v>
      </c>
      <c r="C2675" s="15" t="s">
        <v>3209</v>
      </c>
      <c r="D2675" s="13">
        <v>7896066767307</v>
      </c>
    </row>
    <row r="2676" spans="1:4">
      <c r="A2676" s="10" t="s">
        <v>3210</v>
      </c>
      <c r="B2676" s="13" t="s">
        <v>2281</v>
      </c>
      <c r="C2676" s="15" t="s">
        <v>3209</v>
      </c>
      <c r="D2676" s="13">
        <v>7897380000767</v>
      </c>
    </row>
    <row r="2677" spans="1:4">
      <c r="A2677" s="70" t="s">
        <v>3211</v>
      </c>
      <c r="B2677" s="13" t="s">
        <v>2288</v>
      </c>
      <c r="C2677" s="16" t="s">
        <v>2598</v>
      </c>
      <c r="D2677" s="13">
        <v>7891097011580</v>
      </c>
    </row>
    <row r="2678" spans="1:4">
      <c r="A2678" s="70" t="s">
        <v>3212</v>
      </c>
      <c r="B2678" s="17" t="s">
        <v>2288</v>
      </c>
      <c r="C2678" s="16" t="s">
        <v>787</v>
      </c>
      <c r="D2678" s="13">
        <v>7891999011039</v>
      </c>
    </row>
    <row r="2679" spans="1:4">
      <c r="A2679" s="70" t="s">
        <v>1403</v>
      </c>
      <c r="B2679" s="17" t="s">
        <v>2283</v>
      </c>
      <c r="C2679" s="16" t="s">
        <v>3213</v>
      </c>
      <c r="D2679" s="13">
        <v>7896266191001</v>
      </c>
    </row>
    <row r="2680" spans="1:4">
      <c r="A2680" s="70" t="s">
        <v>3214</v>
      </c>
      <c r="B2680" s="13" t="s">
        <v>2283</v>
      </c>
      <c r="C2680" s="16" t="s">
        <v>3133</v>
      </c>
      <c r="D2680" s="13">
        <v>7898215157106</v>
      </c>
    </row>
    <row r="2681" spans="1:4" ht="30">
      <c r="A2681" s="10" t="s">
        <v>3215</v>
      </c>
      <c r="B2681" s="17" t="s">
        <v>2286</v>
      </c>
      <c r="C2681" s="16" t="s">
        <v>2162</v>
      </c>
      <c r="D2681" s="13">
        <v>7896098900840</v>
      </c>
    </row>
    <row r="2682" spans="1:4">
      <c r="A2682" s="70" t="s">
        <v>3216</v>
      </c>
      <c r="B2682" s="13" t="s">
        <v>2286</v>
      </c>
      <c r="C2682" s="16" t="s">
        <v>2706</v>
      </c>
      <c r="D2682" s="13">
        <v>7896098909904</v>
      </c>
    </row>
    <row r="2683" spans="1:4">
      <c r="A2683" s="70" t="s">
        <v>3217</v>
      </c>
      <c r="B2683" s="17" t="s">
        <v>2282</v>
      </c>
      <c r="C2683" s="16" t="s">
        <v>645</v>
      </c>
      <c r="D2683" s="13">
        <v>7896074604496</v>
      </c>
    </row>
    <row r="2684" spans="1:4">
      <c r="A2684" s="70" t="s">
        <v>3219</v>
      </c>
      <c r="B2684" s="17" t="s">
        <v>2284</v>
      </c>
      <c r="C2684" s="16" t="s">
        <v>1273</v>
      </c>
      <c r="D2684" s="13">
        <v>7896009301193</v>
      </c>
    </row>
    <row r="2685" spans="1:4">
      <c r="A2685" s="70" t="s">
        <v>3219</v>
      </c>
      <c r="B2685" s="17" t="s">
        <v>2284</v>
      </c>
      <c r="C2685" s="16" t="s">
        <v>3220</v>
      </c>
      <c r="D2685" s="13">
        <v>7896009301179</v>
      </c>
    </row>
    <row r="2686" spans="1:4">
      <c r="A2686" s="70" t="s">
        <v>3219</v>
      </c>
      <c r="B2686" s="17" t="s">
        <v>2284</v>
      </c>
      <c r="C2686" s="16" t="s">
        <v>1498</v>
      </c>
      <c r="D2686" s="13">
        <v>7896009301186</v>
      </c>
    </row>
    <row r="2687" spans="1:4">
      <c r="A2687" s="70" t="s">
        <v>3219</v>
      </c>
      <c r="B2687" s="17" t="s">
        <v>2284</v>
      </c>
      <c r="C2687" s="16" t="s">
        <v>3221</v>
      </c>
      <c r="D2687" s="13">
        <v>7896009301162</v>
      </c>
    </row>
    <row r="2688" spans="1:4">
      <c r="A2688" s="10" t="s">
        <v>3223</v>
      </c>
      <c r="B2688" s="13" t="s">
        <v>2281</v>
      </c>
      <c r="C2688" s="16" t="s">
        <v>3224</v>
      </c>
      <c r="D2688" s="13">
        <v>7896004007618</v>
      </c>
    </row>
    <row r="2689" spans="1:4">
      <c r="A2689" s="10" t="s">
        <v>3222</v>
      </c>
      <c r="B2689" s="13" t="s">
        <v>3226</v>
      </c>
      <c r="C2689" s="16" t="s">
        <v>3225</v>
      </c>
      <c r="D2689" s="13">
        <v>7891000110430</v>
      </c>
    </row>
    <row r="2690" spans="1:4">
      <c r="A2690" s="10" t="s">
        <v>3222</v>
      </c>
      <c r="B2690" s="13" t="s">
        <v>3226</v>
      </c>
      <c r="C2690" s="16" t="s">
        <v>1964</v>
      </c>
      <c r="D2690" s="13">
        <v>7891000103937</v>
      </c>
    </row>
    <row r="2691" spans="1:4">
      <c r="A2691" s="70" t="s">
        <v>3227</v>
      </c>
      <c r="B2691" s="13" t="s">
        <v>3226</v>
      </c>
      <c r="C2691" s="16" t="s">
        <v>3228</v>
      </c>
      <c r="D2691" s="13">
        <v>7891150086906</v>
      </c>
    </row>
    <row r="2692" spans="1:4">
      <c r="A2692" s="70" t="s">
        <v>3227</v>
      </c>
      <c r="B2692" s="13" t="s">
        <v>3226</v>
      </c>
      <c r="C2692" s="16" t="s">
        <v>1820</v>
      </c>
      <c r="D2692" s="13">
        <v>7891150055957</v>
      </c>
    </row>
    <row r="2693" spans="1:4">
      <c r="A2693" s="70" t="s">
        <v>3227</v>
      </c>
      <c r="B2693" s="13" t="s">
        <v>3226</v>
      </c>
      <c r="C2693" s="16" t="s">
        <v>1818</v>
      </c>
      <c r="D2693" s="13">
        <v>7891150062115</v>
      </c>
    </row>
    <row r="2694" spans="1:4">
      <c r="A2694" s="70" t="s">
        <v>3227</v>
      </c>
      <c r="B2694" s="13" t="s">
        <v>3226</v>
      </c>
      <c r="C2694" s="16" t="s">
        <v>1821</v>
      </c>
      <c r="D2694" s="13">
        <v>7891150024571</v>
      </c>
    </row>
    <row r="2695" spans="1:4">
      <c r="A2695" s="70" t="s">
        <v>3229</v>
      </c>
      <c r="B2695" s="17" t="s">
        <v>2284</v>
      </c>
      <c r="C2695" s="16" t="s">
        <v>331</v>
      </c>
      <c r="D2695" s="13">
        <v>7896239820525</v>
      </c>
    </row>
    <row r="2696" spans="1:4">
      <c r="A2696" s="70" t="s">
        <v>3229</v>
      </c>
      <c r="B2696" s="17" t="s">
        <v>2284</v>
      </c>
      <c r="C2696" s="16" t="s">
        <v>329</v>
      </c>
      <c r="D2696" s="13">
        <v>7896239821119</v>
      </c>
    </row>
    <row r="2697" spans="1:4">
      <c r="A2697" s="10" t="s">
        <v>3230</v>
      </c>
      <c r="B2697" s="17" t="s">
        <v>2284</v>
      </c>
      <c r="C2697" s="16" t="s">
        <v>243</v>
      </c>
      <c r="D2697" s="13">
        <v>7896009301131</v>
      </c>
    </row>
    <row r="2698" spans="1:4">
      <c r="A2698" s="10" t="s">
        <v>3230</v>
      </c>
      <c r="B2698" s="17" t="s">
        <v>2284</v>
      </c>
      <c r="C2698" s="16" t="s">
        <v>243</v>
      </c>
      <c r="D2698" s="13">
        <v>7894321822020</v>
      </c>
    </row>
    <row r="2699" spans="1:4">
      <c r="A2699" s="10" t="s">
        <v>3231</v>
      </c>
      <c r="B2699" s="13" t="s">
        <v>2281</v>
      </c>
      <c r="C2699" s="16" t="s">
        <v>3233</v>
      </c>
      <c r="D2699" s="13">
        <v>7896089013634</v>
      </c>
    </row>
    <row r="2700" spans="1:4">
      <c r="A2700" s="10" t="s">
        <v>3231</v>
      </c>
      <c r="B2700" s="13" t="s">
        <v>2281</v>
      </c>
      <c r="C2700" s="16" t="s">
        <v>3234</v>
      </c>
      <c r="D2700" s="13">
        <v>7896089013658</v>
      </c>
    </row>
    <row r="2701" spans="1:4">
      <c r="A2701" s="10" t="s">
        <v>3232</v>
      </c>
      <c r="B2701" s="17" t="s">
        <v>2287</v>
      </c>
      <c r="C2701" s="16" t="s">
        <v>1214</v>
      </c>
      <c r="D2701" s="13">
        <v>7702425537859</v>
      </c>
    </row>
    <row r="2702" spans="1:4">
      <c r="A2702" s="10" t="s">
        <v>3232</v>
      </c>
      <c r="B2702" s="17" t="s">
        <v>2287</v>
      </c>
      <c r="C2702" s="16" t="s">
        <v>2612</v>
      </c>
      <c r="D2702" s="13">
        <v>7702425810969</v>
      </c>
    </row>
    <row r="2703" spans="1:4">
      <c r="A2703" s="70" t="s">
        <v>3235</v>
      </c>
      <c r="B2703" s="17" t="s">
        <v>2282</v>
      </c>
      <c r="C2703" s="16" t="s">
        <v>2495</v>
      </c>
      <c r="D2703" s="13">
        <v>98229</v>
      </c>
    </row>
    <row r="2704" spans="1:4">
      <c r="A2704" s="70" t="s">
        <v>3235</v>
      </c>
      <c r="B2704" s="17" t="s">
        <v>2282</v>
      </c>
      <c r="C2704" s="16" t="s">
        <v>3094</v>
      </c>
      <c r="D2704" s="13">
        <v>98366</v>
      </c>
    </row>
    <row r="2705" spans="1:4">
      <c r="A2705" s="70" t="s">
        <v>3236</v>
      </c>
      <c r="B2705" s="17" t="s">
        <v>2640</v>
      </c>
      <c r="C2705" s="16" t="s">
        <v>3011</v>
      </c>
      <c r="D2705" s="13">
        <v>7898152990064</v>
      </c>
    </row>
    <row r="2706" spans="1:4">
      <c r="A2706" s="70" t="s">
        <v>3237</v>
      </c>
      <c r="B2706" s="17" t="s">
        <v>2288</v>
      </c>
      <c r="C2706" s="16" t="s">
        <v>452</v>
      </c>
      <c r="D2706" s="13">
        <v>7893000394209</v>
      </c>
    </row>
    <row r="2707" spans="1:4">
      <c r="A2707" s="70" t="s">
        <v>3238</v>
      </c>
      <c r="B2707" s="17" t="s">
        <v>2285</v>
      </c>
      <c r="C2707" s="16" t="s">
        <v>3239</v>
      </c>
      <c r="D2707" s="13">
        <v>7896060402495</v>
      </c>
    </row>
    <row r="2708" spans="1:4">
      <c r="A2708" s="10" t="s">
        <v>3232</v>
      </c>
      <c r="B2708" s="17" t="s">
        <v>2287</v>
      </c>
      <c r="C2708" s="16" t="s">
        <v>1214</v>
      </c>
      <c r="D2708" s="13">
        <v>7891172523328</v>
      </c>
    </row>
    <row r="2709" spans="1:4">
      <c r="A2709" s="10" t="s">
        <v>3232</v>
      </c>
      <c r="B2709" s="17" t="s">
        <v>2287</v>
      </c>
      <c r="C2709" s="16" t="s">
        <v>2612</v>
      </c>
      <c r="D2709" s="13">
        <v>7891172523359</v>
      </c>
    </row>
    <row r="2710" spans="1:4">
      <c r="A2710" s="70" t="s">
        <v>3241</v>
      </c>
      <c r="B2710" s="13" t="s">
        <v>3226</v>
      </c>
      <c r="C2710" s="16" t="s">
        <v>3242</v>
      </c>
      <c r="D2710" s="13">
        <v>7896862002633</v>
      </c>
    </row>
    <row r="2711" spans="1:4">
      <c r="A2711" s="70" t="s">
        <v>3244</v>
      </c>
      <c r="B2711" s="13" t="s">
        <v>2287</v>
      </c>
      <c r="C2711" s="16" t="s">
        <v>3246</v>
      </c>
      <c r="D2711" s="13">
        <v>7896075036494</v>
      </c>
    </row>
    <row r="2712" spans="1:4">
      <c r="A2712" s="70" t="s">
        <v>3245</v>
      </c>
      <c r="B2712" s="13" t="s">
        <v>2281</v>
      </c>
      <c r="C2712" s="16" t="s">
        <v>3247</v>
      </c>
      <c r="D2712" s="13">
        <v>7899941202818</v>
      </c>
    </row>
    <row r="2713" spans="1:4">
      <c r="A2713" s="70" t="s">
        <v>3245</v>
      </c>
      <c r="B2713" s="13" t="s">
        <v>2281</v>
      </c>
      <c r="C2713" s="16" t="s">
        <v>3248</v>
      </c>
      <c r="D2713" s="13">
        <v>7899941202832</v>
      </c>
    </row>
    <row r="2714" spans="1:4">
      <c r="A2714" s="70" t="s">
        <v>3245</v>
      </c>
      <c r="B2714" s="13" t="s">
        <v>2281</v>
      </c>
      <c r="C2714" s="16" t="s">
        <v>3249</v>
      </c>
      <c r="D2714" s="13">
        <v>7899941202795</v>
      </c>
    </row>
    <row r="2715" spans="1:4">
      <c r="A2715" s="70" t="s">
        <v>3250</v>
      </c>
      <c r="B2715" s="13" t="s">
        <v>2281</v>
      </c>
      <c r="C2715" s="16" t="s">
        <v>3254</v>
      </c>
      <c r="D2715" s="13">
        <v>7891097018190</v>
      </c>
    </row>
    <row r="2716" spans="1:4">
      <c r="A2716" s="70" t="s">
        <v>3250</v>
      </c>
      <c r="B2716" s="13" t="s">
        <v>2281</v>
      </c>
      <c r="C2716" s="16" t="s">
        <v>3255</v>
      </c>
      <c r="D2716" s="13">
        <v>7891097018251</v>
      </c>
    </row>
    <row r="2717" spans="1:4">
      <c r="A2717" s="70" t="s">
        <v>3250</v>
      </c>
      <c r="B2717" s="13" t="s">
        <v>2281</v>
      </c>
      <c r="C2717" s="16" t="s">
        <v>3256</v>
      </c>
      <c r="D2717" s="13">
        <v>7891097018220</v>
      </c>
    </row>
    <row r="2718" spans="1:4">
      <c r="A2718" s="10" t="s">
        <v>3251</v>
      </c>
      <c r="B2718" s="17" t="s">
        <v>2285</v>
      </c>
      <c r="C2718" s="16" t="s">
        <v>3257</v>
      </c>
      <c r="D2718" s="13">
        <v>7896007553716</v>
      </c>
    </row>
    <row r="2719" spans="1:4">
      <c r="A2719" s="10" t="s">
        <v>3251</v>
      </c>
      <c r="B2719" s="17" t="s">
        <v>2285</v>
      </c>
      <c r="C2719" s="16" t="s">
        <v>3258</v>
      </c>
      <c r="D2719" s="13">
        <v>7896007553709</v>
      </c>
    </row>
    <row r="2720" spans="1:4">
      <c r="A2720" s="10" t="s">
        <v>3251</v>
      </c>
      <c r="B2720" s="17" t="s">
        <v>2285</v>
      </c>
      <c r="C2720" s="16" t="s">
        <v>3259</v>
      </c>
      <c r="D2720" s="13">
        <v>7896007553693</v>
      </c>
    </row>
    <row r="2721" spans="1:4">
      <c r="A2721" s="10" t="s">
        <v>3251</v>
      </c>
      <c r="B2721" s="17" t="s">
        <v>2285</v>
      </c>
      <c r="C2721" s="16" t="s">
        <v>3260</v>
      </c>
      <c r="D2721" s="13">
        <v>7896007553723</v>
      </c>
    </row>
    <row r="2722" spans="1:4">
      <c r="A2722" s="10" t="s">
        <v>3251</v>
      </c>
      <c r="B2722" s="17" t="s">
        <v>2285</v>
      </c>
      <c r="C2722" s="16" t="s">
        <v>3261</v>
      </c>
      <c r="D2722" s="13">
        <v>7896007553730</v>
      </c>
    </row>
    <row r="2723" spans="1:4">
      <c r="A2723" s="70" t="s">
        <v>3252</v>
      </c>
      <c r="B2723" s="17" t="s">
        <v>2285</v>
      </c>
      <c r="C2723" s="16" t="s">
        <v>3262</v>
      </c>
      <c r="D2723" s="13">
        <v>7896512959867</v>
      </c>
    </row>
    <row r="2724" spans="1:4">
      <c r="A2724" s="70" t="s">
        <v>3252</v>
      </c>
      <c r="B2724" s="17" t="s">
        <v>2285</v>
      </c>
      <c r="C2724" s="16" t="s">
        <v>3263</v>
      </c>
      <c r="D2724" s="13">
        <v>7896512954077</v>
      </c>
    </row>
    <row r="2725" spans="1:4">
      <c r="A2725" s="70" t="s">
        <v>3252</v>
      </c>
      <c r="B2725" s="17" t="s">
        <v>2285</v>
      </c>
      <c r="C2725" s="16" t="s">
        <v>3264</v>
      </c>
      <c r="D2725" s="13">
        <v>7896512911988</v>
      </c>
    </row>
    <row r="2726" spans="1:4">
      <c r="A2726" s="70" t="s">
        <v>3252</v>
      </c>
      <c r="B2726" s="17" t="s">
        <v>2285</v>
      </c>
      <c r="C2726" s="16" t="s">
        <v>3265</v>
      </c>
      <c r="D2726" s="13">
        <v>7896512911971</v>
      </c>
    </row>
    <row r="2727" spans="1:4">
      <c r="A2727" s="70" t="s">
        <v>3252</v>
      </c>
      <c r="B2727" s="17" t="s">
        <v>2285</v>
      </c>
      <c r="C2727" s="16" t="s">
        <v>3266</v>
      </c>
      <c r="D2727" s="13">
        <v>7896512911391</v>
      </c>
    </row>
    <row r="2728" spans="1:4">
      <c r="A2728" s="70" t="s">
        <v>3253</v>
      </c>
      <c r="B2728" s="17" t="s">
        <v>2285</v>
      </c>
      <c r="C2728" s="16" t="s">
        <v>3267</v>
      </c>
      <c r="D2728" s="13">
        <v>7896512959850</v>
      </c>
    </row>
    <row r="2729" spans="1:4">
      <c r="A2729" s="70" t="s">
        <v>3253</v>
      </c>
      <c r="B2729" s="17" t="s">
        <v>2285</v>
      </c>
      <c r="C2729" s="16" t="s">
        <v>3268</v>
      </c>
      <c r="D2729" s="13">
        <v>7896512954060</v>
      </c>
    </row>
    <row r="2730" spans="1:4">
      <c r="A2730" s="70" t="s">
        <v>3253</v>
      </c>
      <c r="B2730" s="17" t="s">
        <v>2285</v>
      </c>
      <c r="C2730" s="16" t="s">
        <v>3269</v>
      </c>
      <c r="D2730" s="13">
        <v>7896512914507</v>
      </c>
    </row>
    <row r="2731" spans="1:4">
      <c r="A2731" s="70" t="s">
        <v>3253</v>
      </c>
      <c r="B2731" s="17" t="s">
        <v>2285</v>
      </c>
      <c r="C2731" s="16" t="s">
        <v>3270</v>
      </c>
      <c r="D2731" s="13">
        <v>7896512914262</v>
      </c>
    </row>
    <row r="2732" spans="1:4">
      <c r="A2732" s="70" t="s">
        <v>3253</v>
      </c>
      <c r="B2732" s="17" t="s">
        <v>2285</v>
      </c>
      <c r="C2732" s="16" t="s">
        <v>3271</v>
      </c>
      <c r="D2732" s="13">
        <v>7896512907493</v>
      </c>
    </row>
    <row r="2733" spans="1:4">
      <c r="A2733" s="10" t="s">
        <v>3276</v>
      </c>
      <c r="B2733" s="13" t="s">
        <v>2281</v>
      </c>
      <c r="C2733" s="16" t="s">
        <v>3277</v>
      </c>
      <c r="D2733" s="13">
        <v>7891097106255</v>
      </c>
    </row>
    <row r="2734" spans="1:4">
      <c r="A2734" s="70" t="s">
        <v>3279</v>
      </c>
      <c r="B2734" s="13" t="s">
        <v>2287</v>
      </c>
      <c r="C2734" s="16" t="s">
        <v>2868</v>
      </c>
      <c r="D2734" s="13">
        <v>7896314707659</v>
      </c>
    </row>
    <row r="2735" spans="1:4">
      <c r="A2735" s="70" t="s">
        <v>3280</v>
      </c>
      <c r="B2735" s="13" t="s">
        <v>2283</v>
      </c>
      <c r="C2735" s="16" t="s">
        <v>3281</v>
      </c>
      <c r="D2735" s="13">
        <v>5601012002706</v>
      </c>
    </row>
    <row r="2736" spans="1:4">
      <c r="A2736" s="70" t="s">
        <v>3283</v>
      </c>
      <c r="B2736" s="13" t="s">
        <v>2640</v>
      </c>
      <c r="C2736" s="16" t="s">
        <v>3284</v>
      </c>
      <c r="D2736" s="13">
        <v>7891031412138</v>
      </c>
    </row>
    <row r="2737" spans="1:4">
      <c r="A2737" s="70" t="s">
        <v>3282</v>
      </c>
      <c r="B2737" s="13" t="s">
        <v>2281</v>
      </c>
      <c r="C2737" s="16" t="s">
        <v>3285</v>
      </c>
      <c r="D2737" s="13">
        <v>7790577043595</v>
      </c>
    </row>
    <row r="2738" spans="1:4">
      <c r="A2738" s="70" t="s">
        <v>3282</v>
      </c>
      <c r="B2738" s="13" t="s">
        <v>2281</v>
      </c>
      <c r="C2738" s="16" t="s">
        <v>3286</v>
      </c>
      <c r="D2738" s="13">
        <v>7790577001663</v>
      </c>
    </row>
    <row r="2739" spans="1:4">
      <c r="A2739" s="70" t="s">
        <v>3287</v>
      </c>
      <c r="B2739" s="13" t="s">
        <v>2285</v>
      </c>
      <c r="C2739" s="16" t="s">
        <v>3288</v>
      </c>
      <c r="D2739" s="13">
        <v>7500435226943</v>
      </c>
    </row>
    <row r="2740" spans="1:4">
      <c r="A2740" s="70" t="s">
        <v>3287</v>
      </c>
      <c r="B2740" s="13" t="s">
        <v>2285</v>
      </c>
      <c r="C2740" s="16" t="s">
        <v>3289</v>
      </c>
      <c r="D2740" s="13">
        <v>7500435226950</v>
      </c>
    </row>
    <row r="2741" spans="1:4">
      <c r="A2741" s="70" t="s">
        <v>3287</v>
      </c>
      <c r="B2741" s="13" t="s">
        <v>2285</v>
      </c>
      <c r="C2741" s="16" t="s">
        <v>3290</v>
      </c>
      <c r="D2741" s="13">
        <v>7500435239417</v>
      </c>
    </row>
    <row r="2742" spans="1:4">
      <c r="A2742" s="70" t="s">
        <v>3287</v>
      </c>
      <c r="B2742" s="13" t="s">
        <v>2285</v>
      </c>
      <c r="C2742" s="16" t="s">
        <v>3291</v>
      </c>
      <c r="D2742" s="13">
        <v>7500435244671</v>
      </c>
    </row>
    <row r="2743" spans="1:4">
      <c r="A2743" s="70" t="s">
        <v>3287</v>
      </c>
      <c r="B2743" s="13" t="s">
        <v>2285</v>
      </c>
      <c r="C2743" s="16" t="s">
        <v>3292</v>
      </c>
      <c r="D2743" s="13">
        <v>7500435244664</v>
      </c>
    </row>
    <row r="2744" spans="1:4">
      <c r="A2744" s="10" t="s">
        <v>3295</v>
      </c>
      <c r="B2744" s="13" t="s">
        <v>2283</v>
      </c>
      <c r="C2744" s="16" t="s">
        <v>3296</v>
      </c>
      <c r="D2744" s="13">
        <v>7891991001342</v>
      </c>
    </row>
    <row r="2745" spans="1:4">
      <c r="A2745" s="10" t="s">
        <v>3295</v>
      </c>
      <c r="B2745" s="13" t="s">
        <v>2283</v>
      </c>
      <c r="C2745" s="16" t="s">
        <v>3297</v>
      </c>
      <c r="D2745" s="13">
        <v>7891991001373</v>
      </c>
    </row>
    <row r="2746" spans="1:4">
      <c r="A2746" s="70" t="s">
        <v>3294</v>
      </c>
      <c r="B2746" s="13" t="s">
        <v>2283</v>
      </c>
      <c r="C2746" s="16" t="s">
        <v>3298</v>
      </c>
      <c r="D2746" s="13">
        <v>7892840813444</v>
      </c>
    </row>
    <row r="2747" spans="1:4">
      <c r="A2747" s="70" t="s">
        <v>3294</v>
      </c>
      <c r="B2747" s="13" t="s">
        <v>2283</v>
      </c>
      <c r="C2747" s="16" t="s">
        <v>3298</v>
      </c>
      <c r="D2747" s="13">
        <v>7892840813451</v>
      </c>
    </row>
    <row r="2748" spans="1:4">
      <c r="A2748" s="70" t="s">
        <v>3299</v>
      </c>
      <c r="B2748" s="13" t="s">
        <v>2283</v>
      </c>
      <c r="C2748" s="16" t="s">
        <v>1873</v>
      </c>
      <c r="D2748" s="13">
        <v>5000291020706</v>
      </c>
    </row>
    <row r="2749" spans="1:4">
      <c r="A2749" s="70" t="s">
        <v>3300</v>
      </c>
      <c r="B2749" s="13" t="s">
        <v>2283</v>
      </c>
      <c r="C2749" s="16" t="s">
        <v>3302</v>
      </c>
      <c r="D2749" s="13">
        <v>5000289020701</v>
      </c>
    </row>
    <row r="2750" spans="1:4">
      <c r="A2750" s="70" t="s">
        <v>3301</v>
      </c>
      <c r="B2750" s="13" t="s">
        <v>2283</v>
      </c>
      <c r="C2750" s="16" t="s">
        <v>1992</v>
      </c>
      <c r="D2750" s="13">
        <v>88076161863</v>
      </c>
    </row>
    <row r="2751" spans="1:4">
      <c r="A2751" s="70" t="s">
        <v>3303</v>
      </c>
      <c r="B2751" s="17" t="s">
        <v>2640</v>
      </c>
      <c r="C2751" s="16" t="s">
        <v>3011</v>
      </c>
      <c r="D2751" s="13">
        <v>7898152990064</v>
      </c>
    </row>
    <row r="2752" spans="1:4">
      <c r="A2752" s="10" t="s">
        <v>737</v>
      </c>
      <c r="B2752" s="13" t="s">
        <v>2286</v>
      </c>
      <c r="C2752" s="16" t="s">
        <v>3305</v>
      </c>
      <c r="D2752" s="13">
        <v>7891150064317</v>
      </c>
    </row>
    <row r="2753" spans="1:4">
      <c r="A2753" s="10" t="s">
        <v>3308</v>
      </c>
      <c r="B2753" s="13" t="s">
        <v>2286</v>
      </c>
      <c r="C2753" s="16" t="s">
        <v>3306</v>
      </c>
      <c r="D2753" s="13">
        <v>7896098906880</v>
      </c>
    </row>
    <row r="2754" spans="1:4">
      <c r="A2754" s="11" t="s">
        <v>3442</v>
      </c>
      <c r="B2754" s="17" t="s">
        <v>2284</v>
      </c>
      <c r="C2754" s="16" t="s">
        <v>168</v>
      </c>
      <c r="D2754" s="13">
        <v>7891031116920</v>
      </c>
    </row>
    <row r="2755" spans="1:4">
      <c r="A2755" s="70" t="s">
        <v>3442</v>
      </c>
      <c r="B2755" s="17" t="s">
        <v>2284</v>
      </c>
      <c r="C2755" s="16" t="s">
        <v>169</v>
      </c>
      <c r="D2755" s="13">
        <v>7891031116944</v>
      </c>
    </row>
    <row r="2756" spans="1:4">
      <c r="A2756" s="70" t="s">
        <v>3310</v>
      </c>
      <c r="B2756" s="13" t="s">
        <v>2286</v>
      </c>
      <c r="C2756" s="16" t="s">
        <v>3314</v>
      </c>
      <c r="D2756" s="13">
        <v>7896098906774</v>
      </c>
    </row>
    <row r="2757" spans="1:4">
      <c r="A2757" s="70" t="s">
        <v>3311</v>
      </c>
      <c r="B2757" s="13" t="s">
        <v>2283</v>
      </c>
      <c r="C2757" s="16" t="s">
        <v>1041</v>
      </c>
      <c r="D2757" s="13">
        <v>7896072902921</v>
      </c>
    </row>
    <row r="2758" spans="1:4">
      <c r="A2758" s="70" t="s">
        <v>3312</v>
      </c>
      <c r="B2758" s="13" t="s">
        <v>3226</v>
      </c>
      <c r="C2758" s="16" t="s">
        <v>3315</v>
      </c>
      <c r="D2758" s="13">
        <v>7891097001581</v>
      </c>
    </row>
    <row r="2759" spans="1:4">
      <c r="A2759" s="10" t="s">
        <v>3316</v>
      </c>
      <c r="B2759" s="17" t="s">
        <v>2285</v>
      </c>
      <c r="C2759" s="16" t="s">
        <v>370</v>
      </c>
      <c r="D2759" s="13">
        <v>7898327431262</v>
      </c>
    </row>
    <row r="2760" spans="1:4">
      <c r="A2760" s="70" t="s">
        <v>3319</v>
      </c>
      <c r="B2760" s="13" t="s">
        <v>2286</v>
      </c>
      <c r="C2760" s="16" t="s">
        <v>3306</v>
      </c>
      <c r="D2760" s="13">
        <v>7896098906880</v>
      </c>
    </row>
    <row r="2761" spans="1:4">
      <c r="A2761" s="70" t="s">
        <v>3317</v>
      </c>
      <c r="B2761" s="13" t="s">
        <v>2281</v>
      </c>
      <c r="C2761" s="16" t="s">
        <v>3320</v>
      </c>
      <c r="D2761" s="13">
        <v>7898215159117</v>
      </c>
    </row>
    <row r="2762" spans="1:4">
      <c r="A2762" s="70" t="s">
        <v>3387</v>
      </c>
      <c r="B2762" s="13" t="s">
        <v>2281</v>
      </c>
      <c r="C2762" s="16" t="s">
        <v>3321</v>
      </c>
      <c r="D2762" s="13">
        <v>7898215159094</v>
      </c>
    </row>
    <row r="2763" spans="1:4">
      <c r="A2763" s="70" t="s">
        <v>3387</v>
      </c>
      <c r="B2763" s="13" t="s">
        <v>2281</v>
      </c>
      <c r="C2763" s="16" t="s">
        <v>3322</v>
      </c>
      <c r="D2763" s="13">
        <v>7898215159100</v>
      </c>
    </row>
    <row r="2764" spans="1:4">
      <c r="A2764" s="70" t="s">
        <v>3318</v>
      </c>
      <c r="B2764" s="13" t="s">
        <v>2281</v>
      </c>
      <c r="C2764" s="16" t="s">
        <v>3323</v>
      </c>
      <c r="D2764" s="13">
        <v>7898215159018</v>
      </c>
    </row>
    <row r="2765" spans="1:4">
      <c r="A2765" s="10" t="s">
        <v>3324</v>
      </c>
      <c r="B2765" s="13" t="s">
        <v>2640</v>
      </c>
      <c r="C2765" s="16" t="s">
        <v>3330</v>
      </c>
      <c r="D2765" s="13">
        <v>7894904271269</v>
      </c>
    </row>
    <row r="2766" spans="1:4">
      <c r="A2766" s="10" t="s">
        <v>3325</v>
      </c>
      <c r="B2766" s="13" t="s">
        <v>2281</v>
      </c>
      <c r="C2766" s="16" t="s">
        <v>3331</v>
      </c>
      <c r="D2766" s="13">
        <v>7898215157878</v>
      </c>
    </row>
    <row r="2767" spans="1:4">
      <c r="A2767" s="10" t="s">
        <v>3325</v>
      </c>
      <c r="B2767" s="13" t="s">
        <v>2281</v>
      </c>
      <c r="C2767" s="16" t="s">
        <v>3332</v>
      </c>
      <c r="D2767" s="13">
        <v>7898215157892</v>
      </c>
    </row>
    <row r="2768" spans="1:4">
      <c r="A2768" s="10" t="s">
        <v>3326</v>
      </c>
      <c r="B2768" s="13" t="s">
        <v>2281</v>
      </c>
      <c r="C2768" s="16" t="s">
        <v>350</v>
      </c>
      <c r="D2768" s="13">
        <v>7898215152811</v>
      </c>
    </row>
    <row r="2769" spans="1:4">
      <c r="A2769" s="10" t="s">
        <v>3326</v>
      </c>
      <c r="B2769" s="13" t="s">
        <v>2281</v>
      </c>
      <c r="C2769" s="16" t="s">
        <v>3333</v>
      </c>
      <c r="D2769" s="13">
        <v>7898215157830</v>
      </c>
    </row>
    <row r="2770" spans="1:4">
      <c r="A2770" s="10" t="s">
        <v>3327</v>
      </c>
      <c r="B2770" s="13" t="s">
        <v>3226</v>
      </c>
      <c r="C2770" s="16" t="s">
        <v>1663</v>
      </c>
      <c r="D2770" s="13">
        <v>7896275960193</v>
      </c>
    </row>
    <row r="2771" spans="1:4">
      <c r="A2771" s="10" t="s">
        <v>3328</v>
      </c>
      <c r="B2771" s="13" t="s">
        <v>2283</v>
      </c>
      <c r="C2771" s="16" t="s">
        <v>3339</v>
      </c>
      <c r="D2771" s="13">
        <v>7891991301114</v>
      </c>
    </row>
    <row r="2772" spans="1:4">
      <c r="A2772" s="10" t="s">
        <v>3328</v>
      </c>
      <c r="B2772" s="13" t="s">
        <v>2283</v>
      </c>
      <c r="C2772" s="16" t="s">
        <v>3340</v>
      </c>
      <c r="D2772" s="13">
        <v>7891991307208</v>
      </c>
    </row>
    <row r="2773" spans="1:4">
      <c r="A2773" s="10" t="s">
        <v>3328</v>
      </c>
      <c r="B2773" s="13" t="s">
        <v>2283</v>
      </c>
      <c r="C2773" s="16" t="s">
        <v>3341</v>
      </c>
      <c r="D2773" s="13">
        <v>7891991301138</v>
      </c>
    </row>
    <row r="2774" spans="1:4">
      <c r="A2774" s="10" t="s">
        <v>3328</v>
      </c>
      <c r="B2774" s="13" t="s">
        <v>2283</v>
      </c>
      <c r="C2774" s="16" t="s">
        <v>3342</v>
      </c>
      <c r="D2774" s="13">
        <v>7891991306188</v>
      </c>
    </row>
    <row r="2775" spans="1:4">
      <c r="A2775" s="10" t="s">
        <v>3329</v>
      </c>
      <c r="B2775" s="13" t="s">
        <v>2283</v>
      </c>
      <c r="C2775" s="16" t="s">
        <v>3338</v>
      </c>
      <c r="D2775" s="13">
        <v>8410221110150</v>
      </c>
    </row>
    <row r="2776" spans="1:4">
      <c r="A2776" s="70" t="s">
        <v>3343</v>
      </c>
      <c r="B2776" s="13" t="s">
        <v>2283</v>
      </c>
      <c r="C2776" s="16" t="s">
        <v>3334</v>
      </c>
      <c r="D2776" s="13">
        <v>7891149840878</v>
      </c>
    </row>
    <row r="2777" spans="1:4">
      <c r="A2777" s="70" t="s">
        <v>3343</v>
      </c>
      <c r="B2777" s="13" t="s">
        <v>2283</v>
      </c>
      <c r="C2777" s="16" t="s">
        <v>3335</v>
      </c>
      <c r="D2777" s="13">
        <v>7891991307185</v>
      </c>
    </row>
    <row r="2778" spans="1:4">
      <c r="A2778" s="70" t="s">
        <v>3343</v>
      </c>
      <c r="B2778" s="13" t="s">
        <v>2283</v>
      </c>
      <c r="C2778" s="16" t="s">
        <v>3336</v>
      </c>
      <c r="D2778" s="13">
        <v>7891149105564</v>
      </c>
    </row>
    <row r="2779" spans="1:4">
      <c r="A2779" s="70" t="s">
        <v>3343</v>
      </c>
      <c r="B2779" s="13" t="s">
        <v>2283</v>
      </c>
      <c r="C2779" s="16" t="s">
        <v>3337</v>
      </c>
      <c r="D2779" s="13">
        <v>7891991306164</v>
      </c>
    </row>
    <row r="2780" spans="1:4">
      <c r="A2780" s="10" t="s">
        <v>2719</v>
      </c>
      <c r="B2780" s="13" t="s">
        <v>2281</v>
      </c>
      <c r="C2780" s="16" t="s">
        <v>3344</v>
      </c>
      <c r="D2780" s="13">
        <v>7896089012880</v>
      </c>
    </row>
    <row r="2781" spans="1:4">
      <c r="A2781" s="70" t="s">
        <v>3346</v>
      </c>
      <c r="B2781" s="13" t="s">
        <v>2286</v>
      </c>
      <c r="C2781" s="16" t="s">
        <v>3347</v>
      </c>
      <c r="D2781" s="13">
        <v>7896056405165</v>
      </c>
    </row>
    <row r="2782" spans="1:4">
      <c r="A2782" s="70" t="s">
        <v>3346</v>
      </c>
      <c r="B2782" s="13" t="s">
        <v>2286</v>
      </c>
      <c r="C2782" s="16" t="s">
        <v>3348</v>
      </c>
      <c r="D2782" s="13">
        <v>7896060401740</v>
      </c>
    </row>
    <row r="2783" spans="1:4">
      <c r="A2783" s="70" t="s">
        <v>3346</v>
      </c>
      <c r="B2783" s="13" t="s">
        <v>2286</v>
      </c>
      <c r="C2783" s="16" t="s">
        <v>3349</v>
      </c>
      <c r="D2783" s="13">
        <v>7896056405233</v>
      </c>
    </row>
    <row r="2784" spans="1:4" ht="30">
      <c r="A2784" s="70" t="s">
        <v>3345</v>
      </c>
      <c r="B2784" s="17" t="s">
        <v>2286</v>
      </c>
      <c r="C2784" s="16" t="s">
        <v>2162</v>
      </c>
      <c r="D2784" s="13">
        <v>7896098900840</v>
      </c>
    </row>
    <row r="2785" spans="1:4" ht="30">
      <c r="A2785" s="70" t="s">
        <v>3345</v>
      </c>
      <c r="B2785" s="17" t="s">
        <v>2286</v>
      </c>
      <c r="C2785" s="16" t="s">
        <v>2163</v>
      </c>
      <c r="D2785" s="13">
        <v>7896098901915</v>
      </c>
    </row>
    <row r="2786" spans="1:4">
      <c r="A2786" s="10" t="s">
        <v>3351</v>
      </c>
      <c r="B2786" s="13" t="s">
        <v>2281</v>
      </c>
      <c r="C2786" s="16" t="s">
        <v>3356</v>
      </c>
      <c r="D2786" s="13">
        <v>7898215158448</v>
      </c>
    </row>
    <row r="2787" spans="1:4">
      <c r="A2787" s="11" t="s">
        <v>2969</v>
      </c>
      <c r="B2787" s="13" t="s">
        <v>2288</v>
      </c>
      <c r="C2787" s="16" t="s">
        <v>2970</v>
      </c>
      <c r="D2787" s="13">
        <v>7896074606940</v>
      </c>
    </row>
    <row r="2788" spans="1:4">
      <c r="A2788" s="11" t="s">
        <v>2969</v>
      </c>
      <c r="B2788" s="13" t="s">
        <v>2288</v>
      </c>
      <c r="C2788" s="16" t="s">
        <v>2971</v>
      </c>
      <c r="D2788" s="13">
        <v>7896074607015</v>
      </c>
    </row>
    <row r="2789" spans="1:4">
      <c r="A2789" s="10" t="s">
        <v>3352</v>
      </c>
      <c r="B2789" s="17" t="s">
        <v>2285</v>
      </c>
      <c r="C2789" s="16" t="s">
        <v>1680</v>
      </c>
      <c r="D2789" s="13">
        <v>7500435106672</v>
      </c>
    </row>
    <row r="2790" spans="1:4">
      <c r="A2790" s="10" t="s">
        <v>3352</v>
      </c>
      <c r="B2790" s="17" t="s">
        <v>2285</v>
      </c>
      <c r="C2790" s="16" t="s">
        <v>1681</v>
      </c>
      <c r="D2790" s="13">
        <v>7500435132602</v>
      </c>
    </row>
    <row r="2791" spans="1:4">
      <c r="A2791" s="10" t="s">
        <v>3352</v>
      </c>
      <c r="B2791" s="17" t="s">
        <v>2285</v>
      </c>
      <c r="C2791" s="16" t="s">
        <v>1684</v>
      </c>
      <c r="D2791" s="13">
        <v>7500435132619</v>
      </c>
    </row>
    <row r="2792" spans="1:4">
      <c r="A2792" s="10" t="s">
        <v>3352</v>
      </c>
      <c r="B2792" s="17" t="s">
        <v>2285</v>
      </c>
      <c r="C2792" s="16" t="s">
        <v>3006</v>
      </c>
      <c r="D2792" s="13">
        <v>7500435232944</v>
      </c>
    </row>
    <row r="2793" spans="1:4">
      <c r="A2793" s="10" t="s">
        <v>3352</v>
      </c>
      <c r="B2793" s="17" t="s">
        <v>2285</v>
      </c>
      <c r="C2793" s="16" t="s">
        <v>2567</v>
      </c>
      <c r="D2793" s="13">
        <v>7500435205238</v>
      </c>
    </row>
    <row r="2794" spans="1:4">
      <c r="A2794" s="10" t="s">
        <v>3352</v>
      </c>
      <c r="B2794" s="17" t="s">
        <v>2285</v>
      </c>
      <c r="C2794" s="16" t="s">
        <v>2568</v>
      </c>
      <c r="D2794" s="13">
        <v>7500435205269</v>
      </c>
    </row>
    <row r="2795" spans="1:4">
      <c r="A2795" s="10" t="s">
        <v>3353</v>
      </c>
      <c r="B2795" s="17" t="s">
        <v>2286</v>
      </c>
      <c r="C2795" s="16" t="s">
        <v>1263</v>
      </c>
      <c r="D2795" s="13">
        <v>7897664170742</v>
      </c>
    </row>
    <row r="2796" spans="1:4">
      <c r="A2796" s="10" t="s">
        <v>3353</v>
      </c>
      <c r="B2796" s="17" t="s">
        <v>2286</v>
      </c>
      <c r="C2796" s="16" t="s">
        <v>1262</v>
      </c>
      <c r="D2796" s="13">
        <v>7897664170759</v>
      </c>
    </row>
    <row r="2797" spans="1:4">
      <c r="A2797" s="10" t="s">
        <v>3353</v>
      </c>
      <c r="B2797" s="17" t="s">
        <v>2286</v>
      </c>
      <c r="C2797" s="16" t="s">
        <v>210</v>
      </c>
      <c r="D2797" s="13">
        <v>7897664170735</v>
      </c>
    </row>
    <row r="2798" spans="1:4">
      <c r="A2798" s="10" t="s">
        <v>3353</v>
      </c>
      <c r="B2798" s="17" t="s">
        <v>2286</v>
      </c>
      <c r="C2798" s="16" t="s">
        <v>1936</v>
      </c>
      <c r="D2798" s="13">
        <v>7897664170766</v>
      </c>
    </row>
    <row r="2799" spans="1:4">
      <c r="A2799" s="10" t="s">
        <v>3357</v>
      </c>
      <c r="B2799" s="13" t="s">
        <v>2283</v>
      </c>
      <c r="C2799" s="16" t="s">
        <v>3363</v>
      </c>
      <c r="D2799" s="13">
        <v>7898063767052</v>
      </c>
    </row>
    <row r="2800" spans="1:4">
      <c r="A2800" s="10" t="s">
        <v>3358</v>
      </c>
      <c r="B2800" s="13" t="s">
        <v>2283</v>
      </c>
      <c r="C2800" s="16" t="s">
        <v>1076</v>
      </c>
      <c r="D2800" s="13">
        <v>7896855901400</v>
      </c>
    </row>
    <row r="2801" spans="1:4">
      <c r="A2801" s="10" t="s">
        <v>3358</v>
      </c>
      <c r="B2801" s="13" t="s">
        <v>2283</v>
      </c>
      <c r="C2801" s="16" t="s">
        <v>1077</v>
      </c>
      <c r="D2801" s="13">
        <v>7896855901417</v>
      </c>
    </row>
    <row r="2802" spans="1:4">
      <c r="A2802" s="70" t="s">
        <v>3359</v>
      </c>
      <c r="B2802" s="17" t="s">
        <v>2283</v>
      </c>
      <c r="C2802" s="16" t="s">
        <v>162</v>
      </c>
      <c r="D2802" s="13">
        <v>7891991014762</v>
      </c>
    </row>
    <row r="2803" spans="1:4">
      <c r="A2803" s="70" t="s">
        <v>3359</v>
      </c>
      <c r="B2803" s="17" t="s">
        <v>2283</v>
      </c>
      <c r="C2803" s="72" t="s">
        <v>163</v>
      </c>
      <c r="D2803" s="75">
        <v>7891991014779</v>
      </c>
    </row>
    <row r="2804" spans="1:4">
      <c r="A2804" s="70" t="s">
        <v>3359</v>
      </c>
      <c r="B2804" s="17" t="s">
        <v>2283</v>
      </c>
      <c r="C2804" s="16" t="s">
        <v>3361</v>
      </c>
      <c r="D2804" s="13">
        <v>7891991298421</v>
      </c>
    </row>
    <row r="2805" spans="1:4">
      <c r="A2805" s="70" t="s">
        <v>3360</v>
      </c>
      <c r="B2805" s="17" t="s">
        <v>2283</v>
      </c>
      <c r="C2805" s="16" t="s">
        <v>3362</v>
      </c>
      <c r="D2805" s="13">
        <v>7891991307338</v>
      </c>
    </row>
    <row r="2806" spans="1:4">
      <c r="A2806" s="70" t="s">
        <v>3359</v>
      </c>
      <c r="B2806" s="17" t="s">
        <v>2283</v>
      </c>
      <c r="C2806" s="72" t="s">
        <v>163</v>
      </c>
      <c r="D2806" s="75">
        <v>7891991298438</v>
      </c>
    </row>
    <row r="2807" spans="1:4">
      <c r="A2807" s="10" t="s">
        <v>3357</v>
      </c>
      <c r="B2807" s="13" t="s">
        <v>2283</v>
      </c>
      <c r="C2807" s="16" t="s">
        <v>3363</v>
      </c>
      <c r="D2807" s="13">
        <v>7896000594020</v>
      </c>
    </row>
    <row r="2808" spans="1:4">
      <c r="A2808" s="52" t="s">
        <v>3364</v>
      </c>
      <c r="B2808" s="13" t="s">
        <v>2640</v>
      </c>
      <c r="C2808" s="16" t="s">
        <v>3367</v>
      </c>
      <c r="D2808" s="13">
        <v>7896290300011</v>
      </c>
    </row>
    <row r="2809" spans="1:4">
      <c r="A2809" s="70" t="s">
        <v>3365</v>
      </c>
      <c r="B2809" s="13" t="s">
        <v>2283</v>
      </c>
      <c r="C2809" s="16" t="s">
        <v>3368</v>
      </c>
      <c r="D2809" s="13">
        <v>7891991304184</v>
      </c>
    </row>
    <row r="2810" spans="1:4">
      <c r="A2810" s="70" t="s">
        <v>3366</v>
      </c>
      <c r="B2810" s="13" t="s">
        <v>2281</v>
      </c>
      <c r="C2810" s="16" t="s">
        <v>340</v>
      </c>
      <c r="D2810" s="13">
        <v>7898215157403</v>
      </c>
    </row>
    <row r="2811" spans="1:4">
      <c r="A2811" s="70" t="s">
        <v>3366</v>
      </c>
      <c r="B2811" s="13" t="s">
        <v>2281</v>
      </c>
      <c r="C2811" s="16" t="s">
        <v>555</v>
      </c>
      <c r="D2811" s="13">
        <v>7898215157427</v>
      </c>
    </row>
    <row r="2812" spans="1:4">
      <c r="A2812" s="70" t="s">
        <v>709</v>
      </c>
      <c r="B2812" s="13" t="s">
        <v>2286</v>
      </c>
      <c r="C2812" s="16" t="s">
        <v>3369</v>
      </c>
      <c r="D2812" s="13">
        <v>7896060401887</v>
      </c>
    </row>
    <row r="2813" spans="1:4">
      <c r="A2813" s="70" t="s">
        <v>3370</v>
      </c>
      <c r="B2813" s="17" t="s">
        <v>2280</v>
      </c>
      <c r="C2813" s="16" t="s">
        <v>3374</v>
      </c>
      <c r="D2813" s="13">
        <v>7891959014612</v>
      </c>
    </row>
    <row r="2814" spans="1:4">
      <c r="A2814" s="70" t="s">
        <v>3371</v>
      </c>
      <c r="B2814" s="17" t="s">
        <v>2299</v>
      </c>
      <c r="C2814" s="16" t="s">
        <v>3375</v>
      </c>
      <c r="D2814" s="13">
        <v>7898926529582</v>
      </c>
    </row>
    <row r="2815" spans="1:4">
      <c r="A2815" s="70" t="s">
        <v>3372</v>
      </c>
      <c r="B2815" s="17" t="s">
        <v>2283</v>
      </c>
      <c r="C2815" s="16" t="s">
        <v>3376</v>
      </c>
      <c r="D2815" s="13">
        <v>8000040011044</v>
      </c>
    </row>
    <row r="2816" spans="1:4" ht="30">
      <c r="A2816" s="70" t="s">
        <v>3373</v>
      </c>
      <c r="B2816" s="17" t="s">
        <v>2283</v>
      </c>
      <c r="C2816" s="16" t="s">
        <v>3362</v>
      </c>
      <c r="D2816" s="13">
        <v>7891991307338</v>
      </c>
    </row>
    <row r="2817" spans="1:4">
      <c r="A2817" s="70" t="s">
        <v>3365</v>
      </c>
      <c r="B2817" s="13" t="s">
        <v>2283</v>
      </c>
      <c r="C2817" s="72" t="s">
        <v>3378</v>
      </c>
      <c r="D2817" s="75">
        <v>7891991304191</v>
      </c>
    </row>
    <row r="2818" spans="1:4">
      <c r="A2818" s="70" t="s">
        <v>3371</v>
      </c>
      <c r="B2818" s="17" t="s">
        <v>2299</v>
      </c>
      <c r="C2818" s="16" t="s">
        <v>3379</v>
      </c>
      <c r="D2818" s="13">
        <v>7898006120067</v>
      </c>
    </row>
    <row r="2819" spans="1:4">
      <c r="A2819" s="10" t="s">
        <v>3507</v>
      </c>
      <c r="B2819" s="17" t="s">
        <v>2288</v>
      </c>
      <c r="C2819" s="16" t="s">
        <v>3383</v>
      </c>
      <c r="D2819" s="13">
        <v>98557</v>
      </c>
    </row>
    <row r="2820" spans="1:4">
      <c r="A2820" s="70" t="s">
        <v>3381</v>
      </c>
      <c r="B2820" s="13" t="s">
        <v>2281</v>
      </c>
      <c r="C2820" s="16" t="s">
        <v>3384</v>
      </c>
      <c r="D2820" s="13">
        <v>7896005800850</v>
      </c>
    </row>
    <row r="2821" spans="1:4">
      <c r="A2821" s="70" t="s">
        <v>3381</v>
      </c>
      <c r="B2821" s="13" t="s">
        <v>2281</v>
      </c>
      <c r="C2821" s="16" t="s">
        <v>3385</v>
      </c>
      <c r="D2821" s="13">
        <v>7896045110643</v>
      </c>
    </row>
    <row r="2822" spans="1:4">
      <c r="A2822" s="70" t="s">
        <v>3381</v>
      </c>
      <c r="B2822" s="13" t="s">
        <v>2281</v>
      </c>
      <c r="C2822" s="16" t="s">
        <v>704</v>
      </c>
      <c r="D2822" s="13">
        <v>7896005800157</v>
      </c>
    </row>
    <row r="2823" spans="1:4">
      <c r="A2823" s="70" t="s">
        <v>3381</v>
      </c>
      <c r="B2823" s="13" t="s">
        <v>2281</v>
      </c>
      <c r="C2823" s="16" t="s">
        <v>705</v>
      </c>
      <c r="D2823" s="13">
        <v>7896005802892</v>
      </c>
    </row>
    <row r="2824" spans="1:4">
      <c r="A2824" s="70" t="s">
        <v>3380</v>
      </c>
      <c r="B2824" s="17" t="s">
        <v>2288</v>
      </c>
      <c r="C2824" s="16" t="s">
        <v>451</v>
      </c>
      <c r="D2824" s="13">
        <v>7893000383005</v>
      </c>
    </row>
    <row r="2825" spans="1:4">
      <c r="A2825" s="70" t="s">
        <v>3380</v>
      </c>
      <c r="B2825" s="17" t="s">
        <v>2288</v>
      </c>
      <c r="C2825" s="16" t="s">
        <v>452</v>
      </c>
      <c r="D2825" s="13">
        <v>7893000394209</v>
      </c>
    </row>
    <row r="2826" spans="1:4">
      <c r="A2826" s="70" t="s">
        <v>3391</v>
      </c>
      <c r="B2826" s="13" t="s">
        <v>2640</v>
      </c>
      <c r="C2826" s="16" t="s">
        <v>483</v>
      </c>
      <c r="D2826" s="13">
        <v>7896022200282</v>
      </c>
    </row>
    <row r="2827" spans="1:4">
      <c r="A2827" s="70" t="s">
        <v>3391</v>
      </c>
      <c r="B2827" s="13" t="s">
        <v>2640</v>
      </c>
      <c r="C2827" s="16" t="s">
        <v>3392</v>
      </c>
      <c r="D2827" s="13">
        <v>7896022203610</v>
      </c>
    </row>
    <row r="2828" spans="1:4">
      <c r="A2828" s="70" t="s">
        <v>3391</v>
      </c>
      <c r="B2828" s="13" t="s">
        <v>2640</v>
      </c>
      <c r="C2828" s="16" t="s">
        <v>480</v>
      </c>
      <c r="D2828" s="13">
        <v>7896022200206</v>
      </c>
    </row>
    <row r="2829" spans="1:4">
      <c r="A2829" s="70" t="s">
        <v>3391</v>
      </c>
      <c r="B2829" s="13" t="s">
        <v>2640</v>
      </c>
      <c r="C2829" s="16" t="s">
        <v>3189</v>
      </c>
      <c r="D2829" s="13">
        <v>7896022200213</v>
      </c>
    </row>
    <row r="2830" spans="1:4">
      <c r="A2830" s="70" t="s">
        <v>3388</v>
      </c>
      <c r="B2830" s="17" t="s">
        <v>2288</v>
      </c>
      <c r="C2830" s="16" t="s">
        <v>3393</v>
      </c>
      <c r="D2830" s="13">
        <v>7896862002916</v>
      </c>
    </row>
    <row r="2831" spans="1:4">
      <c r="A2831" s="70" t="s">
        <v>3388</v>
      </c>
      <c r="B2831" s="17" t="s">
        <v>2288</v>
      </c>
      <c r="C2831" s="16" t="s">
        <v>3394</v>
      </c>
      <c r="D2831" s="13">
        <v>7896862000202</v>
      </c>
    </row>
    <row r="2832" spans="1:4">
      <c r="A2832" s="70" t="s">
        <v>3388</v>
      </c>
      <c r="B2832" s="17" t="s">
        <v>2288</v>
      </c>
      <c r="C2832" s="16" t="s">
        <v>3395</v>
      </c>
      <c r="D2832" s="13">
        <v>7896862000424</v>
      </c>
    </row>
    <row r="2833" spans="1:4">
      <c r="A2833" s="70" t="s">
        <v>3388</v>
      </c>
      <c r="B2833" s="17" t="s">
        <v>2288</v>
      </c>
      <c r="C2833" s="16" t="s">
        <v>3396</v>
      </c>
      <c r="D2833" s="13">
        <v>7896862000868</v>
      </c>
    </row>
    <row r="2834" spans="1:4">
      <c r="A2834" s="70" t="s">
        <v>3388</v>
      </c>
      <c r="B2834" s="17" t="s">
        <v>2288</v>
      </c>
      <c r="C2834" s="16" t="s">
        <v>3397</v>
      </c>
      <c r="D2834" s="13">
        <v>7896862000875</v>
      </c>
    </row>
    <row r="2835" spans="1:4">
      <c r="A2835" s="70" t="s">
        <v>3388</v>
      </c>
      <c r="B2835" s="17" t="s">
        <v>2288</v>
      </c>
      <c r="C2835" s="16" t="s">
        <v>3398</v>
      </c>
      <c r="D2835" s="13">
        <v>7896862003289</v>
      </c>
    </row>
    <row r="2836" spans="1:4">
      <c r="A2836" s="70" t="s">
        <v>3388</v>
      </c>
      <c r="B2836" s="17" t="s">
        <v>2288</v>
      </c>
      <c r="C2836" s="16" t="s">
        <v>3399</v>
      </c>
      <c r="D2836" s="13">
        <v>7896862000684</v>
      </c>
    </row>
    <row r="2837" spans="1:4">
      <c r="A2837" s="70" t="s">
        <v>3390</v>
      </c>
      <c r="B2837" s="17" t="s">
        <v>2285</v>
      </c>
      <c r="C2837" s="16" t="s">
        <v>3400</v>
      </c>
      <c r="D2837" s="13">
        <v>7898962794166</v>
      </c>
    </row>
    <row r="2838" spans="1:4">
      <c r="A2838" s="10" t="s">
        <v>3389</v>
      </c>
      <c r="B2838" s="17" t="s">
        <v>2288</v>
      </c>
      <c r="C2838" s="16" t="s">
        <v>3144</v>
      </c>
      <c r="D2838" s="13">
        <v>7898951441200</v>
      </c>
    </row>
    <row r="2839" spans="1:4">
      <c r="A2839" s="10" t="s">
        <v>3389</v>
      </c>
      <c r="B2839" s="17" t="s">
        <v>2288</v>
      </c>
      <c r="C2839" s="16" t="s">
        <v>3093</v>
      </c>
      <c r="D2839" s="13">
        <v>618341046290</v>
      </c>
    </row>
    <row r="2840" spans="1:4">
      <c r="A2840" s="70" t="s">
        <v>1358</v>
      </c>
      <c r="B2840" s="17" t="s">
        <v>2281</v>
      </c>
      <c r="C2840" s="15" t="s">
        <v>3386</v>
      </c>
      <c r="D2840" s="13">
        <v>7896005810323</v>
      </c>
    </row>
    <row r="2841" spans="1:4">
      <c r="A2841" s="70" t="s">
        <v>3401</v>
      </c>
      <c r="B2841" s="17" t="s">
        <v>2288</v>
      </c>
      <c r="C2841" s="16" t="s">
        <v>3402</v>
      </c>
      <c r="D2841" s="13">
        <v>7898904874383</v>
      </c>
    </row>
    <row r="2842" spans="1:4">
      <c r="A2842" s="70" t="s">
        <v>3401</v>
      </c>
      <c r="B2842" s="17" t="s">
        <v>2288</v>
      </c>
      <c r="C2842" s="16" t="s">
        <v>3403</v>
      </c>
      <c r="D2842" s="13">
        <v>7898904874185</v>
      </c>
    </row>
    <row r="2843" spans="1:4">
      <c r="A2843" s="70" t="s">
        <v>3409</v>
      </c>
      <c r="B2843" s="13" t="s">
        <v>2640</v>
      </c>
      <c r="C2843" s="16" t="s">
        <v>3413</v>
      </c>
      <c r="D2843" s="13">
        <v>7893500022558</v>
      </c>
    </row>
    <row r="2844" spans="1:4">
      <c r="A2844" s="70" t="s">
        <v>3411</v>
      </c>
      <c r="B2844" s="13" t="s">
        <v>2283</v>
      </c>
      <c r="C2844" s="16" t="s">
        <v>3414</v>
      </c>
      <c r="D2844" s="13">
        <v>7898694491487</v>
      </c>
    </row>
    <row r="2845" spans="1:4">
      <c r="A2845" s="10" t="s">
        <v>3410</v>
      </c>
      <c r="B2845" s="13" t="s">
        <v>2282</v>
      </c>
      <c r="C2845" s="16" t="s">
        <v>3415</v>
      </c>
      <c r="D2845" s="13">
        <v>98168</v>
      </c>
    </row>
    <row r="2846" spans="1:4">
      <c r="A2846" s="70" t="s">
        <v>3412</v>
      </c>
      <c r="B2846" s="13" t="s">
        <v>2288</v>
      </c>
      <c r="C2846" s="16" t="s">
        <v>3416</v>
      </c>
      <c r="D2846" s="13">
        <v>7896034680126</v>
      </c>
    </row>
    <row r="2847" spans="1:4">
      <c r="A2847" s="10" t="s">
        <v>3419</v>
      </c>
      <c r="B2847" s="13" t="s">
        <v>2286</v>
      </c>
      <c r="C2847" s="16" t="s">
        <v>3421</v>
      </c>
      <c r="D2847" s="13">
        <v>7896098909546</v>
      </c>
    </row>
    <row r="2848" spans="1:4">
      <c r="A2848" s="70" t="s">
        <v>3420</v>
      </c>
      <c r="B2848" s="13" t="s">
        <v>2284</v>
      </c>
      <c r="C2848" s="16" t="s">
        <v>3422</v>
      </c>
      <c r="D2848" s="13">
        <v>7896292372535</v>
      </c>
    </row>
    <row r="2849" spans="1:4">
      <c r="A2849" s="70" t="s">
        <v>3425</v>
      </c>
      <c r="B2849" s="13" t="s">
        <v>2299</v>
      </c>
      <c r="C2849" s="16" t="s">
        <v>3425</v>
      </c>
      <c r="D2849" s="13">
        <v>98717</v>
      </c>
    </row>
    <row r="2850" spans="1:4">
      <c r="A2850" s="70" t="s">
        <v>3426</v>
      </c>
      <c r="B2850" s="13" t="s">
        <v>2299</v>
      </c>
      <c r="C2850" s="16" t="s">
        <v>3426</v>
      </c>
      <c r="D2850" s="13">
        <v>98595</v>
      </c>
    </row>
    <row r="2851" spans="1:4">
      <c r="A2851" s="70" t="s">
        <v>3427</v>
      </c>
      <c r="B2851" s="13" t="s">
        <v>2299</v>
      </c>
      <c r="C2851" s="16" t="s">
        <v>3427</v>
      </c>
      <c r="D2851" s="13">
        <v>98601</v>
      </c>
    </row>
    <row r="2852" spans="1:4">
      <c r="A2852" s="70" t="s">
        <v>3428</v>
      </c>
      <c r="B2852" s="13" t="s">
        <v>2299</v>
      </c>
      <c r="C2852" s="16" t="s">
        <v>3428</v>
      </c>
      <c r="D2852" s="13">
        <v>98632</v>
      </c>
    </row>
    <row r="2853" spans="1:4">
      <c r="A2853" s="70" t="s">
        <v>3429</v>
      </c>
      <c r="B2853" s="13" t="s">
        <v>2299</v>
      </c>
      <c r="C2853" s="16" t="s">
        <v>3429</v>
      </c>
      <c r="D2853" s="13">
        <v>98687</v>
      </c>
    </row>
    <row r="2854" spans="1:4">
      <c r="A2854" s="70" t="s">
        <v>3508</v>
      </c>
      <c r="B2854" s="13" t="s">
        <v>2284</v>
      </c>
      <c r="C2854" s="16" t="s">
        <v>2936</v>
      </c>
      <c r="D2854" s="13">
        <v>7896292300460</v>
      </c>
    </row>
    <row r="2855" spans="1:4">
      <c r="A2855" s="70" t="s">
        <v>3508</v>
      </c>
      <c r="B2855" s="13" t="s">
        <v>2284</v>
      </c>
      <c r="C2855" s="16" t="s">
        <v>2937</v>
      </c>
      <c r="D2855" s="13">
        <v>7896292360464</v>
      </c>
    </row>
    <row r="2856" spans="1:4">
      <c r="A2856" s="70" t="s">
        <v>3432</v>
      </c>
      <c r="B2856" s="13" t="s">
        <v>2283</v>
      </c>
      <c r="C2856" s="16" t="s">
        <v>3509</v>
      </c>
      <c r="D2856" s="13">
        <v>7896010006315</v>
      </c>
    </row>
    <row r="2857" spans="1:4" ht="30">
      <c r="A2857" s="10" t="s">
        <v>3431</v>
      </c>
      <c r="B2857" s="13" t="s">
        <v>2283</v>
      </c>
      <c r="C2857" s="16" t="s">
        <v>3510</v>
      </c>
      <c r="D2857" s="13">
        <v>7898915949964</v>
      </c>
    </row>
    <row r="2858" spans="1:4">
      <c r="A2858" s="70" t="s">
        <v>3513</v>
      </c>
      <c r="B2858" s="13" t="s">
        <v>2299</v>
      </c>
      <c r="C2858" s="16" t="s">
        <v>3513</v>
      </c>
      <c r="D2858" s="13">
        <v>98724</v>
      </c>
    </row>
    <row r="2859" spans="1:4">
      <c r="A2859" s="70" t="s">
        <v>3643</v>
      </c>
      <c r="B2859" s="13" t="s">
        <v>2299</v>
      </c>
      <c r="C2859" s="16" t="s">
        <v>3514</v>
      </c>
      <c r="D2859" s="13">
        <v>98731</v>
      </c>
    </row>
    <row r="2860" spans="1:4">
      <c r="A2860" s="70" t="s">
        <v>3515</v>
      </c>
      <c r="B2860" s="13" t="s">
        <v>2299</v>
      </c>
      <c r="C2860" s="16" t="s">
        <v>3515</v>
      </c>
      <c r="D2860" s="13">
        <v>98755</v>
      </c>
    </row>
    <row r="2861" spans="1:4">
      <c r="A2861" s="70" t="s">
        <v>3516</v>
      </c>
      <c r="B2861" s="13" t="s">
        <v>2299</v>
      </c>
      <c r="C2861" s="16" t="s">
        <v>3516</v>
      </c>
      <c r="D2861" s="13">
        <v>98786</v>
      </c>
    </row>
    <row r="2862" spans="1:4">
      <c r="A2862" s="70" t="s">
        <v>3517</v>
      </c>
      <c r="B2862" s="13" t="s">
        <v>2282</v>
      </c>
      <c r="C2862" s="16" t="s">
        <v>3517</v>
      </c>
      <c r="D2862" s="13">
        <v>98212</v>
      </c>
    </row>
    <row r="2863" spans="1:4">
      <c r="A2863" s="10" t="s">
        <v>3518</v>
      </c>
      <c r="B2863" s="13" t="s">
        <v>2283</v>
      </c>
      <c r="C2863" s="16" t="s">
        <v>3521</v>
      </c>
      <c r="D2863" s="13">
        <v>7896266104070</v>
      </c>
    </row>
    <row r="2864" spans="1:4">
      <c r="A2864" s="10" t="s">
        <v>3525</v>
      </c>
      <c r="B2864" s="13" t="s">
        <v>2284</v>
      </c>
      <c r="C2864" s="16" t="s">
        <v>3422</v>
      </c>
      <c r="D2864" s="13">
        <v>7896292372535</v>
      </c>
    </row>
    <row r="2865" spans="1:4">
      <c r="A2865" s="10" t="s">
        <v>3529</v>
      </c>
      <c r="B2865" s="13" t="s">
        <v>2282</v>
      </c>
      <c r="C2865" s="16" t="s">
        <v>3609</v>
      </c>
      <c r="D2865" s="13">
        <v>99691</v>
      </c>
    </row>
    <row r="2866" spans="1:4">
      <c r="A2866" s="10" t="s">
        <v>3528</v>
      </c>
      <c r="B2866" s="13" t="s">
        <v>2283</v>
      </c>
      <c r="C2866" s="16" t="s">
        <v>429</v>
      </c>
      <c r="D2866" s="13">
        <v>5604424108011</v>
      </c>
    </row>
    <row r="2867" spans="1:4">
      <c r="A2867" s="10" t="s">
        <v>3523</v>
      </c>
      <c r="B2867" s="13" t="s">
        <v>2282</v>
      </c>
      <c r="C2867" s="16" t="s">
        <v>3533</v>
      </c>
      <c r="D2867" s="13">
        <v>98793</v>
      </c>
    </row>
    <row r="2868" spans="1:4">
      <c r="A2868" s="10" t="s">
        <v>3523</v>
      </c>
      <c r="B2868" s="13" t="s">
        <v>2282</v>
      </c>
      <c r="C2868" s="16" t="s">
        <v>3534</v>
      </c>
      <c r="D2868" s="13">
        <v>98823</v>
      </c>
    </row>
    <row r="2869" spans="1:4">
      <c r="A2869" s="10" t="s">
        <v>3524</v>
      </c>
      <c r="B2869" s="13" t="s">
        <v>2281</v>
      </c>
      <c r="C2869" s="16" t="s">
        <v>3535</v>
      </c>
      <c r="D2869" s="13">
        <v>8711000488218</v>
      </c>
    </row>
    <row r="2870" spans="1:4">
      <c r="A2870" s="10" t="s">
        <v>3524</v>
      </c>
      <c r="B2870" s="13" t="s">
        <v>2281</v>
      </c>
      <c r="C2870" s="16" t="s">
        <v>3536</v>
      </c>
      <c r="D2870" s="13">
        <v>8711000573426</v>
      </c>
    </row>
    <row r="2871" spans="1:4">
      <c r="A2871" s="10" t="s">
        <v>3524</v>
      </c>
      <c r="B2871" s="13" t="s">
        <v>2281</v>
      </c>
      <c r="C2871" s="16" t="s">
        <v>3537</v>
      </c>
      <c r="D2871" s="13">
        <v>8711000488232</v>
      </c>
    </row>
    <row r="2872" spans="1:4">
      <c r="A2872" s="10" t="s">
        <v>3524</v>
      </c>
      <c r="B2872" s="13" t="s">
        <v>2281</v>
      </c>
      <c r="C2872" s="16" t="s">
        <v>3538</v>
      </c>
      <c r="D2872" s="13">
        <v>8711000488195</v>
      </c>
    </row>
    <row r="2873" spans="1:4">
      <c r="A2873" s="10" t="s">
        <v>3524</v>
      </c>
      <c r="B2873" s="13" t="s">
        <v>2281</v>
      </c>
      <c r="C2873" s="16" t="s">
        <v>3539</v>
      </c>
      <c r="D2873" s="13">
        <v>8711000362679</v>
      </c>
    </row>
    <row r="2874" spans="1:4">
      <c r="A2874" s="10" t="s">
        <v>3524</v>
      </c>
      <c r="B2874" s="13" t="s">
        <v>2281</v>
      </c>
      <c r="C2874" s="16" t="s">
        <v>3540</v>
      </c>
      <c r="D2874" s="13">
        <v>8711000397466</v>
      </c>
    </row>
    <row r="2875" spans="1:4">
      <c r="A2875" s="10" t="s">
        <v>3524</v>
      </c>
      <c r="B2875" s="13" t="s">
        <v>2281</v>
      </c>
      <c r="C2875" s="16" t="s">
        <v>3541</v>
      </c>
      <c r="D2875" s="13">
        <v>8711000362570</v>
      </c>
    </row>
    <row r="2876" spans="1:4">
      <c r="A2876" s="10" t="s">
        <v>3524</v>
      </c>
      <c r="B2876" s="13" t="s">
        <v>2281</v>
      </c>
      <c r="C2876" s="16" t="s">
        <v>3542</v>
      </c>
      <c r="D2876" s="13">
        <v>8711000460214</v>
      </c>
    </row>
    <row r="2877" spans="1:4">
      <c r="A2877" s="10" t="s">
        <v>3524</v>
      </c>
      <c r="B2877" s="13" t="s">
        <v>2281</v>
      </c>
      <c r="C2877" s="16" t="s">
        <v>3543</v>
      </c>
      <c r="D2877" s="13">
        <v>8711000712580</v>
      </c>
    </row>
    <row r="2878" spans="1:4">
      <c r="A2878" s="10" t="s">
        <v>3524</v>
      </c>
      <c r="B2878" s="13" t="s">
        <v>2281</v>
      </c>
      <c r="C2878" s="16" t="s">
        <v>3544</v>
      </c>
      <c r="D2878" s="13">
        <v>8711000431108</v>
      </c>
    </row>
    <row r="2879" spans="1:4">
      <c r="A2879" s="10" t="s">
        <v>3524</v>
      </c>
      <c r="B2879" s="13" t="s">
        <v>2281</v>
      </c>
      <c r="C2879" s="16" t="s">
        <v>3545</v>
      </c>
      <c r="D2879" s="13">
        <v>7896089088335</v>
      </c>
    </row>
    <row r="2880" spans="1:4">
      <c r="A2880" s="10" t="s">
        <v>3524</v>
      </c>
      <c r="B2880" s="13" t="s">
        <v>2281</v>
      </c>
      <c r="C2880" s="16" t="s">
        <v>3546</v>
      </c>
      <c r="D2880" s="13">
        <v>8711000362631</v>
      </c>
    </row>
    <row r="2881" spans="1:4">
      <c r="A2881" s="10" t="s">
        <v>3524</v>
      </c>
      <c r="B2881" s="13" t="s">
        <v>2281</v>
      </c>
      <c r="C2881" s="16" t="s">
        <v>3547</v>
      </c>
      <c r="D2881" s="13">
        <v>7896089088366</v>
      </c>
    </row>
    <row r="2882" spans="1:4">
      <c r="A2882" s="10" t="s">
        <v>3524</v>
      </c>
      <c r="B2882" s="13" t="s">
        <v>2281</v>
      </c>
      <c r="C2882" s="16" t="s">
        <v>3548</v>
      </c>
      <c r="D2882" s="13">
        <v>8711000362747</v>
      </c>
    </row>
    <row r="2883" spans="1:4">
      <c r="A2883" s="10" t="s">
        <v>3524</v>
      </c>
      <c r="B2883" s="13" t="s">
        <v>2281</v>
      </c>
      <c r="C2883" s="16" t="s">
        <v>3549</v>
      </c>
      <c r="D2883" s="13">
        <v>8711000362556</v>
      </c>
    </row>
    <row r="2884" spans="1:4">
      <c r="A2884" s="10" t="s">
        <v>3524</v>
      </c>
      <c r="B2884" s="13" t="s">
        <v>2281</v>
      </c>
      <c r="C2884" s="16" t="s">
        <v>3550</v>
      </c>
      <c r="D2884" s="13">
        <v>8711000471296</v>
      </c>
    </row>
    <row r="2885" spans="1:4">
      <c r="A2885" s="10" t="s">
        <v>3524</v>
      </c>
      <c r="B2885" s="13" t="s">
        <v>2281</v>
      </c>
      <c r="C2885" s="16" t="s">
        <v>3564</v>
      </c>
      <c r="D2885" s="13">
        <v>8711000460245</v>
      </c>
    </row>
    <row r="2886" spans="1:4">
      <c r="A2886" s="10" t="s">
        <v>3524</v>
      </c>
      <c r="B2886" s="13" t="s">
        <v>2281</v>
      </c>
      <c r="C2886" s="16" t="s">
        <v>3549</v>
      </c>
      <c r="D2886" s="13">
        <v>7896089088304</v>
      </c>
    </row>
    <row r="2887" spans="1:4">
      <c r="A2887" s="10" t="s">
        <v>3524</v>
      </c>
      <c r="B2887" s="13" t="s">
        <v>2281</v>
      </c>
      <c r="C2887" s="16" t="s">
        <v>3541</v>
      </c>
      <c r="D2887" s="13">
        <v>7896089088311</v>
      </c>
    </row>
    <row r="2888" spans="1:4">
      <c r="A2888" s="10" t="s">
        <v>3530</v>
      </c>
      <c r="B2888" s="13" t="s">
        <v>2281</v>
      </c>
      <c r="C2888" s="16" t="s">
        <v>3551</v>
      </c>
      <c r="D2888" s="13">
        <v>7896004004679</v>
      </c>
    </row>
    <row r="2889" spans="1:4">
      <c r="A2889" s="10" t="s">
        <v>3526</v>
      </c>
      <c r="B2889" s="13" t="s">
        <v>2288</v>
      </c>
      <c r="C2889" s="16" t="s">
        <v>3552</v>
      </c>
      <c r="D2889" s="13">
        <v>7898904874017</v>
      </c>
    </row>
    <row r="2890" spans="1:4">
      <c r="A2890" s="10" t="s">
        <v>3527</v>
      </c>
      <c r="B2890" s="13" t="s">
        <v>2281</v>
      </c>
      <c r="C2890" s="16" t="s">
        <v>3553</v>
      </c>
      <c r="D2890" s="13">
        <v>7899941207523</v>
      </c>
    </row>
    <row r="2891" spans="1:4">
      <c r="A2891" s="10" t="s">
        <v>3531</v>
      </c>
      <c r="B2891" s="13" t="s">
        <v>2286</v>
      </c>
      <c r="C2891" s="16" t="s">
        <v>3554</v>
      </c>
      <c r="D2891" s="13">
        <v>7896056405608</v>
      </c>
    </row>
    <row r="2892" spans="1:4">
      <c r="A2892" s="10" t="s">
        <v>3531</v>
      </c>
      <c r="B2892" s="13" t="s">
        <v>2286</v>
      </c>
      <c r="C2892" s="16" t="s">
        <v>3555</v>
      </c>
      <c r="D2892" s="13">
        <v>7896056405615</v>
      </c>
    </row>
    <row r="2893" spans="1:4">
      <c r="A2893" s="10" t="s">
        <v>3531</v>
      </c>
      <c r="B2893" s="13" t="s">
        <v>2286</v>
      </c>
      <c r="C2893" s="16" t="s">
        <v>3556</v>
      </c>
      <c r="D2893" s="13">
        <v>7896060401757</v>
      </c>
    </row>
    <row r="2894" spans="1:4">
      <c r="A2894" s="10" t="s">
        <v>3531</v>
      </c>
      <c r="B2894" s="13" t="s">
        <v>2286</v>
      </c>
      <c r="C2894" s="16" t="s">
        <v>3557</v>
      </c>
      <c r="D2894" s="13">
        <v>7896056405707</v>
      </c>
    </row>
    <row r="2895" spans="1:4">
      <c r="A2895" s="70" t="s">
        <v>3570</v>
      </c>
      <c r="B2895" s="13" t="s">
        <v>2299</v>
      </c>
      <c r="C2895" s="16" t="s">
        <v>3570</v>
      </c>
      <c r="D2895" s="13">
        <v>98830</v>
      </c>
    </row>
    <row r="2896" spans="1:4">
      <c r="A2896" s="70" t="s">
        <v>3560</v>
      </c>
      <c r="B2896" s="13" t="s">
        <v>2299</v>
      </c>
      <c r="C2896" s="16" t="s">
        <v>3560</v>
      </c>
      <c r="D2896" s="13">
        <v>98847</v>
      </c>
    </row>
    <row r="2897" spans="1:4">
      <c r="A2897" s="70" t="s">
        <v>3561</v>
      </c>
      <c r="B2897" s="13" t="s">
        <v>2299</v>
      </c>
      <c r="C2897" s="16" t="s">
        <v>3561</v>
      </c>
      <c r="D2897" s="13">
        <v>98854</v>
      </c>
    </row>
    <row r="2898" spans="1:4">
      <c r="A2898" s="10" t="s">
        <v>3563</v>
      </c>
      <c r="B2898" s="13" t="s">
        <v>2285</v>
      </c>
      <c r="C2898" s="16" t="s">
        <v>3288</v>
      </c>
      <c r="D2898" s="13">
        <v>7500435226943</v>
      </c>
    </row>
    <row r="2899" spans="1:4">
      <c r="A2899" s="10" t="s">
        <v>3563</v>
      </c>
      <c r="B2899" s="13" t="s">
        <v>2285</v>
      </c>
      <c r="C2899" s="16" t="s">
        <v>3289</v>
      </c>
      <c r="D2899" s="13">
        <v>7500435226950</v>
      </c>
    </row>
    <row r="2900" spans="1:4">
      <c r="A2900" s="10" t="s">
        <v>3563</v>
      </c>
      <c r="B2900" s="13" t="s">
        <v>2285</v>
      </c>
      <c r="C2900" s="16" t="s">
        <v>3290</v>
      </c>
      <c r="D2900" s="13">
        <v>7500435239417</v>
      </c>
    </row>
    <row r="2901" spans="1:4">
      <c r="A2901" s="10" t="s">
        <v>3563</v>
      </c>
      <c r="B2901" s="13" t="s">
        <v>2285</v>
      </c>
      <c r="C2901" s="16" t="s">
        <v>3291</v>
      </c>
      <c r="D2901" s="13">
        <v>7500435244671</v>
      </c>
    </row>
    <row r="2902" spans="1:4">
      <c r="A2902" s="10" t="s">
        <v>3563</v>
      </c>
      <c r="B2902" s="13" t="s">
        <v>2285</v>
      </c>
      <c r="C2902" s="16" t="s">
        <v>3292</v>
      </c>
      <c r="D2902" s="13">
        <v>7500435244664</v>
      </c>
    </row>
    <row r="2903" spans="1:4">
      <c r="A2903" s="70" t="s">
        <v>3572</v>
      </c>
      <c r="B2903" s="13" t="s">
        <v>2281</v>
      </c>
      <c r="C2903" s="16" t="s">
        <v>3574</v>
      </c>
      <c r="D2903" s="13">
        <v>7899941203303</v>
      </c>
    </row>
    <row r="2904" spans="1:4">
      <c r="A2904" s="70" t="s">
        <v>3572</v>
      </c>
      <c r="B2904" s="13" t="s">
        <v>2281</v>
      </c>
      <c r="C2904" s="16" t="s">
        <v>3575</v>
      </c>
      <c r="D2904" s="13">
        <v>7899941203310</v>
      </c>
    </row>
    <row r="2905" spans="1:4">
      <c r="A2905" s="70" t="s">
        <v>3572</v>
      </c>
      <c r="B2905" s="13" t="s">
        <v>2281</v>
      </c>
      <c r="C2905" s="16" t="s">
        <v>3576</v>
      </c>
      <c r="D2905" s="13">
        <v>7899941203327</v>
      </c>
    </row>
    <row r="2906" spans="1:4">
      <c r="A2906" s="10" t="s">
        <v>3573</v>
      </c>
      <c r="B2906" s="13" t="s">
        <v>2282</v>
      </c>
      <c r="C2906" s="16" t="s">
        <v>3577</v>
      </c>
      <c r="D2906" s="13">
        <v>7896074606742</v>
      </c>
    </row>
    <row r="2907" spans="1:4">
      <c r="A2907" s="10" t="s">
        <v>3573</v>
      </c>
      <c r="B2907" s="13" t="s">
        <v>2282</v>
      </c>
      <c r="C2907" s="16" t="s">
        <v>3578</v>
      </c>
      <c r="D2907" s="13">
        <v>7896074606803</v>
      </c>
    </row>
    <row r="2908" spans="1:4">
      <c r="A2908" s="10" t="s">
        <v>3573</v>
      </c>
      <c r="B2908" s="13" t="s">
        <v>2282</v>
      </c>
      <c r="C2908" s="16" t="s">
        <v>3579</v>
      </c>
      <c r="D2908" s="13">
        <v>7896074606735</v>
      </c>
    </row>
    <row r="2909" spans="1:4">
      <c r="A2909" s="10" t="s">
        <v>3571</v>
      </c>
      <c r="B2909" s="13" t="s">
        <v>2299</v>
      </c>
      <c r="C2909" s="16" t="s">
        <v>3144</v>
      </c>
      <c r="D2909" s="13">
        <v>7898951441200</v>
      </c>
    </row>
    <row r="2910" spans="1:4">
      <c r="A2910" s="10" t="s">
        <v>3580</v>
      </c>
      <c r="B2910" s="13" t="s">
        <v>2288</v>
      </c>
      <c r="C2910" s="16" t="s">
        <v>3581</v>
      </c>
      <c r="D2910" s="13">
        <v>7896625211401</v>
      </c>
    </row>
    <row r="2911" spans="1:4">
      <c r="A2911" s="10" t="s">
        <v>3580</v>
      </c>
      <c r="B2911" s="13" t="s">
        <v>2288</v>
      </c>
      <c r="C2911" s="16" t="s">
        <v>3582</v>
      </c>
      <c r="D2911" s="13">
        <v>7896625211395</v>
      </c>
    </row>
    <row r="2912" spans="1:4">
      <c r="A2912" s="10" t="s">
        <v>3585</v>
      </c>
      <c r="B2912" s="17" t="s">
        <v>2286</v>
      </c>
      <c r="C2912" s="16" t="s">
        <v>2162</v>
      </c>
      <c r="D2912" s="13">
        <v>7896098900840</v>
      </c>
    </row>
    <row r="2913" spans="1:4">
      <c r="A2913" s="10" t="s">
        <v>3585</v>
      </c>
      <c r="B2913" s="17" t="s">
        <v>2286</v>
      </c>
      <c r="C2913" s="16" t="s">
        <v>2163</v>
      </c>
      <c r="D2913" s="13">
        <v>7896098901915</v>
      </c>
    </row>
    <row r="2914" spans="1:4">
      <c r="A2914" s="10" t="s">
        <v>3584</v>
      </c>
      <c r="B2914" s="13" t="s">
        <v>2299</v>
      </c>
      <c r="C2914" s="16" t="s">
        <v>3584</v>
      </c>
      <c r="D2914" s="13">
        <v>98991</v>
      </c>
    </row>
    <row r="2915" spans="1:4">
      <c r="A2915" s="10" t="s">
        <v>3583</v>
      </c>
      <c r="B2915" s="13" t="s">
        <v>2288</v>
      </c>
      <c r="C2915" s="16" t="s">
        <v>230</v>
      </c>
      <c r="D2915" s="13">
        <v>7891515555337</v>
      </c>
    </row>
    <row r="2916" spans="1:4">
      <c r="A2916" s="10" t="s">
        <v>3583</v>
      </c>
      <c r="B2916" s="13" t="s">
        <v>2288</v>
      </c>
      <c r="C2916" s="16" t="s">
        <v>231</v>
      </c>
      <c r="D2916" s="13">
        <v>7891515555252</v>
      </c>
    </row>
    <row r="2917" spans="1:4">
      <c r="A2917" s="70" t="s">
        <v>3188</v>
      </c>
      <c r="B2917" s="17" t="s">
        <v>2288</v>
      </c>
      <c r="C2917" s="16" t="s">
        <v>3592</v>
      </c>
      <c r="D2917" s="13">
        <v>7891999004864</v>
      </c>
    </row>
    <row r="2918" spans="1:4">
      <c r="A2918" s="10" t="s">
        <v>3583</v>
      </c>
      <c r="B2918" s="13" t="s">
        <v>2288</v>
      </c>
      <c r="C2918" s="16" t="s">
        <v>3593</v>
      </c>
      <c r="D2918" s="13">
        <v>7891080151231</v>
      </c>
    </row>
    <row r="2919" spans="1:4">
      <c r="A2919" s="10" t="s">
        <v>3583</v>
      </c>
      <c r="B2919" s="13" t="s">
        <v>2288</v>
      </c>
      <c r="C2919" s="16" t="s">
        <v>230</v>
      </c>
      <c r="D2919" s="13">
        <v>7891080151248</v>
      </c>
    </row>
    <row r="2920" spans="1:4">
      <c r="A2920" s="70" t="s">
        <v>3098</v>
      </c>
      <c r="B2920" s="13" t="s">
        <v>2283</v>
      </c>
      <c r="C2920" s="16" t="s">
        <v>3594</v>
      </c>
      <c r="D2920" s="13">
        <v>7896045506071</v>
      </c>
    </row>
    <row r="2921" spans="1:4">
      <c r="A2921" s="70" t="s">
        <v>3595</v>
      </c>
      <c r="B2921" s="13" t="s">
        <v>2288</v>
      </c>
      <c r="C2921" s="16" t="s">
        <v>2572</v>
      </c>
      <c r="D2921" s="13">
        <v>7891025699880</v>
      </c>
    </row>
    <row r="2922" spans="1:4">
      <c r="A2922" s="70" t="s">
        <v>3595</v>
      </c>
      <c r="B2922" s="13" t="s">
        <v>2288</v>
      </c>
      <c r="C2922" s="16" t="s">
        <v>3599</v>
      </c>
      <c r="D2922" s="13">
        <v>7891025116790</v>
      </c>
    </row>
    <row r="2923" spans="1:4">
      <c r="A2923" s="10" t="s">
        <v>3596</v>
      </c>
      <c r="B2923" s="13" t="s">
        <v>2283</v>
      </c>
      <c r="C2923" s="16" t="s">
        <v>3600</v>
      </c>
      <c r="D2923" s="13">
        <v>7896045506507</v>
      </c>
    </row>
    <row r="2924" spans="1:4">
      <c r="A2924" s="10" t="s">
        <v>3597</v>
      </c>
      <c r="B2924" s="13" t="s">
        <v>2283</v>
      </c>
      <c r="C2924" s="16" t="s">
        <v>3601</v>
      </c>
      <c r="D2924" s="13">
        <v>7896045506682</v>
      </c>
    </row>
    <row r="2925" spans="1:4">
      <c r="A2925" s="70" t="s">
        <v>3598</v>
      </c>
      <c r="B2925" s="13" t="s">
        <v>2288</v>
      </c>
      <c r="C2925" s="16" t="s">
        <v>3602</v>
      </c>
      <c r="D2925" s="13">
        <v>7896185313843</v>
      </c>
    </row>
    <row r="2926" spans="1:4">
      <c r="A2926" s="70" t="s">
        <v>3598</v>
      </c>
      <c r="B2926" s="13" t="s">
        <v>2288</v>
      </c>
      <c r="C2926" s="16" t="s">
        <v>3603</v>
      </c>
      <c r="D2926" s="13">
        <v>7896185313850</v>
      </c>
    </row>
    <row r="2927" spans="1:4">
      <c r="A2927" s="70" t="s">
        <v>3608</v>
      </c>
      <c r="B2927" s="13" t="s">
        <v>2299</v>
      </c>
      <c r="C2927" s="16" t="s">
        <v>3608</v>
      </c>
      <c r="D2927" s="13">
        <v>98892</v>
      </c>
    </row>
    <row r="2928" spans="1:4">
      <c r="A2928" s="10" t="s">
        <v>3583</v>
      </c>
      <c r="B2928" s="13" t="s">
        <v>2288</v>
      </c>
      <c r="C2928" s="16" t="s">
        <v>3593</v>
      </c>
      <c r="D2928" s="13">
        <v>7891042091629</v>
      </c>
    </row>
    <row r="2929" spans="1:4">
      <c r="A2929" s="10" t="s">
        <v>3583</v>
      </c>
      <c r="B2929" s="13" t="s">
        <v>2288</v>
      </c>
      <c r="C2929" s="16" t="s">
        <v>230</v>
      </c>
      <c r="D2929" s="13">
        <v>7891042091636</v>
      </c>
    </row>
    <row r="2930" spans="1:4">
      <c r="A2930" s="70" t="s">
        <v>3610</v>
      </c>
      <c r="B2930" s="13" t="s">
        <v>2284</v>
      </c>
      <c r="C2930" s="16" t="s">
        <v>3611</v>
      </c>
      <c r="D2930" s="13">
        <v>7896102503814</v>
      </c>
    </row>
    <row r="2931" spans="1:4">
      <c r="A2931" s="10" t="s">
        <v>3597</v>
      </c>
      <c r="B2931" s="13" t="s">
        <v>2283</v>
      </c>
      <c r="C2931" s="16" t="s">
        <v>3612</v>
      </c>
      <c r="D2931" s="13">
        <v>7896045506699</v>
      </c>
    </row>
    <row r="2932" spans="1:4">
      <c r="A2932" s="10" t="s">
        <v>600</v>
      </c>
      <c r="B2932" s="13" t="s">
        <v>2283</v>
      </c>
      <c r="C2932" s="16" t="s">
        <v>3206</v>
      </c>
      <c r="D2932" s="13">
        <v>7896023084089</v>
      </c>
    </row>
    <row r="2933" spans="1:4">
      <c r="A2933" s="10" t="s">
        <v>600</v>
      </c>
      <c r="B2933" s="13" t="s">
        <v>2283</v>
      </c>
      <c r="C2933" s="16" t="s">
        <v>3613</v>
      </c>
      <c r="D2933" s="13">
        <v>7896023010750</v>
      </c>
    </row>
    <row r="2934" spans="1:4">
      <c r="A2934" s="70" t="s">
        <v>3615</v>
      </c>
      <c r="B2934" s="13" t="s">
        <v>2286</v>
      </c>
      <c r="C2934" s="16" t="s">
        <v>2055</v>
      </c>
      <c r="D2934" s="13">
        <v>7896056404700</v>
      </c>
    </row>
    <row r="2935" spans="1:4">
      <c r="A2935" s="11" t="s">
        <v>1362</v>
      </c>
      <c r="B2935" s="17" t="s">
        <v>2284</v>
      </c>
      <c r="C2935" s="16" t="s">
        <v>1386</v>
      </c>
      <c r="D2935" s="13">
        <v>7898909755830</v>
      </c>
    </row>
    <row r="2936" spans="1:4">
      <c r="A2936" s="11" t="s">
        <v>1451</v>
      </c>
      <c r="B2936" s="17" t="s">
        <v>2284</v>
      </c>
      <c r="C2936" s="16" t="s">
        <v>1460</v>
      </c>
      <c r="D2936" s="13">
        <v>7898909755236</v>
      </c>
    </row>
    <row r="2937" spans="1:4">
      <c r="A2937" s="10" t="s">
        <v>3616</v>
      </c>
      <c r="B2937" s="13" t="s">
        <v>2299</v>
      </c>
      <c r="C2937" s="16" t="s">
        <v>3619</v>
      </c>
      <c r="D2937" s="13">
        <v>7898926529681</v>
      </c>
    </row>
    <row r="2938" spans="1:4">
      <c r="A2938" s="10" t="s">
        <v>3616</v>
      </c>
      <c r="B2938" s="13" t="s">
        <v>2299</v>
      </c>
      <c r="C2938" s="16" t="s">
        <v>3619</v>
      </c>
      <c r="D2938" s="13">
        <v>7898006120166</v>
      </c>
    </row>
    <row r="2939" spans="1:4">
      <c r="A2939" s="70" t="s">
        <v>344</v>
      </c>
      <c r="B2939" s="13" t="s">
        <v>2283</v>
      </c>
      <c r="C2939" s="16" t="s">
        <v>3620</v>
      </c>
      <c r="D2939" s="13">
        <v>7804350008029</v>
      </c>
    </row>
    <row r="2940" spans="1:4">
      <c r="A2940" s="70" t="s">
        <v>3449</v>
      </c>
      <c r="B2940" s="13" t="s">
        <v>2281</v>
      </c>
      <c r="C2940" s="16" t="s">
        <v>493</v>
      </c>
      <c r="D2940" s="13">
        <v>7891000113608</v>
      </c>
    </row>
    <row r="2941" spans="1:4">
      <c r="A2941" s="70" t="s">
        <v>2875</v>
      </c>
      <c r="B2941" s="13" t="s">
        <v>2283</v>
      </c>
      <c r="C2941" s="16" t="s">
        <v>2881</v>
      </c>
      <c r="D2941" s="13">
        <v>7896005404454</v>
      </c>
    </row>
    <row r="2942" spans="1:4">
      <c r="A2942" s="70" t="s">
        <v>2875</v>
      </c>
      <c r="B2942" s="13" t="s">
        <v>2283</v>
      </c>
      <c r="C2942" s="16" t="s">
        <v>2885</v>
      </c>
      <c r="D2942" s="13">
        <v>7896005404201</v>
      </c>
    </row>
    <row r="2943" spans="1:4">
      <c r="A2943" s="70" t="s">
        <v>2875</v>
      </c>
      <c r="B2943" s="13" t="s">
        <v>2283</v>
      </c>
      <c r="C2943" s="16" t="s">
        <v>3621</v>
      </c>
      <c r="D2943" s="13">
        <v>7896000598356</v>
      </c>
    </row>
    <row r="2944" spans="1:4">
      <c r="A2944" s="70" t="s">
        <v>2875</v>
      </c>
      <c r="B2944" s="13" t="s">
        <v>2283</v>
      </c>
      <c r="C2944" s="16" t="s">
        <v>3622</v>
      </c>
      <c r="D2944" s="13">
        <v>7896000598547</v>
      </c>
    </row>
    <row r="2945" spans="1:4">
      <c r="A2945" s="70" t="s">
        <v>2875</v>
      </c>
      <c r="B2945" s="13" t="s">
        <v>2283</v>
      </c>
      <c r="C2945" s="16" t="s">
        <v>2882</v>
      </c>
      <c r="D2945" s="13">
        <v>7896005404133</v>
      </c>
    </row>
    <row r="2946" spans="1:4">
      <c r="A2946" s="70" t="s">
        <v>2875</v>
      </c>
      <c r="B2946" s="13" t="s">
        <v>2283</v>
      </c>
      <c r="C2946" s="16" t="s">
        <v>2886</v>
      </c>
      <c r="D2946" s="13">
        <v>7896005404072</v>
      </c>
    </row>
    <row r="2947" spans="1:4">
      <c r="A2947" s="70" t="s">
        <v>2908</v>
      </c>
      <c r="B2947" s="13" t="s">
        <v>2283</v>
      </c>
      <c r="C2947" s="16" t="s">
        <v>2912</v>
      </c>
      <c r="D2947" s="13">
        <v>7896257020037</v>
      </c>
    </row>
    <row r="2948" spans="1:4">
      <c r="A2948" s="70" t="s">
        <v>2908</v>
      </c>
      <c r="B2948" s="13" t="s">
        <v>2283</v>
      </c>
      <c r="C2948" s="72" t="s">
        <v>2913</v>
      </c>
      <c r="D2948" s="75">
        <v>7896257020068</v>
      </c>
    </row>
    <row r="2949" spans="1:4">
      <c r="A2949" s="10" t="s">
        <v>3596</v>
      </c>
      <c r="B2949" s="13" t="s">
        <v>2283</v>
      </c>
      <c r="C2949" s="16" t="s">
        <v>3625</v>
      </c>
      <c r="D2949" s="13">
        <v>7896045506477</v>
      </c>
    </row>
    <row r="2950" spans="1:4">
      <c r="A2950" s="10" t="s">
        <v>3630</v>
      </c>
      <c r="B2950" s="13" t="s">
        <v>2281</v>
      </c>
      <c r="C2950" s="16" t="s">
        <v>3632</v>
      </c>
      <c r="D2950" s="13">
        <v>7896045115365</v>
      </c>
    </row>
    <row r="2951" spans="1:4">
      <c r="A2951" s="70" t="s">
        <v>3627</v>
      </c>
      <c r="B2951" s="13" t="s">
        <v>2282</v>
      </c>
      <c r="C2951" s="16" t="s">
        <v>3628</v>
      </c>
      <c r="D2951" s="13">
        <v>98298</v>
      </c>
    </row>
    <row r="2952" spans="1:4">
      <c r="A2952" s="70" t="s">
        <v>3629</v>
      </c>
      <c r="B2952" s="13" t="s">
        <v>2299</v>
      </c>
      <c r="C2952" s="16" t="s">
        <v>3629</v>
      </c>
      <c r="D2952" s="13">
        <v>98908</v>
      </c>
    </row>
    <row r="2953" spans="1:4">
      <c r="A2953" s="70" t="s">
        <v>3631</v>
      </c>
      <c r="B2953" s="13" t="s">
        <v>2283</v>
      </c>
      <c r="C2953" s="16" t="s">
        <v>2903</v>
      </c>
      <c r="D2953" s="13">
        <v>7897395031626</v>
      </c>
    </row>
    <row r="2954" spans="1:4">
      <c r="A2954" s="10" t="s">
        <v>3630</v>
      </c>
      <c r="B2954" s="13" t="s">
        <v>2281</v>
      </c>
      <c r="C2954" s="16" t="s">
        <v>2823</v>
      </c>
      <c r="D2954" s="13">
        <v>7896045110582</v>
      </c>
    </row>
    <row r="2955" spans="1:4">
      <c r="A2955" s="70" t="s">
        <v>1462</v>
      </c>
      <c r="B2955" s="13" t="s">
        <v>2285</v>
      </c>
      <c r="C2955" s="16" t="s">
        <v>3634</v>
      </c>
      <c r="D2955" s="13">
        <v>7500435128445</v>
      </c>
    </row>
    <row r="2956" spans="1:4">
      <c r="A2956" s="70" t="s">
        <v>1462</v>
      </c>
      <c r="B2956" s="13" t="s">
        <v>2285</v>
      </c>
      <c r="C2956" s="16" t="s">
        <v>3635</v>
      </c>
      <c r="D2956" s="13">
        <v>7500435253598</v>
      </c>
    </row>
    <row r="2957" spans="1:4">
      <c r="A2957" s="10" t="s">
        <v>3636</v>
      </c>
      <c r="B2957" s="13" t="s">
        <v>2640</v>
      </c>
      <c r="C2957" s="16" t="s">
        <v>3637</v>
      </c>
      <c r="D2957" s="13">
        <v>7896290302138</v>
      </c>
    </row>
    <row r="2958" spans="1:4">
      <c r="A2958" s="10" t="s">
        <v>3636</v>
      </c>
      <c r="B2958" s="13" t="s">
        <v>2640</v>
      </c>
      <c r="C2958" s="16" t="s">
        <v>3638</v>
      </c>
      <c r="D2958" s="13">
        <v>7896290302152</v>
      </c>
    </row>
    <row r="2959" spans="1:4">
      <c r="A2959" s="10" t="s">
        <v>3636</v>
      </c>
      <c r="B2959" s="13" t="s">
        <v>2640</v>
      </c>
      <c r="C2959" s="16" t="s">
        <v>3639</v>
      </c>
      <c r="D2959" s="13">
        <v>7896290301940</v>
      </c>
    </row>
    <row r="2960" spans="1:4">
      <c r="A2960" s="10" t="s">
        <v>3641</v>
      </c>
      <c r="B2960" s="13" t="s">
        <v>2282</v>
      </c>
      <c r="C2960" s="16" t="s">
        <v>3640</v>
      </c>
      <c r="D2960" s="13">
        <v>7891527962314</v>
      </c>
    </row>
    <row r="2961" spans="1:4">
      <c r="A2961" s="70" t="s">
        <v>3644</v>
      </c>
      <c r="B2961" s="13" t="s">
        <v>2299</v>
      </c>
      <c r="C2961" s="16" t="s">
        <v>3644</v>
      </c>
      <c r="D2961" s="13">
        <v>98960</v>
      </c>
    </row>
    <row r="2962" spans="1:4">
      <c r="A2962" s="137" t="s">
        <v>3642</v>
      </c>
      <c r="B2962" s="13" t="s">
        <v>2282</v>
      </c>
      <c r="C2962" s="16" t="s">
        <v>3645</v>
      </c>
      <c r="D2962" s="13">
        <v>7893000005945</v>
      </c>
    </row>
    <row r="2963" spans="1:4">
      <c r="A2963" s="52" t="s">
        <v>3364</v>
      </c>
      <c r="B2963" s="13" t="s">
        <v>2640</v>
      </c>
      <c r="C2963" s="16" t="s">
        <v>3646</v>
      </c>
      <c r="D2963" s="13">
        <v>7896290300066</v>
      </c>
    </row>
    <row r="2964" spans="1:4">
      <c r="A2964" s="10" t="s">
        <v>3636</v>
      </c>
      <c r="B2964" s="13" t="s">
        <v>2640</v>
      </c>
      <c r="C2964" s="16" t="s">
        <v>3638</v>
      </c>
      <c r="D2964" s="13">
        <v>7896290302169</v>
      </c>
    </row>
    <row r="2965" spans="1:4">
      <c r="A2965" s="10" t="s">
        <v>3616</v>
      </c>
      <c r="B2965" s="13" t="s">
        <v>2299</v>
      </c>
      <c r="C2965" s="16" t="s">
        <v>3647</v>
      </c>
      <c r="D2965" s="13">
        <v>7898006120234</v>
      </c>
    </row>
    <row r="2966" spans="1:4">
      <c r="A2966" s="10" t="s">
        <v>3616</v>
      </c>
      <c r="B2966" s="136" t="s">
        <v>2299</v>
      </c>
      <c r="C2966" s="130" t="s">
        <v>3633</v>
      </c>
      <c r="D2966" s="136">
        <v>7896661220016</v>
      </c>
    </row>
    <row r="2967" spans="1:4">
      <c r="A2967" s="10" t="s">
        <v>3616</v>
      </c>
      <c r="B2967" s="136" t="s">
        <v>2299</v>
      </c>
      <c r="C2967" s="16" t="s">
        <v>3648</v>
      </c>
      <c r="D2967" s="136">
        <v>7898951441200</v>
      </c>
    </row>
    <row r="2968" spans="1:4">
      <c r="A2968" s="70" t="s">
        <v>3419</v>
      </c>
      <c r="B2968" s="136" t="s">
        <v>2286</v>
      </c>
      <c r="C2968" s="130" t="s">
        <v>3626</v>
      </c>
      <c r="D2968" s="136">
        <v>7896098909959</v>
      </c>
    </row>
    <row r="2969" spans="1:4">
      <c r="A2969" s="70" t="s">
        <v>3419</v>
      </c>
      <c r="B2969" s="136" t="s">
        <v>2286</v>
      </c>
      <c r="C2969" s="130" t="s">
        <v>3559</v>
      </c>
      <c r="D2969" s="136">
        <v>7896098909904</v>
      </c>
    </row>
    <row r="2970" spans="1:4">
      <c r="A2970" s="10" t="s">
        <v>3240</v>
      </c>
      <c r="B2970" s="13" t="s">
        <v>2286</v>
      </c>
      <c r="C2970" s="16" t="s">
        <v>3649</v>
      </c>
      <c r="D2970" s="13">
        <v>7500435259583</v>
      </c>
    </row>
    <row r="2971" spans="1:4">
      <c r="A2971" s="70" t="s">
        <v>3650</v>
      </c>
      <c r="B2971" s="13" t="s">
        <v>2299</v>
      </c>
      <c r="C2971" s="16" t="s">
        <v>3650</v>
      </c>
      <c r="D2971" s="13">
        <v>98915</v>
      </c>
    </row>
    <row r="2972" spans="1:4">
      <c r="A2972" s="70" t="s">
        <v>3651</v>
      </c>
      <c r="B2972" s="13" t="s">
        <v>2282</v>
      </c>
      <c r="C2972" s="16" t="s">
        <v>3652</v>
      </c>
      <c r="D2972" s="13">
        <v>7897232264309</v>
      </c>
    </row>
    <row r="2973" spans="1:4">
      <c r="A2973" s="70" t="s">
        <v>3653</v>
      </c>
      <c r="B2973" s="13" t="s">
        <v>2299</v>
      </c>
      <c r="C2973" s="16" t="s">
        <v>3653</v>
      </c>
      <c r="D2973" s="13">
        <v>99516</v>
      </c>
    </row>
    <row r="2974" spans="1:4">
      <c r="A2974" s="70" t="s">
        <v>3654</v>
      </c>
      <c r="B2974" s="17" t="s">
        <v>2284</v>
      </c>
      <c r="C2974" s="16" t="s">
        <v>314</v>
      </c>
      <c r="D2974" s="13">
        <v>7896022202811</v>
      </c>
    </row>
    <row r="2975" spans="1:4">
      <c r="A2975" s="70" t="s">
        <v>3654</v>
      </c>
      <c r="B2975" s="17" t="s">
        <v>2284</v>
      </c>
      <c r="C2975" s="16" t="s">
        <v>3655</v>
      </c>
      <c r="D2975" s="13">
        <v>7896022204129</v>
      </c>
    </row>
    <row r="2976" spans="1:4">
      <c r="A2976" s="70" t="s">
        <v>3660</v>
      </c>
      <c r="B2976" s="17" t="s">
        <v>2281</v>
      </c>
      <c r="C2976" s="16" t="s">
        <v>3661</v>
      </c>
      <c r="D2976" s="13">
        <v>7891000338087</v>
      </c>
    </row>
    <row r="2977" spans="1:4">
      <c r="A2977" s="10" t="s">
        <v>2719</v>
      </c>
      <c r="B2977" s="13" t="s">
        <v>2281</v>
      </c>
      <c r="C2977" s="16" t="s">
        <v>3662</v>
      </c>
      <c r="D2977" s="13">
        <v>7891910012626</v>
      </c>
    </row>
    <row r="2978" spans="1:4">
      <c r="A2978" s="70" t="s">
        <v>3610</v>
      </c>
      <c r="B2978" s="13" t="s">
        <v>2284</v>
      </c>
      <c r="C2978" s="16" t="s">
        <v>3611</v>
      </c>
      <c r="D2978" s="104">
        <v>7896102501896</v>
      </c>
    </row>
    <row r="2979" spans="1:4">
      <c r="A2979" s="70" t="s">
        <v>17</v>
      </c>
      <c r="B2979" s="17" t="s">
        <v>2288</v>
      </c>
      <c r="C2979" s="16" t="s">
        <v>275</v>
      </c>
      <c r="D2979" s="13">
        <v>7894904590933</v>
      </c>
    </row>
    <row r="2980" spans="1:4">
      <c r="A2980" s="70" t="s">
        <v>17</v>
      </c>
      <c r="B2980" s="17" t="s">
        <v>2288</v>
      </c>
      <c r="C2980" s="16" t="s">
        <v>275</v>
      </c>
      <c r="D2980" s="13">
        <v>7891515900656</v>
      </c>
    </row>
    <row r="2981" spans="1:4">
      <c r="A2981" s="70" t="s">
        <v>17</v>
      </c>
      <c r="B2981" s="17" t="s">
        <v>2288</v>
      </c>
      <c r="C2981" s="16" t="s">
        <v>276</v>
      </c>
      <c r="D2981" s="13">
        <v>7894904590940</v>
      </c>
    </row>
    <row r="2982" spans="1:4" ht="30">
      <c r="A2982" s="70" t="s">
        <v>3656</v>
      </c>
      <c r="B2982" s="13" t="s">
        <v>2283</v>
      </c>
      <c r="C2982" s="16" t="s">
        <v>3362</v>
      </c>
      <c r="D2982" s="13">
        <v>7891991307338</v>
      </c>
    </row>
    <row r="2983" spans="1:4">
      <c r="A2983" s="70" t="s">
        <v>3562</v>
      </c>
      <c r="B2983" s="17" t="s">
        <v>2281</v>
      </c>
      <c r="C2983" s="16" t="s">
        <v>3657</v>
      </c>
      <c r="D2983" s="13">
        <v>7898215151654</v>
      </c>
    </row>
    <row r="2984" spans="1:4">
      <c r="A2984" s="70" t="s">
        <v>3562</v>
      </c>
      <c r="B2984" s="17" t="s">
        <v>2281</v>
      </c>
      <c r="C2984" s="16" t="s">
        <v>3658</v>
      </c>
      <c r="D2984" s="13">
        <v>7898215151661</v>
      </c>
    </row>
    <row r="2985" spans="1:4" ht="30">
      <c r="A2985" s="70" t="s">
        <v>3659</v>
      </c>
      <c r="B2985" s="13" t="s">
        <v>2283</v>
      </c>
      <c r="C2985" s="16" t="s">
        <v>3362</v>
      </c>
      <c r="D2985" s="13">
        <v>7891991307338</v>
      </c>
    </row>
    <row r="2986" spans="1:4">
      <c r="A2986" s="10" t="s">
        <v>3505</v>
      </c>
      <c r="B2986" s="13" t="s">
        <v>2281</v>
      </c>
      <c r="C2986" s="16" t="s">
        <v>3663</v>
      </c>
      <c r="D2986" s="13">
        <v>7891330020119</v>
      </c>
    </row>
    <row r="2987" spans="1:4">
      <c r="A2987" s="70" t="s">
        <v>3664</v>
      </c>
      <c r="B2987" s="13" t="s">
        <v>2282</v>
      </c>
      <c r="C2987" s="16" t="s">
        <v>2811</v>
      </c>
      <c r="D2987" s="13">
        <v>7894904283361</v>
      </c>
    </row>
    <row r="2988" spans="1:4">
      <c r="A2988" s="70" t="s">
        <v>3665</v>
      </c>
      <c r="B2988" s="17" t="s">
        <v>2281</v>
      </c>
      <c r="C2988" s="16" t="s">
        <v>340</v>
      </c>
      <c r="D2988" s="13">
        <v>7898215157304</v>
      </c>
    </row>
    <row r="2989" spans="1:4">
      <c r="A2989" s="70" t="s">
        <v>3665</v>
      </c>
      <c r="B2989" s="17" t="s">
        <v>2281</v>
      </c>
      <c r="C2989" s="16" t="s">
        <v>340</v>
      </c>
      <c r="D2989" s="13">
        <v>7898215157403</v>
      </c>
    </row>
    <row r="2990" spans="1:4">
      <c r="A2990" s="70" t="s">
        <v>3665</v>
      </c>
      <c r="B2990" s="17" t="s">
        <v>2281</v>
      </c>
      <c r="C2990" s="16" t="s">
        <v>340</v>
      </c>
      <c r="D2990" s="13">
        <v>7891000066560</v>
      </c>
    </row>
    <row r="2991" spans="1:4">
      <c r="A2991" s="70" t="s">
        <v>3665</v>
      </c>
      <c r="B2991" s="17" t="s">
        <v>2281</v>
      </c>
      <c r="C2991" s="16" t="s">
        <v>556</v>
      </c>
      <c r="D2991" s="13">
        <v>7898215157342</v>
      </c>
    </row>
    <row r="2992" spans="1:4">
      <c r="A2992" s="70" t="s">
        <v>3665</v>
      </c>
      <c r="B2992" s="17" t="s">
        <v>2281</v>
      </c>
      <c r="C2992" s="16" t="s">
        <v>556</v>
      </c>
      <c r="D2992" s="13">
        <v>7891000066607</v>
      </c>
    </row>
    <row r="2993" spans="1:4">
      <c r="A2993" s="70" t="s">
        <v>3665</v>
      </c>
      <c r="B2993" s="17" t="s">
        <v>2281</v>
      </c>
      <c r="C2993" s="16" t="s">
        <v>556</v>
      </c>
      <c r="D2993" s="13">
        <v>7898215157441</v>
      </c>
    </row>
    <row r="2994" spans="1:4">
      <c r="A2994" s="70" t="s">
        <v>3665</v>
      </c>
      <c r="B2994" s="17" t="s">
        <v>2281</v>
      </c>
      <c r="C2994" s="72" t="s">
        <v>1108</v>
      </c>
      <c r="D2994" s="13">
        <v>7891000066577</v>
      </c>
    </row>
    <row r="2995" spans="1:4">
      <c r="A2995" s="70" t="s">
        <v>3665</v>
      </c>
      <c r="B2995" s="17" t="s">
        <v>2281</v>
      </c>
      <c r="C2995" s="72" t="s">
        <v>3023</v>
      </c>
      <c r="D2995" s="13">
        <v>17898215157400</v>
      </c>
    </row>
    <row r="2996" spans="1:4">
      <c r="A2996" s="70" t="s">
        <v>3665</v>
      </c>
      <c r="B2996" s="17" t="s">
        <v>2281</v>
      </c>
      <c r="C2996" s="72" t="s">
        <v>1109</v>
      </c>
      <c r="D2996" s="13">
        <v>7891000066614</v>
      </c>
    </row>
    <row r="2997" spans="1:4">
      <c r="A2997" s="70" t="s">
        <v>3665</v>
      </c>
      <c r="B2997" s="17" t="s">
        <v>2281</v>
      </c>
      <c r="C2997" s="72" t="s">
        <v>3024</v>
      </c>
      <c r="D2997" s="13">
        <v>17898215157448</v>
      </c>
    </row>
    <row r="2998" spans="1:4">
      <c r="A2998" s="70" t="s">
        <v>1462</v>
      </c>
      <c r="B2998" s="13" t="s">
        <v>2285</v>
      </c>
      <c r="C2998" s="16" t="s">
        <v>3667</v>
      </c>
      <c r="D2998" s="13">
        <v>7500435261227</v>
      </c>
    </row>
    <row r="2999" spans="1:4">
      <c r="A2999" s="10" t="s">
        <v>3669</v>
      </c>
      <c r="B2999" s="13" t="s">
        <v>2281</v>
      </c>
      <c r="C2999" s="16" t="s">
        <v>3671</v>
      </c>
      <c r="D2999" s="13">
        <v>7896045110667</v>
      </c>
    </row>
    <row r="3000" spans="1:4">
      <c r="A3000" s="10" t="s">
        <v>3669</v>
      </c>
      <c r="B3000" s="13" t="s">
        <v>2281</v>
      </c>
      <c r="C3000" s="16" t="s">
        <v>3672</v>
      </c>
      <c r="D3000" s="13">
        <v>7896045110629</v>
      </c>
    </row>
    <row r="3001" spans="1:4">
      <c r="A3001" s="10" t="s">
        <v>3669</v>
      </c>
      <c r="B3001" s="13" t="s">
        <v>2281</v>
      </c>
      <c r="C3001" s="16" t="s">
        <v>3673</v>
      </c>
      <c r="D3001" s="13">
        <v>7896045110636</v>
      </c>
    </row>
    <row r="3002" spans="1:4">
      <c r="A3002" s="10" t="s">
        <v>3669</v>
      </c>
      <c r="B3002" s="13" t="s">
        <v>2281</v>
      </c>
      <c r="C3002" s="16" t="s">
        <v>3674</v>
      </c>
      <c r="D3002" s="13">
        <v>7896045110407</v>
      </c>
    </row>
    <row r="3003" spans="1:4">
      <c r="A3003" s="10" t="s">
        <v>3668</v>
      </c>
      <c r="B3003" s="13" t="s">
        <v>2281</v>
      </c>
      <c r="C3003" s="16" t="s">
        <v>3675</v>
      </c>
      <c r="D3003" s="13">
        <v>7896005809495</v>
      </c>
    </row>
    <row r="3004" spans="1:4">
      <c r="A3004" s="10" t="s">
        <v>3668</v>
      </c>
      <c r="B3004" s="13" t="s">
        <v>2281</v>
      </c>
      <c r="C3004" s="16" t="s">
        <v>3676</v>
      </c>
      <c r="D3004" s="13">
        <v>7896005809501</v>
      </c>
    </row>
    <row r="3005" spans="1:4">
      <c r="A3005" s="10" t="s">
        <v>3668</v>
      </c>
      <c r="B3005" s="13" t="s">
        <v>2281</v>
      </c>
      <c r="C3005" s="16" t="s">
        <v>3677</v>
      </c>
      <c r="D3005" s="13">
        <v>7896005809518</v>
      </c>
    </row>
    <row r="3006" spans="1:4">
      <c r="A3006" s="10" t="s">
        <v>3670</v>
      </c>
      <c r="B3006" s="17" t="s">
        <v>2285</v>
      </c>
      <c r="C3006" s="16" t="s">
        <v>3678</v>
      </c>
      <c r="D3006" s="13">
        <v>7896007553716</v>
      </c>
    </row>
    <row r="3007" spans="1:4">
      <c r="A3007" s="10" t="s">
        <v>3670</v>
      </c>
      <c r="B3007" s="17" t="s">
        <v>2285</v>
      </c>
      <c r="C3007" s="16" t="s">
        <v>3679</v>
      </c>
      <c r="D3007" s="13">
        <v>7896007553709</v>
      </c>
    </row>
    <row r="3008" spans="1:4">
      <c r="A3008" s="10" t="s">
        <v>3670</v>
      </c>
      <c r="B3008" s="17" t="s">
        <v>2285</v>
      </c>
      <c r="C3008" s="16" t="s">
        <v>3680</v>
      </c>
      <c r="D3008" s="13">
        <v>7896007553693</v>
      </c>
    </row>
    <row r="3009" spans="1:4">
      <c r="A3009" s="10" t="s">
        <v>3670</v>
      </c>
      <c r="B3009" s="17" t="s">
        <v>2285</v>
      </c>
      <c r="C3009" s="16" t="s">
        <v>3682</v>
      </c>
      <c r="D3009" s="13">
        <v>7896007553723</v>
      </c>
    </row>
    <row r="3010" spans="1:4">
      <c r="A3010" s="10" t="s">
        <v>3670</v>
      </c>
      <c r="B3010" s="17" t="s">
        <v>2285</v>
      </c>
      <c r="C3010" s="16" t="s">
        <v>3681</v>
      </c>
      <c r="D3010" s="13">
        <v>7896007553730</v>
      </c>
    </row>
    <row r="3011" spans="1:4">
      <c r="A3011" s="10" t="s">
        <v>3683</v>
      </c>
      <c r="B3011" s="17" t="s">
        <v>2640</v>
      </c>
      <c r="C3011" s="16" t="s">
        <v>3685</v>
      </c>
      <c r="D3011" s="13">
        <v>7898234850682</v>
      </c>
    </row>
    <row r="3012" spans="1:4">
      <c r="A3012" s="70" t="s">
        <v>3684</v>
      </c>
      <c r="B3012" s="17" t="s">
        <v>2640</v>
      </c>
      <c r="C3012" s="16" t="s">
        <v>3686</v>
      </c>
      <c r="D3012" s="13">
        <v>7896022200244</v>
      </c>
    </row>
    <row r="3013" spans="1:4">
      <c r="A3013" s="70" t="s">
        <v>3684</v>
      </c>
      <c r="B3013" s="17" t="s">
        <v>2640</v>
      </c>
      <c r="C3013" s="16" t="s">
        <v>3687</v>
      </c>
      <c r="D3013" s="13">
        <v>7896022200251</v>
      </c>
    </row>
    <row r="3014" spans="1:4">
      <c r="A3014" s="10" t="s">
        <v>3683</v>
      </c>
      <c r="B3014" s="17" t="s">
        <v>2640</v>
      </c>
      <c r="C3014" s="16" t="s">
        <v>3685</v>
      </c>
      <c r="D3014" s="13">
        <v>7898234850019</v>
      </c>
    </row>
    <row r="3015" spans="1:4">
      <c r="A3015" s="10" t="s">
        <v>3688</v>
      </c>
      <c r="B3015" s="17" t="s">
        <v>2299</v>
      </c>
      <c r="C3015" s="16" t="s">
        <v>3688</v>
      </c>
      <c r="D3015" s="13">
        <v>99547</v>
      </c>
    </row>
    <row r="3016" spans="1:4">
      <c r="A3016" s="10" t="s">
        <v>3689</v>
      </c>
      <c r="B3016" s="17" t="s">
        <v>2299</v>
      </c>
      <c r="C3016" s="16" t="s">
        <v>3689</v>
      </c>
      <c r="D3016" s="13">
        <v>98571</v>
      </c>
    </row>
    <row r="3017" spans="1:4">
      <c r="A3017" s="10" t="s">
        <v>3690</v>
      </c>
      <c r="B3017" s="17" t="s">
        <v>2299</v>
      </c>
      <c r="C3017" s="16" t="s">
        <v>3690</v>
      </c>
      <c r="D3017" s="13">
        <v>99912</v>
      </c>
    </row>
    <row r="3018" spans="1:4">
      <c r="A3018" s="70" t="s">
        <v>3692</v>
      </c>
      <c r="B3018" s="17" t="s">
        <v>2283</v>
      </c>
      <c r="C3018" s="16" t="s">
        <v>979</v>
      </c>
      <c r="D3018" s="13">
        <v>80432400432</v>
      </c>
    </row>
    <row r="3019" spans="1:4">
      <c r="A3019" s="70" t="s">
        <v>3691</v>
      </c>
      <c r="B3019" s="17" t="s">
        <v>2283</v>
      </c>
      <c r="C3019" s="16" t="s">
        <v>3693</v>
      </c>
      <c r="D3019" s="13">
        <v>7898915949957</v>
      </c>
    </row>
    <row r="3020" spans="1:4">
      <c r="A3020" s="70" t="s">
        <v>3694</v>
      </c>
      <c r="B3020" s="17" t="s">
        <v>2288</v>
      </c>
      <c r="C3020" s="16" t="s">
        <v>245</v>
      </c>
      <c r="D3020" s="13">
        <v>7898067340503</v>
      </c>
    </row>
    <row r="3021" spans="1:4">
      <c r="A3021" s="70" t="s">
        <v>3694</v>
      </c>
      <c r="B3021" s="17" t="s">
        <v>2288</v>
      </c>
      <c r="C3021" s="16" t="s">
        <v>246</v>
      </c>
      <c r="D3021" s="13">
        <v>7898067340404</v>
      </c>
    </row>
    <row r="3022" spans="1:4">
      <c r="A3022" s="70" t="s">
        <v>3695</v>
      </c>
      <c r="B3022" s="13" t="s">
        <v>2288</v>
      </c>
      <c r="C3022" s="16" t="s">
        <v>2753</v>
      </c>
      <c r="D3022" s="13">
        <v>7898337980064</v>
      </c>
    </row>
    <row r="3023" spans="1:4">
      <c r="A3023" s="70" t="s">
        <v>3696</v>
      </c>
      <c r="B3023" s="17" t="s">
        <v>2283</v>
      </c>
      <c r="C3023" s="16" t="s">
        <v>1869</v>
      </c>
      <c r="D3023" s="13">
        <v>8001929136377</v>
      </c>
    </row>
    <row r="3024" spans="1:4">
      <c r="A3024" s="70" t="s">
        <v>3696</v>
      </c>
      <c r="B3024" s="17" t="s">
        <v>2283</v>
      </c>
      <c r="C3024" s="16" t="s">
        <v>1871</v>
      </c>
      <c r="D3024" s="13">
        <v>8001929136353</v>
      </c>
    </row>
    <row r="3025" spans="1:4">
      <c r="A3025" s="70" t="s">
        <v>3697</v>
      </c>
      <c r="B3025" s="13" t="s">
        <v>2288</v>
      </c>
      <c r="C3025" s="16" t="s">
        <v>3581</v>
      </c>
      <c r="D3025" s="13">
        <v>7896625211401</v>
      </c>
    </row>
    <row r="3026" spans="1:4">
      <c r="A3026" s="10" t="s">
        <v>3698</v>
      </c>
      <c r="B3026" s="13" t="s">
        <v>2281</v>
      </c>
      <c r="C3026" s="16" t="s">
        <v>3701</v>
      </c>
      <c r="D3026" s="13">
        <v>7861002900117</v>
      </c>
    </row>
    <row r="3027" spans="1:4">
      <c r="A3027" s="70" t="s">
        <v>3700</v>
      </c>
      <c r="B3027" s="17" t="s">
        <v>2288</v>
      </c>
      <c r="C3027" s="16" t="s">
        <v>1786</v>
      </c>
      <c r="D3027" s="13">
        <v>7896353301184</v>
      </c>
    </row>
    <row r="3028" spans="1:4">
      <c r="A3028" s="70" t="s">
        <v>3700</v>
      </c>
      <c r="B3028" s="17" t="s">
        <v>2288</v>
      </c>
      <c r="C3028" s="16" t="s">
        <v>3512</v>
      </c>
      <c r="D3028" s="13">
        <v>7896353300187</v>
      </c>
    </row>
    <row r="3029" spans="1:4">
      <c r="A3029" s="70" t="s">
        <v>3702</v>
      </c>
      <c r="B3029" s="13" t="s">
        <v>2288</v>
      </c>
      <c r="C3029" s="16" t="s">
        <v>3703</v>
      </c>
      <c r="D3029" s="13">
        <v>7891025121916</v>
      </c>
    </row>
    <row r="3030" spans="1:4">
      <c r="A3030" s="70" t="s">
        <v>3702</v>
      </c>
      <c r="B3030" s="13" t="s">
        <v>2288</v>
      </c>
      <c r="C3030" s="16" t="s">
        <v>3704</v>
      </c>
      <c r="D3030" s="13">
        <v>7891025121923</v>
      </c>
    </row>
    <row r="3031" spans="1:4">
      <c r="A3031" s="70" t="s">
        <v>3705</v>
      </c>
      <c r="B3031" s="13" t="s">
        <v>2282</v>
      </c>
      <c r="C3031" s="16" t="s">
        <v>3705</v>
      </c>
      <c r="D3031" s="13">
        <v>98212</v>
      </c>
    </row>
    <row r="3032" spans="1:4">
      <c r="A3032" s="70" t="s">
        <v>3706</v>
      </c>
      <c r="B3032" s="13" t="s">
        <v>2282</v>
      </c>
      <c r="C3032" s="16" t="s">
        <v>3710</v>
      </c>
      <c r="D3032" s="13">
        <v>7894904500116</v>
      </c>
    </row>
    <row r="3033" spans="1:4">
      <c r="A3033" s="70" t="s">
        <v>3707</v>
      </c>
      <c r="B3033" s="13" t="s">
        <v>2282</v>
      </c>
      <c r="C3033" s="16" t="s">
        <v>858</v>
      </c>
      <c r="D3033" s="13">
        <v>7894904082704</v>
      </c>
    </row>
    <row r="3034" spans="1:4">
      <c r="A3034" s="70" t="s">
        <v>3709</v>
      </c>
      <c r="B3034" s="13" t="s">
        <v>2288</v>
      </c>
      <c r="C3034" s="16" t="s">
        <v>3711</v>
      </c>
      <c r="D3034" s="13">
        <v>7896862003296</v>
      </c>
    </row>
    <row r="3035" spans="1:4">
      <c r="A3035" s="70" t="s">
        <v>3709</v>
      </c>
      <c r="B3035" s="13" t="s">
        <v>2288</v>
      </c>
      <c r="C3035" s="16" t="s">
        <v>3712</v>
      </c>
      <c r="D3035" s="13">
        <v>7896862002572</v>
      </c>
    </row>
    <row r="3036" spans="1:4">
      <c r="A3036" s="70" t="s">
        <v>3709</v>
      </c>
      <c r="B3036" s="13" t="s">
        <v>2288</v>
      </c>
      <c r="C3036" s="16" t="s">
        <v>3713</v>
      </c>
      <c r="D3036" s="13">
        <v>7896862002602</v>
      </c>
    </row>
    <row r="3037" spans="1:4">
      <c r="A3037" s="70" t="s">
        <v>3709</v>
      </c>
      <c r="B3037" s="13" t="s">
        <v>2288</v>
      </c>
      <c r="C3037" s="16" t="s">
        <v>3714</v>
      </c>
      <c r="D3037" s="13">
        <v>7896862003340</v>
      </c>
    </row>
    <row r="3038" spans="1:4">
      <c r="A3038" s="70" t="s">
        <v>3709</v>
      </c>
      <c r="B3038" s="13" t="s">
        <v>2288</v>
      </c>
      <c r="C3038" s="16" t="s">
        <v>3715</v>
      </c>
      <c r="D3038" s="13">
        <v>7896862002596</v>
      </c>
    </row>
    <row r="3039" spans="1:4">
      <c r="A3039" s="70" t="s">
        <v>3709</v>
      </c>
      <c r="B3039" s="13" t="s">
        <v>2288</v>
      </c>
      <c r="C3039" s="16" t="s">
        <v>3716</v>
      </c>
      <c r="D3039" s="13">
        <v>7896862002589</v>
      </c>
    </row>
    <row r="3040" spans="1:4">
      <c r="A3040" s="70" t="s">
        <v>3708</v>
      </c>
      <c r="B3040" s="13" t="s">
        <v>2288</v>
      </c>
      <c r="C3040" s="16" t="s">
        <v>3717</v>
      </c>
      <c r="D3040" s="13">
        <v>7898036493575</v>
      </c>
    </row>
    <row r="3041" spans="1:4">
      <c r="A3041" s="70" t="s">
        <v>3708</v>
      </c>
      <c r="B3041" s="13" t="s">
        <v>2288</v>
      </c>
      <c r="C3041" s="16" t="s">
        <v>3718</v>
      </c>
      <c r="D3041" s="13">
        <v>7898036494480</v>
      </c>
    </row>
    <row r="3042" spans="1:4">
      <c r="A3042" s="70" t="s">
        <v>3708</v>
      </c>
      <c r="B3042" s="13" t="s">
        <v>2288</v>
      </c>
      <c r="C3042" s="16" t="s">
        <v>3719</v>
      </c>
      <c r="D3042" s="13">
        <v>7898036493872</v>
      </c>
    </row>
    <row r="3043" spans="1:4">
      <c r="A3043" s="70" t="s">
        <v>3708</v>
      </c>
      <c r="B3043" s="13" t="s">
        <v>2288</v>
      </c>
      <c r="C3043" s="16" t="s">
        <v>3720</v>
      </c>
      <c r="D3043" s="13">
        <v>7898036494428</v>
      </c>
    </row>
    <row r="3044" spans="1:4">
      <c r="A3044" s="70" t="s">
        <v>3708</v>
      </c>
      <c r="B3044" s="13" t="s">
        <v>2288</v>
      </c>
      <c r="C3044" s="16" t="s">
        <v>3721</v>
      </c>
      <c r="D3044" s="13">
        <v>7898036493391</v>
      </c>
    </row>
    <row r="3045" spans="1:4">
      <c r="A3045" s="70" t="s">
        <v>3722</v>
      </c>
      <c r="B3045" s="13" t="s">
        <v>2299</v>
      </c>
      <c r="C3045" s="16" t="s">
        <v>3722</v>
      </c>
      <c r="D3045" s="13">
        <v>98281</v>
      </c>
    </row>
    <row r="3046" spans="1:4">
      <c r="A3046" s="70" t="s">
        <v>3724</v>
      </c>
      <c r="B3046" s="13" t="s">
        <v>2281</v>
      </c>
      <c r="C3046" s="16" t="s">
        <v>3725</v>
      </c>
      <c r="D3046" s="13">
        <v>7896569400534</v>
      </c>
    </row>
    <row r="3047" spans="1:4">
      <c r="A3047" s="70" t="s">
        <v>3723</v>
      </c>
      <c r="B3047" s="13" t="s">
        <v>2286</v>
      </c>
      <c r="C3047" s="16" t="s">
        <v>3726</v>
      </c>
      <c r="D3047" s="13">
        <v>7896040706186</v>
      </c>
    </row>
    <row r="3048" spans="1:4">
      <c r="A3048" s="70" t="s">
        <v>3733</v>
      </c>
      <c r="B3048" s="13" t="s">
        <v>2288</v>
      </c>
      <c r="C3048" s="16" t="s">
        <v>3727</v>
      </c>
      <c r="D3048" s="13">
        <v>7898206020235</v>
      </c>
    </row>
    <row r="3049" spans="1:4">
      <c r="A3049" s="70" t="s">
        <v>3733</v>
      </c>
      <c r="B3049" s="13" t="s">
        <v>2288</v>
      </c>
      <c r="C3049" s="16" t="s">
        <v>3728</v>
      </c>
      <c r="D3049" s="13">
        <v>7898206020419</v>
      </c>
    </row>
    <row r="3050" spans="1:4">
      <c r="A3050" s="70" t="s">
        <v>3733</v>
      </c>
      <c r="B3050" s="13" t="s">
        <v>2288</v>
      </c>
      <c r="C3050" s="16" t="s">
        <v>3729</v>
      </c>
      <c r="D3050" s="13">
        <v>7898206020259</v>
      </c>
    </row>
    <row r="3051" spans="1:4">
      <c r="A3051" s="70" t="s">
        <v>3733</v>
      </c>
      <c r="B3051" s="13" t="s">
        <v>2288</v>
      </c>
      <c r="C3051" s="16" t="s">
        <v>3730</v>
      </c>
      <c r="D3051" s="13">
        <v>7898206020273</v>
      </c>
    </row>
    <row r="3052" spans="1:4">
      <c r="A3052" s="70" t="s">
        <v>3733</v>
      </c>
      <c r="B3052" s="13" t="s">
        <v>2288</v>
      </c>
      <c r="C3052" s="16" t="s">
        <v>3731</v>
      </c>
      <c r="D3052" s="13">
        <v>7898206020297</v>
      </c>
    </row>
    <row r="3053" spans="1:4">
      <c r="A3053" s="70" t="s">
        <v>3733</v>
      </c>
      <c r="B3053" s="13" t="s">
        <v>2288</v>
      </c>
      <c r="C3053" s="16" t="s">
        <v>3732</v>
      </c>
      <c r="D3053" s="13">
        <v>7898206020310</v>
      </c>
    </row>
    <row r="3054" spans="1:4">
      <c r="A3054" s="70" t="s">
        <v>3734</v>
      </c>
      <c r="B3054" s="13" t="s">
        <v>2281</v>
      </c>
      <c r="C3054" s="16" t="s">
        <v>3735</v>
      </c>
      <c r="D3054" s="13">
        <v>7896569400831</v>
      </c>
    </row>
    <row r="3055" spans="1:4">
      <c r="A3055" s="70" t="s">
        <v>3736</v>
      </c>
      <c r="B3055" s="13" t="s">
        <v>2283</v>
      </c>
      <c r="C3055" s="16" t="s">
        <v>3737</v>
      </c>
      <c r="D3055" s="13">
        <v>7891991307345</v>
      </c>
    </row>
    <row r="3056" spans="1:4">
      <c r="A3056" s="70" t="s">
        <v>3738</v>
      </c>
      <c r="B3056" s="13" t="s">
        <v>2299</v>
      </c>
      <c r="C3056" s="16" t="s">
        <v>3738</v>
      </c>
      <c r="D3056" s="13">
        <v>99905</v>
      </c>
    </row>
    <row r="3057" spans="1:4" ht="30">
      <c r="A3057" s="70" t="s">
        <v>3741</v>
      </c>
      <c r="B3057" s="13" t="s">
        <v>2283</v>
      </c>
      <c r="C3057" s="16" t="s">
        <v>3362</v>
      </c>
      <c r="D3057" s="13">
        <v>7891991307338</v>
      </c>
    </row>
    <row r="3058" spans="1:4" ht="30">
      <c r="A3058" s="70" t="s">
        <v>3742</v>
      </c>
      <c r="B3058" s="13" t="s">
        <v>2283</v>
      </c>
      <c r="C3058" s="16" t="s">
        <v>3743</v>
      </c>
      <c r="D3058" s="13">
        <v>7891991002141</v>
      </c>
    </row>
    <row r="3059" spans="1:4">
      <c r="A3059" s="70" t="s">
        <v>3740</v>
      </c>
      <c r="B3059" s="13" t="s">
        <v>2285</v>
      </c>
      <c r="C3059" s="16" t="s">
        <v>3744</v>
      </c>
      <c r="D3059" s="13">
        <v>7896301802923</v>
      </c>
    </row>
    <row r="3060" spans="1:4">
      <c r="A3060" s="70" t="s">
        <v>3746</v>
      </c>
      <c r="B3060" s="13" t="s">
        <v>2640</v>
      </c>
      <c r="C3060" s="16" t="s">
        <v>3745</v>
      </c>
      <c r="D3060" s="13">
        <v>7896102504163</v>
      </c>
    </row>
    <row r="3061" spans="1:4" ht="30">
      <c r="A3061" s="70" t="s">
        <v>3748</v>
      </c>
      <c r="B3061" s="13" t="s">
        <v>2283</v>
      </c>
      <c r="C3061" s="16" t="s">
        <v>3737</v>
      </c>
      <c r="D3061" s="13">
        <v>7891991307345</v>
      </c>
    </row>
    <row r="3062" spans="1:4">
      <c r="A3062" s="70" t="s">
        <v>3747</v>
      </c>
      <c r="B3062" s="13" t="s">
        <v>2282</v>
      </c>
      <c r="C3062" s="16" t="s">
        <v>3750</v>
      </c>
      <c r="D3062" s="13">
        <v>98298</v>
      </c>
    </row>
    <row r="3063" spans="1:4">
      <c r="A3063" s="70" t="s">
        <v>3749</v>
      </c>
      <c r="B3063" s="13" t="s">
        <v>2281</v>
      </c>
      <c r="C3063" s="16" t="s">
        <v>3751</v>
      </c>
      <c r="D3063" s="13">
        <v>7891000457467</v>
      </c>
    </row>
    <row r="3064" spans="1:4">
      <c r="A3064" s="70" t="s">
        <v>3759</v>
      </c>
      <c r="B3064" s="13" t="s">
        <v>2640</v>
      </c>
      <c r="C3064" s="16" t="s">
        <v>3760</v>
      </c>
      <c r="D3064" s="13">
        <v>5601397010419</v>
      </c>
    </row>
    <row r="3065" spans="1:4">
      <c r="A3065" s="10" t="s">
        <v>3752</v>
      </c>
      <c r="B3065" s="13" t="s">
        <v>2282</v>
      </c>
      <c r="C3065" s="16" t="s">
        <v>3761</v>
      </c>
      <c r="D3065" s="13">
        <v>98168</v>
      </c>
    </row>
    <row r="3066" spans="1:4">
      <c r="A3066" s="10" t="s">
        <v>3753</v>
      </c>
      <c r="B3066" s="13" t="s">
        <v>2285</v>
      </c>
      <c r="C3066" s="16" t="s">
        <v>3762</v>
      </c>
      <c r="D3066" s="13">
        <v>7896012879665</v>
      </c>
    </row>
    <row r="3067" spans="1:4">
      <c r="A3067" s="10" t="s">
        <v>3753</v>
      </c>
      <c r="B3067" s="13" t="s">
        <v>2285</v>
      </c>
      <c r="C3067" s="16" t="s">
        <v>3763</v>
      </c>
      <c r="D3067" s="13">
        <v>7896012879658</v>
      </c>
    </row>
    <row r="3068" spans="1:4">
      <c r="A3068" s="10" t="s">
        <v>3754</v>
      </c>
      <c r="B3068" s="13" t="s">
        <v>2287</v>
      </c>
      <c r="C3068" s="16" t="s">
        <v>3764</v>
      </c>
      <c r="D3068" s="13">
        <v>7900204481670</v>
      </c>
    </row>
    <row r="3069" spans="1:4">
      <c r="A3069" s="10" t="s">
        <v>3755</v>
      </c>
      <c r="B3069" s="13" t="s">
        <v>2287</v>
      </c>
      <c r="C3069" s="16" t="s">
        <v>3765</v>
      </c>
      <c r="D3069" s="13">
        <v>7891155040729</v>
      </c>
    </row>
    <row r="3070" spans="1:4">
      <c r="A3070" s="10" t="s">
        <v>3756</v>
      </c>
      <c r="B3070" s="13" t="s">
        <v>2287</v>
      </c>
      <c r="C3070" s="16" t="s">
        <v>3766</v>
      </c>
      <c r="D3070" s="13">
        <v>7891155087441</v>
      </c>
    </row>
    <row r="3071" spans="1:4">
      <c r="A3071" s="10" t="s">
        <v>3757</v>
      </c>
      <c r="B3071" s="13" t="s">
        <v>2287</v>
      </c>
      <c r="C3071" s="16" t="s">
        <v>3767</v>
      </c>
      <c r="D3071" s="13">
        <v>7891155046998</v>
      </c>
    </row>
    <row r="3072" spans="1:4">
      <c r="A3072" s="10" t="s">
        <v>3758</v>
      </c>
      <c r="B3072" s="13" t="s">
        <v>2287</v>
      </c>
      <c r="C3072" s="16" t="s">
        <v>3768</v>
      </c>
      <c r="D3072" s="13">
        <v>7897753673406</v>
      </c>
    </row>
    <row r="3073" spans="1:4">
      <c r="A3073" s="10" t="s">
        <v>3691</v>
      </c>
      <c r="B3073" s="13" t="s">
        <v>2283</v>
      </c>
      <c r="C3073" s="16" t="s">
        <v>3769</v>
      </c>
      <c r="D3073" s="13">
        <v>17898915949954</v>
      </c>
    </row>
    <row r="3074" spans="1:4">
      <c r="A3074" s="70" t="s">
        <v>3770</v>
      </c>
      <c r="B3074" s="17" t="s">
        <v>2299</v>
      </c>
      <c r="C3074" s="16" t="s">
        <v>3770</v>
      </c>
      <c r="D3074" s="13">
        <v>97888</v>
      </c>
    </row>
    <row r="3075" spans="1:4">
      <c r="A3075" s="70" t="s">
        <v>3771</v>
      </c>
      <c r="B3075" s="13" t="s">
        <v>2283</v>
      </c>
      <c r="C3075" s="16" t="s">
        <v>3772</v>
      </c>
      <c r="D3075" s="13">
        <v>7898386200083</v>
      </c>
    </row>
    <row r="3076" spans="1:4">
      <c r="A3076" s="70" t="s">
        <v>3774</v>
      </c>
      <c r="B3076" s="17" t="s">
        <v>2288</v>
      </c>
      <c r="C3076" s="16" t="s">
        <v>1889</v>
      </c>
      <c r="D3076" s="13">
        <v>7897195981374</v>
      </c>
    </row>
    <row r="3077" spans="1:4">
      <c r="A3077" s="70" t="s">
        <v>3774</v>
      </c>
      <c r="B3077" s="17" t="s">
        <v>2288</v>
      </c>
      <c r="C3077" s="16" t="s">
        <v>3777</v>
      </c>
      <c r="D3077" s="13">
        <v>7897195981343</v>
      </c>
    </row>
    <row r="3078" spans="1:4">
      <c r="A3078" s="10" t="s">
        <v>3773</v>
      </c>
      <c r="B3078" s="17" t="s">
        <v>2285</v>
      </c>
      <c r="C3078" s="16" t="s">
        <v>3776</v>
      </c>
      <c r="D3078" s="13">
        <v>7896061900174</v>
      </c>
    </row>
    <row r="3079" spans="1:4">
      <c r="A3079" s="70" t="s">
        <v>3775</v>
      </c>
      <c r="B3079" s="13" t="s">
        <v>2280</v>
      </c>
      <c r="C3079" s="16" t="s">
        <v>3778</v>
      </c>
      <c r="D3079" s="13">
        <v>7896022200169</v>
      </c>
    </row>
    <row r="3080" spans="1:4">
      <c r="A3080" s="70" t="s">
        <v>3775</v>
      </c>
      <c r="B3080" s="13" t="s">
        <v>2280</v>
      </c>
      <c r="C3080" s="16" t="s">
        <v>3780</v>
      </c>
      <c r="D3080" s="13">
        <v>7896022200220</v>
      </c>
    </row>
    <row r="3081" spans="1:4">
      <c r="A3081" s="70" t="s">
        <v>3775</v>
      </c>
      <c r="B3081" s="13" t="s">
        <v>2280</v>
      </c>
      <c r="C3081" s="16" t="s">
        <v>3779</v>
      </c>
      <c r="D3081" s="13">
        <v>7896022200145</v>
      </c>
    </row>
    <row r="3082" spans="1:4">
      <c r="A3082" s="70" t="s">
        <v>3775</v>
      </c>
      <c r="B3082" s="13" t="s">
        <v>2280</v>
      </c>
      <c r="C3082" s="16" t="s">
        <v>3781</v>
      </c>
      <c r="D3082" s="13">
        <v>7896022204846</v>
      </c>
    </row>
    <row r="3083" spans="1:4">
      <c r="A3083" s="70" t="s">
        <v>3775</v>
      </c>
      <c r="B3083" s="13" t="s">
        <v>2280</v>
      </c>
      <c r="C3083" s="16" t="s">
        <v>3782</v>
      </c>
      <c r="D3083" s="13">
        <v>7896022200282</v>
      </c>
    </row>
    <row r="3084" spans="1:4">
      <c r="A3084" s="70" t="s">
        <v>3775</v>
      </c>
      <c r="B3084" s="13" t="s">
        <v>2280</v>
      </c>
      <c r="C3084" s="16" t="s">
        <v>3783</v>
      </c>
      <c r="D3084" s="13">
        <v>7896022200275</v>
      </c>
    </row>
    <row r="3085" spans="1:4">
      <c r="A3085" s="70" t="s">
        <v>3775</v>
      </c>
      <c r="B3085" s="13" t="s">
        <v>2280</v>
      </c>
      <c r="C3085" s="16" t="s">
        <v>3784</v>
      </c>
      <c r="D3085" s="13">
        <v>7896022204853</v>
      </c>
    </row>
    <row r="3086" spans="1:4">
      <c r="A3086" s="70" t="s">
        <v>3775</v>
      </c>
      <c r="B3086" s="13" t="s">
        <v>2280</v>
      </c>
      <c r="C3086" s="16" t="s">
        <v>3785</v>
      </c>
      <c r="D3086" s="13">
        <v>7896022200268</v>
      </c>
    </row>
    <row r="3087" spans="1:4">
      <c r="A3087" s="70" t="s">
        <v>3775</v>
      </c>
      <c r="B3087" s="13" t="s">
        <v>2280</v>
      </c>
      <c r="C3087" s="16" t="s">
        <v>3786</v>
      </c>
      <c r="D3087" s="13">
        <v>7896022200299</v>
      </c>
    </row>
    <row r="3088" spans="1:4">
      <c r="A3088" s="70" t="s">
        <v>3775</v>
      </c>
      <c r="B3088" s="13" t="s">
        <v>2280</v>
      </c>
      <c r="C3088" s="16" t="s">
        <v>3787</v>
      </c>
      <c r="D3088" s="13">
        <v>7896022203610</v>
      </c>
    </row>
    <row r="3089" spans="1:4">
      <c r="A3089" s="70" t="s">
        <v>3775</v>
      </c>
      <c r="B3089" s="13" t="s">
        <v>2280</v>
      </c>
      <c r="C3089" s="16" t="s">
        <v>3788</v>
      </c>
      <c r="D3089" s="13">
        <v>7896022200176</v>
      </c>
    </row>
    <row r="3090" spans="1:4">
      <c r="A3090" s="70" t="s">
        <v>3775</v>
      </c>
      <c r="B3090" s="13" t="s">
        <v>2280</v>
      </c>
      <c r="C3090" s="16" t="s">
        <v>3789</v>
      </c>
      <c r="D3090" s="13">
        <v>7896022200152</v>
      </c>
    </row>
    <row r="3091" spans="1:4">
      <c r="A3091" s="70" t="s">
        <v>3775</v>
      </c>
      <c r="B3091" s="13" t="s">
        <v>2280</v>
      </c>
      <c r="C3091" s="16" t="s">
        <v>3790</v>
      </c>
      <c r="D3091" s="13">
        <v>7896022205478</v>
      </c>
    </row>
    <row r="3092" spans="1:4">
      <c r="A3092" s="70" t="s">
        <v>3775</v>
      </c>
      <c r="B3092" s="13" t="s">
        <v>2280</v>
      </c>
      <c r="C3092" s="16" t="s">
        <v>3791</v>
      </c>
      <c r="D3092" s="13">
        <v>7896022200206</v>
      </c>
    </row>
    <row r="3093" spans="1:4">
      <c r="A3093" s="70" t="s">
        <v>3775</v>
      </c>
      <c r="B3093" s="13" t="s">
        <v>2280</v>
      </c>
      <c r="C3093" s="16" t="s">
        <v>3792</v>
      </c>
      <c r="D3093" s="13">
        <v>7896022200213</v>
      </c>
    </row>
    <row r="3094" spans="1:4">
      <c r="A3094" s="10" t="s">
        <v>3773</v>
      </c>
      <c r="B3094" s="17" t="s">
        <v>2285</v>
      </c>
      <c r="C3094" s="16" t="s">
        <v>3776</v>
      </c>
      <c r="D3094" s="13">
        <v>7896061917608</v>
      </c>
    </row>
    <row r="3095" spans="1:4">
      <c r="A3095" s="10" t="s">
        <v>3793</v>
      </c>
      <c r="B3095" s="17" t="s">
        <v>2283</v>
      </c>
      <c r="C3095" s="16" t="s">
        <v>3794</v>
      </c>
      <c r="D3095" s="13">
        <v>7898132840396</v>
      </c>
    </row>
    <row r="3096" spans="1:4">
      <c r="A3096" s="10" t="s">
        <v>3793</v>
      </c>
      <c r="B3096" s="17" t="s">
        <v>2283</v>
      </c>
      <c r="C3096" s="16" t="s">
        <v>3795</v>
      </c>
      <c r="D3096" s="13">
        <v>7896005403914</v>
      </c>
    </row>
    <row r="3097" spans="1:4">
      <c r="A3097" s="10" t="s">
        <v>3793</v>
      </c>
      <c r="B3097" s="17" t="s">
        <v>2283</v>
      </c>
      <c r="C3097" s="16" t="s">
        <v>3796</v>
      </c>
      <c r="D3097" s="13">
        <v>7896005403921</v>
      </c>
    </row>
    <row r="3098" spans="1:4">
      <c r="A3098" s="10" t="s">
        <v>3793</v>
      </c>
      <c r="B3098" s="17" t="s">
        <v>2283</v>
      </c>
      <c r="C3098" s="16" t="s">
        <v>3797</v>
      </c>
      <c r="D3098" s="13">
        <v>7896005403907</v>
      </c>
    </row>
    <row r="3099" spans="1:4">
      <c r="A3099" s="10" t="s">
        <v>3798</v>
      </c>
      <c r="B3099" s="17" t="s">
        <v>2283</v>
      </c>
      <c r="C3099" s="16" t="s">
        <v>3799</v>
      </c>
      <c r="D3099" s="13">
        <v>7897123883220</v>
      </c>
    </row>
    <row r="3100" spans="1:4">
      <c r="A3100" s="10" t="s">
        <v>3801</v>
      </c>
      <c r="B3100" s="17" t="s">
        <v>2299</v>
      </c>
      <c r="C3100" s="16" t="s">
        <v>3801</v>
      </c>
      <c r="D3100" s="13">
        <v>98120</v>
      </c>
    </row>
    <row r="3101" spans="1:4">
      <c r="A3101" s="70" t="s">
        <v>3809</v>
      </c>
      <c r="B3101" s="17" t="s">
        <v>2282</v>
      </c>
      <c r="C3101" s="16" t="s">
        <v>893</v>
      </c>
      <c r="D3101" s="13">
        <v>7893000949355</v>
      </c>
    </row>
    <row r="3102" spans="1:4">
      <c r="A3102" s="70" t="s">
        <v>3807</v>
      </c>
      <c r="B3102" s="17" t="s">
        <v>2288</v>
      </c>
      <c r="C3102" s="16" t="s">
        <v>3810</v>
      </c>
      <c r="D3102" s="13">
        <v>7896077600037</v>
      </c>
    </row>
  </sheetData>
  <protectedRanges>
    <protectedRange sqref="C496" name="Intervalo1_39_2"/>
    <protectedRange sqref="A2140" name="Intervalo1_24_2"/>
    <protectedRange sqref="A2141" name="Intervalo1_28_2"/>
    <protectedRange sqref="A2156" name="Intervalo1_27_2"/>
    <protectedRange sqref="A2093" name="Intervalo1_29_2"/>
    <protectedRange sqref="C2840:D2840 A1976" name="Intervalo1"/>
    <protectedRange sqref="A1977" name="Intervalo1_1"/>
    <protectedRange sqref="A1978" name="Intervalo1_2"/>
    <protectedRange sqref="A1979" name="Intervalo1_3"/>
    <protectedRange sqref="A1980" name="Intervalo1_4"/>
    <protectedRange sqref="A2179" name="Intervalo1_1_2"/>
    <protectedRange sqref="A2206" name="Intervalo1_2_2"/>
    <protectedRange sqref="A2208" name="Intervalo1_2_3"/>
    <protectedRange sqref="A604" name="Intervalo1_5"/>
    <protectedRange sqref="A605" name="Intervalo1_6"/>
    <protectedRange sqref="A606" name="Intervalo1_7"/>
    <protectedRange sqref="A607" name="Intervalo1_8"/>
    <protectedRange sqref="A2256" name="Intervalo1_9"/>
    <protectedRange sqref="C548:D549 C553:D553" name="Intervalo1_10"/>
    <protectedRange sqref="A2262" name="Intervalo1_11"/>
    <protectedRange sqref="C2262:D2262" name="Intervalo1_12"/>
    <protectedRange sqref="A2244 A413:A414" name="Intervalo1_15"/>
    <protectedRange sqref="C2284:D2284" name="Intervalo1_13"/>
    <protectedRange sqref="A2288" name="Intervalo1_14"/>
    <protectedRange sqref="A2289" name="Intervalo1_16"/>
    <protectedRange sqref="A2290" name="Intervalo1_17"/>
    <protectedRange sqref="A2291" name="Intervalo1_18"/>
    <protectedRange sqref="A2780 A2296 A2977" name="Intervalo1_19"/>
    <protectedRange sqref="C2285:D2285" name="Intervalo1_20"/>
    <protectedRange sqref="A2297" name="Intervalo1_21"/>
    <protectedRange sqref="A2310:A2311" name="Intervalo1_22"/>
    <protectedRange sqref="A2313" name="Intervalo1_23"/>
    <protectedRange sqref="A2331:A2335 A2319:A2320" name="Intervalo1_24"/>
    <protectedRange sqref="A2321" name="Intervalo1_25"/>
    <protectedRange sqref="A2336:A2337 A2322 A3022" name="Intervalo1_26"/>
    <protectedRange sqref="A2323" name="Intervalo1_27"/>
    <protectedRange sqref="A2324" name="Intervalo1_28"/>
    <protectedRange sqref="A2348:A2350" name="Intervalo1_31"/>
    <protectedRange sqref="A2351" name="Intervalo1_32"/>
    <protectedRange sqref="A2352" name="Intervalo1_33"/>
    <protectedRange sqref="A2358" name="Intervalo1_34"/>
    <protectedRange sqref="A2359" name="Intervalo1_35"/>
    <protectedRange sqref="A805" name="Intervalo1_36"/>
    <protectedRange sqref="A806" name="Intervalo1_37"/>
    <protectedRange sqref="A2387" name="Intervalo1_38"/>
    <protectedRange sqref="A2400:A2405" name="Intervalo1_39"/>
    <protectedRange sqref="C2402" name="Intervalo1_40"/>
    <protectedRange sqref="A84" name="Intervalo1_41"/>
    <protectedRange sqref="A85" name="Intervalo1_42"/>
    <protectedRange sqref="A86" name="Intervalo1_43"/>
    <protectedRange sqref="A2378:A2381" name="Intervalo1_44"/>
    <protectedRange sqref="D505" name="Intervalo1_45"/>
    <protectedRange sqref="A2424" name="Intervalo1_46"/>
    <protectedRange sqref="D2428" name="Intervalo1_48"/>
    <protectedRange sqref="C2427:D2427" name="Intervalo1_47"/>
    <protectedRange sqref="A2440" name="Intervalo1_49"/>
    <protectedRange sqref="A2461" name="Intervalo1_50"/>
    <protectedRange sqref="A2462:A2466" name="Intervalo1_51"/>
    <protectedRange sqref="C1889:D1889" name="Intervalo1_52"/>
    <protectedRange sqref="A2478" name="Intervalo1_53"/>
    <protectedRange sqref="A2479" name="Intervalo1_54"/>
    <protectedRange sqref="A2480" name="Intervalo1_55"/>
    <protectedRange sqref="A2484" name="Intervalo1_56"/>
    <protectedRange sqref="A2485" name="Intervalo1_57"/>
    <protectedRange sqref="C550:D552" name="Intervalo1_58"/>
    <protectedRange sqref="A428" name="Intervalo1_59"/>
    <protectedRange sqref="A429" name="Intervalo1_60"/>
    <protectedRange sqref="A2505" name="Intervalo1_61"/>
    <protectedRange sqref="A2509" name="Intervalo1_62"/>
    <protectedRange sqref="C2512" name="Intervalo1_63"/>
    <protectedRange sqref="A2522:A2526" name="Intervalo1_64"/>
    <protectedRange sqref="A2527:A2528" name="Intervalo1_65"/>
    <protectedRange sqref="A2544" name="Intervalo1_69"/>
    <protectedRange sqref="A100" name="Intervalo1_66"/>
    <protectedRange sqref="A2546" name="Intervalo1_67"/>
    <protectedRange sqref="A2548" name="Intervalo1_68"/>
    <protectedRange sqref="A2549" name="Intervalo1_70"/>
    <protectedRange sqref="C2569:D2569" name="Intervalo1_71"/>
    <protectedRange sqref="A2570:A2574" name="Intervalo1_72"/>
    <protectedRange sqref="A1806" name="Intervalo1_78"/>
    <protectedRange sqref="A2598:A2601" name="Intervalo1_73"/>
    <protectedRange sqref="A2602" name="Intervalo1_74"/>
    <protectedRange sqref="A2612" name="Intervalo1_77"/>
    <protectedRange sqref="A2615 A2613" name="Intervalo1_79"/>
    <protectedRange sqref="A2591" name="Intervalo1_80"/>
    <protectedRange sqref="A2592" name="Intervalo1_81"/>
    <protectedRange sqref="A2618" name="Intervalo1_76"/>
    <protectedRange sqref="A2631" name="Intervalo1_29"/>
    <protectedRange sqref="A2632 A2986" name="Intervalo1_75"/>
    <protectedRange sqref="A2633" name="Intervalo1_82"/>
    <protectedRange sqref="A2636:A2639" name="Intervalo1_3_2"/>
    <protectedRange sqref="A2667" name="Intervalo1_84"/>
    <protectedRange sqref="A2668:A2669" name="Intervalo1_85"/>
    <protectedRange sqref="C2671:D2671 C2673:D2676 C2672" name="Intervalo1_2_4"/>
    <protectedRange sqref="D2672" name="Intervalo1_2_5"/>
    <protectedRange sqref="A2677" name="Intervalo1_83"/>
    <protectedRange sqref="A2681" name="Intervalo1_1_1"/>
    <protectedRange sqref="A2688" name="Intervalo1_86"/>
    <protectedRange sqref="A2689:A2690" name="Intervalo1_87"/>
    <protectedRange sqref="A2697:A2698" name="Intervalo1_1_3"/>
    <protectedRange sqref="A2699:A2700" name="Intervalo1_1_4"/>
    <protectedRange sqref="A2733" name="Intervalo1_1_5"/>
    <protectedRange sqref="A2744:A2745" name="Intervalo1_30"/>
    <protectedRange sqref="A2752" name="Intervalo1_1_6"/>
    <protectedRange sqref="A2753" name="Intervalo1_1_7"/>
    <protectedRange sqref="A2754" name="Intervalo1_1_8"/>
    <protectedRange sqref="A2759" name="Intervalo1_1_9"/>
    <protectedRange sqref="A2765" name="Intervalo1_88"/>
    <protectedRange sqref="A2766:A2767" name="Intervalo1_89"/>
    <protectedRange sqref="A2768:A2769" name="Intervalo1_90"/>
    <protectedRange sqref="A2770" name="Intervalo1_91"/>
    <protectedRange sqref="A2775" name="Intervalo1_93"/>
    <protectedRange sqref="A2786" name="Intervalo1_2_1"/>
    <protectedRange sqref="A2787:A2788" name="Intervalo1_2_6"/>
    <protectedRange sqref="A2807 A2799" name="Intervalo1_92"/>
    <protectedRange sqref="A2800:A2801" name="Intervalo1_94"/>
    <protectedRange sqref="C2806:D2806" name="Intervalo1_95"/>
    <protectedRange sqref="A2808 A2963" name="Intervalo1_2_7"/>
    <protectedRange sqref="A2819" name="Intervalo1_96"/>
    <protectedRange sqref="A2838" name="Intervalo1_98"/>
    <protectedRange sqref="A2839" name="Intervalo1_99"/>
    <protectedRange sqref="A2844" name="Intervalo1_3_3"/>
    <protectedRange sqref="A2845" name="Intervalo1_3_4"/>
    <protectedRange sqref="A2847" name="Intervalo1_3_1"/>
    <protectedRange sqref="A2857" name="Intervalo1_3_5"/>
    <protectedRange sqref="A2863" name="Intervalo1_3_6"/>
    <protectedRange sqref="A2864" name="Intervalo1_3_7"/>
    <protectedRange sqref="A689" name="Intervalo1_3_8"/>
    <protectedRange sqref="A2865 C2865" name="Intervalo1_3_9"/>
    <protectedRange sqref="A2866" name="Intervalo1_3_10"/>
    <protectedRange sqref="A2867:A2868 C2867:C2868" name="Intervalo1_3_11"/>
    <protectedRange sqref="A2869:A2887" name="Intervalo1_3_12"/>
    <protectedRange sqref="A2888" name="Intervalo1_3_13"/>
    <protectedRange sqref="A2889" name="Intervalo1_3_14"/>
    <protectedRange sqref="A2890" name="Intervalo1_3_15"/>
    <protectedRange sqref="A2891:A2894" name="Intervalo1_3_16"/>
    <protectedRange sqref="D2538" name="Intervalo1_3_17"/>
    <protectedRange sqref="A2898" name="Intervalo1_3_18"/>
    <protectedRange sqref="A2899" name="Intervalo1_3_20"/>
    <protectedRange sqref="A2900" name="Intervalo1_3_21"/>
    <protectedRange sqref="A2901:A2902" name="Intervalo1_3_22"/>
    <protectedRange sqref="C1028:D1028" name="Intervalo1_3_24"/>
    <protectedRange sqref="A2906:A2908" name="Intervalo1_3_19"/>
    <protectedRange sqref="A2909" name="Intervalo1_3_23"/>
    <protectedRange sqref="A2910" name="Intervalo1_3_25"/>
    <protectedRange sqref="A2911" name="Intervalo1_3_26"/>
    <protectedRange sqref="C2910 C3025" name="Intervalo1_3_27"/>
    <protectedRange sqref="A2912" name="Intervalo1_3_28"/>
    <protectedRange sqref="A2913" name="Intervalo1_3_29"/>
    <protectedRange sqref="A2914" name="Intervalo1_3_30"/>
    <protectedRange sqref="A2915" name="Intervalo1_3_31"/>
    <protectedRange sqref="A2916 A2918:A2919 A2928:A2929" name="Intervalo1_3_33"/>
    <protectedRange sqref="C2917:D2917" name="Intervalo1_3_32"/>
    <protectedRange sqref="A2923 A2949" name="Intervalo1_3_35"/>
    <protectedRange sqref="A2924 A2931" name="Intervalo1_3_36"/>
    <protectedRange sqref="C2928:C2929" name="Intervalo1_3_37"/>
    <protectedRange sqref="A2935" name="Intervalo1_3_40"/>
    <protectedRange sqref="A2936" name="Intervalo1_3_41"/>
    <protectedRange sqref="A2937:A2938 A2965:A2967" name="Intervalo1_3_42"/>
    <protectedRange sqref="D2928:D2929" name="Intervalo1_3_43"/>
    <protectedRange sqref="A2950 A2954" name="Intervalo1_3_34"/>
    <protectedRange sqref="A2957:A2959 A2964" name="Intervalo1_3_38"/>
    <protectedRange sqref="A2960" name="Intervalo1_3_39"/>
    <protectedRange sqref="C2966:D2966" name="Intervalo1_3_44"/>
    <protectedRange sqref="C2967:D2967" name="Intervalo1_3_45"/>
    <protectedRange sqref="C2968:D2969" name="Intervalo1_3_46"/>
    <protectedRange sqref="D2978" name="Intervalo1_3_47"/>
    <protectedRange sqref="C2998:D2998" name="Intervalo1_3_48"/>
    <protectedRange sqref="A3003" name="Intervalo1_3_49"/>
    <protectedRange sqref="A3004" name="Intervalo1_3_50"/>
    <protectedRange sqref="A3005" name="Intervalo1_3_51"/>
    <protectedRange sqref="A2999" name="Intervalo1_3_52"/>
    <protectedRange sqref="A3000" name="Intervalo1_3_53"/>
    <protectedRange sqref="A3001" name="Intervalo1_3_54"/>
    <protectedRange sqref="A3002" name="Intervalo1_3_55"/>
    <protectedRange sqref="A3006:A3010" name="Intervalo1_3_56"/>
    <protectedRange sqref="A3011 A3014" name="Intervalo1_3_57"/>
    <protectedRange sqref="A3012" name="Intervalo1_3_58"/>
    <protectedRange sqref="A3013" name="Intervalo1_3_59"/>
    <protectedRange sqref="A3019" name="Intervalo1_3_60"/>
    <protectedRange sqref="A3033" name="Intervalo1_3_61"/>
    <protectedRange sqref="A3046" name="Intervalo1_3_62"/>
    <protectedRange sqref="A3047" name="Intervalo1_3_63"/>
    <protectedRange sqref="A3048:A3053" name="Intervalo1_3_64"/>
    <protectedRange sqref="A3054" name="Intervalo1_3_65"/>
    <protectedRange sqref="A3056" name="Intervalo1_3_66"/>
    <protectedRange sqref="C3056" name="Intervalo1_3_67"/>
    <protectedRange sqref="A3064" name="Intervalo1_3_68"/>
    <protectedRange sqref="A3066" name="Intervalo1_3_69"/>
    <protectedRange sqref="A3067" name="Intervalo1_3_70"/>
    <protectedRange sqref="A3073" name="Intervalo1_3_71"/>
    <protectedRange sqref="A3078 A3094" name="Intervalo1_3_72"/>
    <protectedRange sqref="A3095:A3098" name="Intervalo1_3_73"/>
    <protectedRange sqref="A3100" name="Intervalo1_3_74"/>
    <protectedRange sqref="C3100" name="Intervalo1_3_75"/>
  </protectedRange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EAE8-D553-4169-9E53-2B1A49C14AA1}">
  <sheetPr codeName="Planilha177">
    <tabColor theme="9" tint="0.39997558519241921"/>
  </sheetPr>
  <dimension ref="A1:U103"/>
  <sheetViews>
    <sheetView showGridLines="0" topLeftCell="A6" zoomScaleNormal="100" workbookViewId="0">
      <selection activeCell="C31" sqref="C31:F31"/>
    </sheetView>
  </sheetViews>
  <sheetFormatPr defaultColWidth="9.140625" defaultRowHeight="15"/>
  <cols>
    <col min="1" max="1" width="13.140625" style="22" customWidth="1"/>
    <col min="2" max="2" width="30.28515625" style="22" bestFit="1" customWidth="1"/>
    <col min="3" max="3" width="58.28515625" style="21" customWidth="1"/>
    <col min="4" max="4" width="16.42578125" style="22" customWidth="1"/>
    <col min="5" max="5" width="13.28515625" style="123" bestFit="1" customWidth="1"/>
    <col min="6" max="6" width="16.85546875" style="123" bestFit="1" customWidth="1"/>
    <col min="7" max="7" width="49.5703125" style="21" customWidth="1"/>
    <col min="8" max="8" width="29" style="7" customWidth="1"/>
    <col min="9" max="9" width="0.7109375" style="6" customWidth="1"/>
    <col min="10" max="10" width="16.85546875" style="7" hidden="1" customWidth="1"/>
    <col min="11" max="11" width="16.85546875" style="7" customWidth="1"/>
    <col min="12" max="12" width="2.28515625" style="6" customWidth="1"/>
    <col min="13" max="14" width="22.42578125" style="59" customWidth="1"/>
    <col min="15" max="15" width="30.85546875" style="59" customWidth="1"/>
    <col min="16" max="16" width="12.28515625" style="59" bestFit="1" customWidth="1"/>
    <col min="17" max="17" width="14" style="59" bestFit="1" customWidth="1"/>
    <col min="18" max="18" width="11.5703125" style="59" customWidth="1"/>
    <col min="19" max="19" width="2.7109375" style="6" customWidth="1"/>
    <col min="20" max="20" width="10.7109375" style="4" bestFit="1" customWidth="1"/>
    <col min="21" max="21" width="84.42578125" style="6" customWidth="1"/>
    <col min="22" max="16384" width="9.140625" style="6"/>
  </cols>
  <sheetData>
    <row r="1" spans="1:21" ht="38.25" customHeight="1" thickBot="1">
      <c r="A1" s="166" t="s">
        <v>3803</v>
      </c>
      <c r="B1" s="167"/>
      <c r="C1" s="167"/>
      <c r="D1" s="167"/>
      <c r="E1" s="167"/>
      <c r="F1" s="168"/>
      <c r="G1" s="87"/>
      <c r="H1" s="88"/>
      <c r="I1"/>
      <c r="J1" s="139" t="s">
        <v>3408</v>
      </c>
      <c r="K1" s="141" t="s">
        <v>2004</v>
      </c>
      <c r="L1" s="67" t="s">
        <v>147</v>
      </c>
      <c r="M1" s="143" t="s">
        <v>2005</v>
      </c>
      <c r="N1" s="144"/>
      <c r="O1" s="144"/>
      <c r="P1" s="144"/>
      <c r="Q1" s="144"/>
      <c r="R1" s="145"/>
      <c r="S1" s="60" t="s">
        <v>147</v>
      </c>
      <c r="T1" s="146" t="s">
        <v>885</v>
      </c>
      <c r="U1" s="147"/>
    </row>
    <row r="2" spans="1:21" ht="45.75" thickBot="1">
      <c r="A2" s="32" t="s">
        <v>149</v>
      </c>
      <c r="B2" s="32" t="s">
        <v>150</v>
      </c>
      <c r="C2" s="33" t="s">
        <v>151</v>
      </c>
      <c r="D2" s="32" t="s">
        <v>0</v>
      </c>
      <c r="E2" s="117" t="s">
        <v>1</v>
      </c>
      <c r="F2" s="118" t="s">
        <v>2</v>
      </c>
      <c r="G2" s="32" t="s">
        <v>152</v>
      </c>
      <c r="H2" s="34" t="s">
        <v>79</v>
      </c>
      <c r="I2"/>
      <c r="J2" s="140"/>
      <c r="K2" s="142"/>
      <c r="L2"/>
      <c r="M2" s="35" t="s">
        <v>2975</v>
      </c>
      <c r="N2" s="53" t="s">
        <v>2974</v>
      </c>
      <c r="O2" s="35" t="s">
        <v>153</v>
      </c>
      <c r="P2" s="35" t="s">
        <v>2973</v>
      </c>
      <c r="Q2" s="54" t="s">
        <v>154</v>
      </c>
      <c r="R2" s="54" t="s">
        <v>155</v>
      </c>
      <c r="T2" s="57">
        <v>1</v>
      </c>
      <c r="U2" s="56" t="s">
        <v>2976</v>
      </c>
    </row>
    <row r="3" spans="1:21" ht="15" customHeight="1">
      <c r="A3" s="174" t="s">
        <v>1067</v>
      </c>
      <c r="B3" s="154" t="s">
        <v>3802</v>
      </c>
      <c r="C3" s="52" t="s">
        <v>3085</v>
      </c>
      <c r="D3" s="49" t="s">
        <v>12</v>
      </c>
      <c r="E3" s="119">
        <v>18.989999999999998</v>
      </c>
      <c r="F3" s="120">
        <v>15.99</v>
      </c>
      <c r="G3" s="100" t="s">
        <v>296</v>
      </c>
      <c r="H3" s="101">
        <v>7896864400031</v>
      </c>
      <c r="I3"/>
      <c r="J3" s="68" t="str">
        <f>IF(ISTEXT(H3), "", IF(LEN(TEXT(H3,"0"))&lt;6, "Código Unificado", "EAN"))</f>
        <v>EAN</v>
      </c>
      <c r="K3" s="68">
        <f>COUNTIF('Base - Cód Barras'!A:A,C3)</f>
        <v>1</v>
      </c>
      <c r="L3"/>
      <c r="M3" s="61" t="s">
        <v>3804</v>
      </c>
      <c r="N3" s="64" t="s">
        <v>1764</v>
      </c>
      <c r="O3" s="12" t="str">
        <f t="shared" ref="O3:O103" si="0">CONCATENATE(H3,$L$1,E3,$L$1,F3,$L$1,Q3)</f>
        <v>7896864400031;18,99;15,99;12</v>
      </c>
      <c r="P3" s="25"/>
      <c r="Q3" s="8">
        <v>12</v>
      </c>
      <c r="R3" s="29" t="s">
        <v>161</v>
      </c>
      <c r="T3" s="78">
        <v>2</v>
      </c>
      <c r="U3" s="79" t="s">
        <v>3275</v>
      </c>
    </row>
    <row r="4" spans="1:21" ht="15" customHeight="1">
      <c r="A4" s="172"/>
      <c r="B4" s="169"/>
      <c r="C4" s="10" t="s">
        <v>3435</v>
      </c>
      <c r="D4" s="38" t="s">
        <v>11</v>
      </c>
      <c r="E4" s="121">
        <v>3.49</v>
      </c>
      <c r="F4" s="122">
        <v>2.99</v>
      </c>
      <c r="G4" s="102" t="s">
        <v>312</v>
      </c>
      <c r="H4" s="103">
        <v>7891910000197</v>
      </c>
      <c r="I4"/>
      <c r="J4" s="69" t="str">
        <f t="shared" ref="J4:J103" si="1">IF(ISTEXT(H4), "", IF(LEN(TEXT(H4,"0"))&lt;6, "Código Unificado", "EAN"))</f>
        <v>EAN</v>
      </c>
      <c r="K4" s="68">
        <f>COUNTIF('Base - Cód Barras'!A:A,C4)</f>
        <v>1</v>
      </c>
      <c r="L4"/>
      <c r="M4" s="61" t="s">
        <v>3804</v>
      </c>
      <c r="N4" s="64" t="s">
        <v>1764</v>
      </c>
      <c r="O4" s="12" t="str">
        <f t="shared" si="0"/>
        <v>7891910000197;3,49;2,99;6</v>
      </c>
      <c r="P4" s="24"/>
      <c r="Q4" s="9">
        <v>6</v>
      </c>
      <c r="R4" s="26" t="s">
        <v>161</v>
      </c>
      <c r="T4" s="58">
        <v>3</v>
      </c>
      <c r="U4" s="55" t="s">
        <v>888</v>
      </c>
    </row>
    <row r="5" spans="1:21" ht="15" customHeight="1">
      <c r="A5" s="172"/>
      <c r="B5" s="169"/>
      <c r="C5" s="10" t="s">
        <v>3623</v>
      </c>
      <c r="D5" s="38" t="s">
        <v>11</v>
      </c>
      <c r="E5" s="121">
        <v>32.99</v>
      </c>
      <c r="F5" s="122">
        <v>28.99</v>
      </c>
      <c r="G5" s="102" t="s">
        <v>3617</v>
      </c>
      <c r="H5" s="104">
        <v>5601397010167</v>
      </c>
      <c r="I5"/>
      <c r="J5" s="69" t="str">
        <f t="shared" si="1"/>
        <v>EAN</v>
      </c>
      <c r="K5" s="68">
        <f>COUNTIF('Base - Cód Barras'!A:A,C5)</f>
        <v>1</v>
      </c>
      <c r="L5"/>
      <c r="M5" s="61" t="s">
        <v>3804</v>
      </c>
      <c r="N5" s="64" t="s">
        <v>1764</v>
      </c>
      <c r="O5" s="12" t="str">
        <f t="shared" si="0"/>
        <v>5601397010167;32,99;28,99;6</v>
      </c>
      <c r="P5" s="24"/>
      <c r="Q5" s="9">
        <v>6</v>
      </c>
      <c r="R5" s="26" t="s">
        <v>161</v>
      </c>
      <c r="T5" s="58">
        <v>4</v>
      </c>
      <c r="U5" s="55" t="s">
        <v>947</v>
      </c>
    </row>
    <row r="6" spans="1:21" ht="15" customHeight="1">
      <c r="A6" s="172"/>
      <c r="B6" s="169"/>
      <c r="C6" s="10" t="s">
        <v>1925</v>
      </c>
      <c r="D6" s="38" t="s">
        <v>11</v>
      </c>
      <c r="E6" s="121">
        <v>6.99</v>
      </c>
      <c r="F6" s="122">
        <v>5.99</v>
      </c>
      <c r="G6" s="102" t="s">
        <v>1934</v>
      </c>
      <c r="H6" s="104">
        <v>7891095031696</v>
      </c>
      <c r="I6"/>
      <c r="J6" s="69" t="str">
        <f>IF(ISTEXT(H6), "", IF(LEN(TEXT(H6,"0"))&lt;6, "Código Unificado", "EAN"))</f>
        <v>EAN</v>
      </c>
      <c r="K6" s="68">
        <f>COUNTIF('Base - Cód Barras'!A:A,C6)</f>
        <v>1</v>
      </c>
      <c r="L6"/>
      <c r="M6" s="61" t="s">
        <v>3804</v>
      </c>
      <c r="N6" s="64" t="s">
        <v>1764</v>
      </c>
      <c r="O6" s="12" t="str">
        <f>CONCATENATE(H6,$L$1,E6,$L$1,F6,$L$1,Q6)</f>
        <v>7891095031696;6,99;5,99;6</v>
      </c>
      <c r="P6" s="24"/>
      <c r="Q6" s="9">
        <v>6</v>
      </c>
      <c r="R6" s="26" t="s">
        <v>161</v>
      </c>
      <c r="T6" s="148">
        <v>5</v>
      </c>
      <c r="U6" s="151" t="s">
        <v>1977</v>
      </c>
    </row>
    <row r="7" spans="1:21" ht="15" customHeight="1">
      <c r="A7" s="172"/>
      <c r="B7" s="169"/>
      <c r="C7" s="157" t="s">
        <v>2654</v>
      </c>
      <c r="D7" s="38" t="s">
        <v>11</v>
      </c>
      <c r="E7" s="121">
        <v>5.99</v>
      </c>
      <c r="F7" s="122">
        <v>4.99</v>
      </c>
      <c r="G7" s="102" t="s">
        <v>2656</v>
      </c>
      <c r="H7" s="104">
        <v>7891095911486</v>
      </c>
      <c r="I7"/>
      <c r="J7" s="69" t="str">
        <f>IF(ISTEXT(H7), "", IF(LEN(TEXT(H7,"0"))&lt;6, "Código Unificado", "EAN"))</f>
        <v>EAN</v>
      </c>
      <c r="K7" s="68">
        <f>COUNTIF('Base - Cód Barras'!A:A,C7)</f>
        <v>2</v>
      </c>
      <c r="L7"/>
      <c r="M7" s="61" t="s">
        <v>3804</v>
      </c>
      <c r="N7" s="64" t="s">
        <v>1764</v>
      </c>
      <c r="O7" s="12" t="str">
        <f>CONCATENATE(H7,$L$1,E7,$L$1,F7,$L$1,Q7)</f>
        <v>7891095911486;5,99;4,99;6</v>
      </c>
      <c r="P7" s="24"/>
      <c r="Q7" s="9">
        <v>6</v>
      </c>
      <c r="R7" s="26" t="s">
        <v>161</v>
      </c>
      <c r="T7" s="149"/>
      <c r="U7" s="152"/>
    </row>
    <row r="8" spans="1:21" ht="15" customHeight="1">
      <c r="A8" s="172"/>
      <c r="B8" s="169"/>
      <c r="C8" s="156"/>
      <c r="D8" s="38" t="s">
        <v>11</v>
      </c>
      <c r="E8" s="121">
        <v>5.99</v>
      </c>
      <c r="F8" s="122">
        <v>4.99</v>
      </c>
      <c r="G8" s="102" t="s">
        <v>2656</v>
      </c>
      <c r="H8" s="104">
        <v>7891095031665</v>
      </c>
      <c r="I8"/>
      <c r="J8" s="69" t="str">
        <f>IF(ISTEXT(H8), "", IF(LEN(TEXT(H8,"0"))&lt;6, "Código Unificado", "EAN"))</f>
        <v>EAN</v>
      </c>
      <c r="K8" s="68"/>
      <c r="L8"/>
      <c r="M8" s="61" t="s">
        <v>3804</v>
      </c>
      <c r="N8" s="64" t="s">
        <v>1764</v>
      </c>
      <c r="O8" s="12" t="str">
        <f t="shared" si="0"/>
        <v>7891095031665;5,99;4,99;6</v>
      </c>
      <c r="P8" s="24"/>
      <c r="Q8" s="9">
        <v>6</v>
      </c>
      <c r="R8" s="26" t="s">
        <v>161</v>
      </c>
      <c r="T8" s="149"/>
      <c r="U8" s="152"/>
    </row>
    <row r="9" spans="1:21" ht="15" customHeight="1">
      <c r="A9" s="172"/>
      <c r="B9" s="169"/>
      <c r="C9" s="157" t="s">
        <v>2835</v>
      </c>
      <c r="D9" s="38" t="s">
        <v>12</v>
      </c>
      <c r="E9" s="121">
        <v>26.99</v>
      </c>
      <c r="F9" s="122">
        <v>23.99</v>
      </c>
      <c r="G9" s="102" t="s">
        <v>785</v>
      </c>
      <c r="H9" s="104">
        <v>7896089010916</v>
      </c>
      <c r="I9"/>
      <c r="J9" s="69" t="str">
        <f t="shared" si="1"/>
        <v>EAN</v>
      </c>
      <c r="K9" s="68">
        <f>COUNTIF('Base - Cód Barras'!A:A,C9)</f>
        <v>3</v>
      </c>
      <c r="L9"/>
      <c r="M9" s="61" t="s">
        <v>3804</v>
      </c>
      <c r="N9" s="64" t="s">
        <v>1764</v>
      </c>
      <c r="O9" s="12" t="str">
        <f t="shared" si="0"/>
        <v>7896089010916;26,99;23,99;12</v>
      </c>
      <c r="P9" s="24"/>
      <c r="Q9" s="9">
        <v>12</v>
      </c>
      <c r="R9" s="26" t="s">
        <v>161</v>
      </c>
      <c r="T9" s="149"/>
      <c r="U9" s="152"/>
    </row>
    <row r="10" spans="1:21" ht="15" customHeight="1">
      <c r="A10" s="172"/>
      <c r="B10" s="169"/>
      <c r="C10" s="158"/>
      <c r="D10" s="38" t="s">
        <v>12</v>
      </c>
      <c r="E10" s="121">
        <v>26.99</v>
      </c>
      <c r="F10" s="122">
        <v>23.99</v>
      </c>
      <c r="G10" s="102" t="s">
        <v>2846</v>
      </c>
      <c r="H10" s="104">
        <v>7891910021109</v>
      </c>
      <c r="I10"/>
      <c r="J10" s="69" t="str">
        <f t="shared" si="1"/>
        <v>EAN</v>
      </c>
      <c r="K10" s="68"/>
      <c r="L10"/>
      <c r="M10" s="61" t="s">
        <v>3804</v>
      </c>
      <c r="N10" s="64" t="s">
        <v>1764</v>
      </c>
      <c r="O10" s="12" t="str">
        <f t="shared" si="0"/>
        <v>7891910021109;26,99;23,99;12</v>
      </c>
      <c r="P10" s="24"/>
      <c r="Q10" s="9">
        <v>12</v>
      </c>
      <c r="R10" s="26" t="s">
        <v>161</v>
      </c>
      <c r="T10" s="149"/>
      <c r="U10" s="152"/>
    </row>
    <row r="11" spans="1:21" ht="15" customHeight="1">
      <c r="A11" s="172"/>
      <c r="B11" s="169"/>
      <c r="C11" s="159"/>
      <c r="D11" s="38" t="s">
        <v>12</v>
      </c>
      <c r="E11" s="121">
        <v>26.99</v>
      </c>
      <c r="F11" s="122">
        <v>23.99</v>
      </c>
      <c r="G11" s="102" t="s">
        <v>802</v>
      </c>
      <c r="H11" s="104">
        <v>7896089016215</v>
      </c>
      <c r="I11"/>
      <c r="J11" s="69" t="str">
        <f t="shared" si="1"/>
        <v>EAN</v>
      </c>
      <c r="K11" s="68"/>
      <c r="L11"/>
      <c r="M11" s="61" t="s">
        <v>3804</v>
      </c>
      <c r="N11" s="64" t="s">
        <v>1764</v>
      </c>
      <c r="O11" s="12" t="str">
        <f t="shared" si="0"/>
        <v>7896089016215;26,99;23,99;12</v>
      </c>
      <c r="P11" s="24"/>
      <c r="Q11" s="9">
        <v>12</v>
      </c>
      <c r="R11" s="26" t="s">
        <v>161</v>
      </c>
      <c r="T11" s="149"/>
      <c r="U11" s="152"/>
    </row>
    <row r="12" spans="1:21" ht="15" customHeight="1">
      <c r="A12" s="172"/>
      <c r="B12" s="169"/>
      <c r="C12" s="10" t="s">
        <v>1685</v>
      </c>
      <c r="D12" s="38" t="s">
        <v>875</v>
      </c>
      <c r="E12" s="121">
        <v>5.99</v>
      </c>
      <c r="F12" s="122">
        <v>4.99</v>
      </c>
      <c r="G12" s="102" t="s">
        <v>254</v>
      </c>
      <c r="H12" s="104">
        <v>7896275960896</v>
      </c>
      <c r="I12"/>
      <c r="J12" s="69" t="str">
        <f t="shared" si="1"/>
        <v>EAN</v>
      </c>
      <c r="K12" s="68">
        <f>COUNTIF('Base - Cód Barras'!A:A,C12)</f>
        <v>1</v>
      </c>
      <c r="L12"/>
      <c r="M12" s="61" t="s">
        <v>3804</v>
      </c>
      <c r="N12" s="64" t="s">
        <v>1764</v>
      </c>
      <c r="O12" s="12" t="str">
        <f t="shared" si="0"/>
        <v>7896275960896;5,99;4,99;12</v>
      </c>
      <c r="P12" s="24"/>
      <c r="Q12" s="9">
        <v>12</v>
      </c>
      <c r="R12" s="26" t="s">
        <v>161</v>
      </c>
      <c r="T12" s="149"/>
      <c r="U12" s="152"/>
    </row>
    <row r="13" spans="1:21" ht="15" customHeight="1">
      <c r="A13" s="172"/>
      <c r="B13" s="169"/>
      <c r="C13" s="10" t="s">
        <v>3724</v>
      </c>
      <c r="D13" s="38" t="s">
        <v>8</v>
      </c>
      <c r="E13" s="121">
        <v>4.99</v>
      </c>
      <c r="F13" s="122">
        <v>4.49</v>
      </c>
      <c r="G13" s="102" t="s">
        <v>3725</v>
      </c>
      <c r="H13" s="104">
        <v>7896569400534</v>
      </c>
      <c r="I13"/>
      <c r="J13" s="69" t="str">
        <f t="shared" si="1"/>
        <v>EAN</v>
      </c>
      <c r="K13" s="68">
        <f>COUNTIF('Base - Cód Barras'!A:A,C13)</f>
        <v>1</v>
      </c>
      <c r="L13"/>
      <c r="M13" s="61" t="s">
        <v>3804</v>
      </c>
      <c r="N13" s="64" t="s">
        <v>1764</v>
      </c>
      <c r="O13" s="12" t="str">
        <f t="shared" si="0"/>
        <v>7896569400534;4,99;4,49;24</v>
      </c>
      <c r="P13" s="24"/>
      <c r="Q13" s="9">
        <v>24</v>
      </c>
      <c r="R13" s="26" t="s">
        <v>161</v>
      </c>
      <c r="T13" s="149"/>
      <c r="U13" s="152"/>
    </row>
    <row r="14" spans="1:21" ht="15" customHeight="1">
      <c r="A14" s="172"/>
      <c r="B14" s="169"/>
      <c r="C14" s="10" t="s">
        <v>3223</v>
      </c>
      <c r="D14" s="38" t="s">
        <v>11</v>
      </c>
      <c r="E14" s="121">
        <v>8.99</v>
      </c>
      <c r="F14" s="122">
        <v>7.99</v>
      </c>
      <c r="G14" s="102" t="s">
        <v>3224</v>
      </c>
      <c r="H14" s="104">
        <v>7896004007618</v>
      </c>
      <c r="I14"/>
      <c r="J14" s="69" t="str">
        <f t="shared" si="1"/>
        <v>EAN</v>
      </c>
      <c r="K14" s="68">
        <f>COUNTIF('Base - Cód Barras'!A:A,C14)</f>
        <v>1</v>
      </c>
      <c r="L14"/>
      <c r="M14" s="61" t="s">
        <v>3804</v>
      </c>
      <c r="N14" s="64" t="s">
        <v>1764</v>
      </c>
      <c r="O14" s="12" t="str">
        <f t="shared" si="0"/>
        <v>7896004007618;8,99;7,99;6</v>
      </c>
      <c r="P14" s="24"/>
      <c r="Q14" s="9">
        <v>6</v>
      </c>
      <c r="R14" s="26" t="s">
        <v>161</v>
      </c>
      <c r="T14" s="149"/>
      <c r="U14" s="152"/>
    </row>
    <row r="15" spans="1:21" ht="15" customHeight="1" thickBot="1">
      <c r="A15" s="172"/>
      <c r="B15" s="169"/>
      <c r="C15" s="157" t="s">
        <v>88</v>
      </c>
      <c r="D15" s="38" t="s">
        <v>11</v>
      </c>
      <c r="E15" s="121">
        <v>23.9</v>
      </c>
      <c r="F15" s="122">
        <v>19.899999999999999</v>
      </c>
      <c r="G15" s="102" t="s">
        <v>1047</v>
      </c>
      <c r="H15" s="104">
        <v>7891000120507</v>
      </c>
      <c r="I15"/>
      <c r="J15" s="69" t="str">
        <f t="shared" si="1"/>
        <v>EAN</v>
      </c>
      <c r="K15" s="68">
        <f>COUNTIF('Base - Cód Barras'!A:A,C15)</f>
        <v>6</v>
      </c>
      <c r="L15"/>
      <c r="M15" s="61" t="s">
        <v>3804</v>
      </c>
      <c r="N15" s="64" t="s">
        <v>1764</v>
      </c>
      <c r="O15" s="12" t="str">
        <f t="shared" si="0"/>
        <v>7891000120507;23,9;19,9;6</v>
      </c>
      <c r="P15" s="24"/>
      <c r="Q15" s="9">
        <v>6</v>
      </c>
      <c r="R15" s="26" t="s">
        <v>161</v>
      </c>
      <c r="T15" s="150"/>
      <c r="U15" s="153"/>
    </row>
    <row r="16" spans="1:21" ht="15" customHeight="1">
      <c r="A16" s="172"/>
      <c r="B16" s="169"/>
      <c r="C16" s="158"/>
      <c r="D16" s="38" t="s">
        <v>11</v>
      </c>
      <c r="E16" s="121">
        <v>23.9</v>
      </c>
      <c r="F16" s="122">
        <v>19.899999999999999</v>
      </c>
      <c r="G16" s="102" t="s">
        <v>1048</v>
      </c>
      <c r="H16" s="104">
        <v>7891000120521</v>
      </c>
      <c r="I16"/>
      <c r="J16" s="69" t="str">
        <f t="shared" si="1"/>
        <v>EAN</v>
      </c>
      <c r="K16" s="68"/>
      <c r="L16"/>
      <c r="M16" s="61" t="s">
        <v>3804</v>
      </c>
      <c r="N16" s="64" t="s">
        <v>1764</v>
      </c>
      <c r="O16" s="12" t="str">
        <f t="shared" si="0"/>
        <v>7891000120521;23,9;19,9;6</v>
      </c>
      <c r="P16" s="24"/>
      <c r="Q16" s="9">
        <v>6</v>
      </c>
      <c r="R16" s="26" t="s">
        <v>161</v>
      </c>
      <c r="T16" s="115"/>
      <c r="U16" s="116"/>
    </row>
    <row r="17" spans="1:21" ht="15" customHeight="1">
      <c r="A17" s="172"/>
      <c r="B17" s="169"/>
      <c r="C17" s="158"/>
      <c r="D17" s="38" t="s">
        <v>11</v>
      </c>
      <c r="E17" s="121">
        <v>23.9</v>
      </c>
      <c r="F17" s="122">
        <v>19.899999999999999</v>
      </c>
      <c r="G17" s="102" t="s">
        <v>1049</v>
      </c>
      <c r="H17" s="104">
        <v>7891000120071</v>
      </c>
      <c r="I17"/>
      <c r="J17" s="69" t="str">
        <f t="shared" si="1"/>
        <v>EAN</v>
      </c>
      <c r="K17" s="68"/>
      <c r="L17"/>
      <c r="M17" s="61" t="s">
        <v>3804</v>
      </c>
      <c r="N17" s="64" t="s">
        <v>1764</v>
      </c>
      <c r="O17" s="12" t="str">
        <f t="shared" si="0"/>
        <v>7891000120071;23,9;19,9;6</v>
      </c>
      <c r="P17" s="24"/>
      <c r="Q17" s="9">
        <v>6</v>
      </c>
      <c r="R17" s="26" t="s">
        <v>161</v>
      </c>
      <c r="T17" s="115"/>
      <c r="U17" s="116"/>
    </row>
    <row r="18" spans="1:21" ht="15" customHeight="1">
      <c r="A18" s="172"/>
      <c r="B18" s="169"/>
      <c r="C18" s="158"/>
      <c r="D18" s="38" t="s">
        <v>11</v>
      </c>
      <c r="E18" s="121">
        <v>23.9</v>
      </c>
      <c r="F18" s="122">
        <v>19.899999999999999</v>
      </c>
      <c r="G18" s="102" t="s">
        <v>1050</v>
      </c>
      <c r="H18" s="104">
        <v>7899975800240</v>
      </c>
      <c r="I18"/>
      <c r="J18" s="69" t="str">
        <f t="shared" si="1"/>
        <v>EAN</v>
      </c>
      <c r="K18" s="68"/>
      <c r="L18"/>
      <c r="M18" s="61" t="s">
        <v>3804</v>
      </c>
      <c r="N18" s="64" t="s">
        <v>1764</v>
      </c>
      <c r="O18" s="12" t="str">
        <f t="shared" si="0"/>
        <v>7899975800240;23,9;19,9;6</v>
      </c>
      <c r="P18" s="24"/>
      <c r="Q18" s="9">
        <v>6</v>
      </c>
      <c r="R18" s="26" t="s">
        <v>161</v>
      </c>
      <c r="T18" s="115"/>
      <c r="U18" s="116"/>
    </row>
    <row r="19" spans="1:21" ht="15" customHeight="1">
      <c r="A19" s="172"/>
      <c r="B19" s="169"/>
      <c r="C19" s="158"/>
      <c r="D19" s="38" t="s">
        <v>11</v>
      </c>
      <c r="E19" s="121">
        <v>23.9</v>
      </c>
      <c r="F19" s="122">
        <v>19.899999999999999</v>
      </c>
      <c r="G19" s="102" t="s">
        <v>2137</v>
      </c>
      <c r="H19" s="104">
        <v>7899975802466</v>
      </c>
      <c r="I19"/>
      <c r="J19" s="69" t="str">
        <f t="shared" si="1"/>
        <v>EAN</v>
      </c>
      <c r="K19" s="68"/>
      <c r="L19"/>
      <c r="M19" s="61" t="s">
        <v>3804</v>
      </c>
      <c r="N19" s="64" t="s">
        <v>1764</v>
      </c>
      <c r="O19" s="12" t="str">
        <f t="shared" si="0"/>
        <v>7899975802466;23,9;19,9;6</v>
      </c>
      <c r="P19" s="24"/>
      <c r="Q19" s="9">
        <v>6</v>
      </c>
      <c r="R19" s="26" t="s">
        <v>161</v>
      </c>
      <c r="T19" s="115"/>
      <c r="U19" s="116"/>
    </row>
    <row r="20" spans="1:21" ht="15" customHeight="1">
      <c r="A20" s="172"/>
      <c r="B20" s="169"/>
      <c r="C20" s="159"/>
      <c r="D20" s="38" t="s">
        <v>11</v>
      </c>
      <c r="E20" s="121">
        <v>23.9</v>
      </c>
      <c r="F20" s="122">
        <v>19.899999999999999</v>
      </c>
      <c r="G20" s="102" t="s">
        <v>1051</v>
      </c>
      <c r="H20" s="104">
        <v>7899975800585</v>
      </c>
      <c r="I20"/>
      <c r="J20" s="69" t="str">
        <f t="shared" si="1"/>
        <v>EAN</v>
      </c>
      <c r="K20" s="68"/>
      <c r="L20"/>
      <c r="M20" s="61" t="s">
        <v>3804</v>
      </c>
      <c r="N20" s="64" t="s">
        <v>1764</v>
      </c>
      <c r="O20" s="12" t="str">
        <f t="shared" si="0"/>
        <v>7899975800585;23,9;19,9;6</v>
      </c>
      <c r="P20" s="24"/>
      <c r="Q20" s="9">
        <v>6</v>
      </c>
      <c r="R20" s="26" t="s">
        <v>161</v>
      </c>
      <c r="T20" s="115"/>
      <c r="U20" s="116"/>
    </row>
    <row r="21" spans="1:21">
      <c r="A21" s="172"/>
      <c r="B21" s="169"/>
      <c r="C21" s="157" t="s">
        <v>3695</v>
      </c>
      <c r="D21" s="38" t="s">
        <v>11</v>
      </c>
      <c r="E21" s="121">
        <v>12.99</v>
      </c>
      <c r="F21" s="122">
        <v>10.99</v>
      </c>
      <c r="G21" s="102" t="s">
        <v>2753</v>
      </c>
      <c r="H21" s="104">
        <v>7898337980064</v>
      </c>
      <c r="I21"/>
      <c r="J21" s="69" t="str">
        <f t="shared" si="1"/>
        <v>EAN</v>
      </c>
      <c r="K21" s="68">
        <f>COUNTIF('Base - Cód Barras'!A:A,C21)</f>
        <v>1</v>
      </c>
      <c r="L21"/>
      <c r="M21" s="61" t="s">
        <v>3804</v>
      </c>
      <c r="N21" s="64" t="s">
        <v>1764</v>
      </c>
      <c r="O21" s="12" t="str">
        <f t="shared" si="0"/>
        <v>7898337980064;12,99;10,99;6</v>
      </c>
      <c r="P21" s="24"/>
      <c r="Q21" s="9">
        <v>6</v>
      </c>
      <c r="R21" s="26" t="s">
        <v>161</v>
      </c>
    </row>
    <row r="22" spans="1:21" ht="30">
      <c r="A22" s="172"/>
      <c r="B22" s="169"/>
      <c r="C22" s="156"/>
      <c r="D22" s="38" t="s">
        <v>11</v>
      </c>
      <c r="E22" s="121">
        <v>12.99</v>
      </c>
      <c r="F22" s="122">
        <v>10.99</v>
      </c>
      <c r="G22" s="124" t="s">
        <v>3739</v>
      </c>
      <c r="H22" s="104">
        <v>7898337980187</v>
      </c>
      <c r="I22"/>
      <c r="J22" s="69" t="str">
        <f t="shared" si="1"/>
        <v>EAN</v>
      </c>
      <c r="K22" s="68"/>
      <c r="L22"/>
      <c r="M22" s="61" t="s">
        <v>3804</v>
      </c>
      <c r="N22" s="64" t="s">
        <v>1764</v>
      </c>
      <c r="O22" s="12" t="str">
        <f t="shared" ref="O22" si="2">CONCATENATE(H22,$L$1,E22,$L$1,F22,$L$1,Q22)</f>
        <v>7898337980187;12,99;10,99;6</v>
      </c>
      <c r="P22" s="24"/>
      <c r="Q22" s="9">
        <v>6</v>
      </c>
      <c r="R22" s="26" t="s">
        <v>161</v>
      </c>
    </row>
    <row r="23" spans="1:21">
      <c r="A23" s="172"/>
      <c r="B23" s="169"/>
      <c r="C23" s="157" t="s">
        <v>3481</v>
      </c>
      <c r="D23" s="38" t="s">
        <v>11</v>
      </c>
      <c r="E23" s="121">
        <v>9.49</v>
      </c>
      <c r="F23" s="122">
        <v>8.49</v>
      </c>
      <c r="G23" s="102" t="s">
        <v>2503</v>
      </c>
      <c r="H23" s="104">
        <v>7891025122722</v>
      </c>
      <c r="I23"/>
      <c r="J23" s="69" t="str">
        <f t="shared" si="1"/>
        <v>EAN</v>
      </c>
      <c r="K23" s="68">
        <f>COUNTIF('Base - Cód Barras'!A:A,C23)</f>
        <v>5</v>
      </c>
      <c r="L23"/>
      <c r="M23" s="61" t="s">
        <v>3804</v>
      </c>
      <c r="N23" s="64" t="s">
        <v>1764</v>
      </c>
      <c r="O23" s="12" t="str">
        <f t="shared" si="0"/>
        <v>7891025122722;9,49;8,49;6</v>
      </c>
      <c r="P23" s="24"/>
      <c r="Q23" s="9">
        <v>6</v>
      </c>
      <c r="R23" s="26" t="s">
        <v>161</v>
      </c>
    </row>
    <row r="24" spans="1:21">
      <c r="A24" s="172"/>
      <c r="B24" s="169"/>
      <c r="C24" s="158"/>
      <c r="D24" s="38" t="s">
        <v>11</v>
      </c>
      <c r="E24" s="121">
        <v>9.49</v>
      </c>
      <c r="F24" s="122">
        <v>8.49</v>
      </c>
      <c r="G24" s="102" t="s">
        <v>1304</v>
      </c>
      <c r="H24" s="104">
        <v>7891025109884</v>
      </c>
      <c r="I24"/>
      <c r="J24" s="69" t="str">
        <f t="shared" si="1"/>
        <v>EAN</v>
      </c>
      <c r="K24" s="68"/>
      <c r="L24"/>
      <c r="M24" s="61" t="s">
        <v>3804</v>
      </c>
      <c r="N24" s="64" t="s">
        <v>1764</v>
      </c>
      <c r="O24" s="12" t="str">
        <f t="shared" si="0"/>
        <v>7891025109884;9,49;8,49;6</v>
      </c>
      <c r="P24" s="24"/>
      <c r="Q24" s="9">
        <v>6</v>
      </c>
      <c r="R24" s="26" t="s">
        <v>161</v>
      </c>
    </row>
    <row r="25" spans="1:21">
      <c r="A25" s="172"/>
      <c r="B25" s="169"/>
      <c r="C25" s="158"/>
      <c r="D25" s="38" t="s">
        <v>11</v>
      </c>
      <c r="E25" s="121">
        <v>9.49</v>
      </c>
      <c r="F25" s="122">
        <v>8.49</v>
      </c>
      <c r="G25" s="102" t="s">
        <v>1305</v>
      </c>
      <c r="H25" s="104">
        <v>7891025112204</v>
      </c>
      <c r="I25"/>
      <c r="J25" s="69" t="str">
        <f t="shared" si="1"/>
        <v>EAN</v>
      </c>
      <c r="K25" s="68"/>
      <c r="L25"/>
      <c r="M25" s="61" t="s">
        <v>3804</v>
      </c>
      <c r="N25" s="64" t="s">
        <v>1764</v>
      </c>
      <c r="O25" s="12" t="str">
        <f t="shared" si="0"/>
        <v>7891025112204;9,49;8,49;6</v>
      </c>
      <c r="P25" s="24"/>
      <c r="Q25" s="9">
        <v>6</v>
      </c>
      <c r="R25" s="26" t="s">
        <v>161</v>
      </c>
    </row>
    <row r="26" spans="1:21" ht="30">
      <c r="A26" s="172"/>
      <c r="B26" s="169"/>
      <c r="C26" s="158"/>
      <c r="D26" s="38" t="s">
        <v>11</v>
      </c>
      <c r="E26" s="121">
        <v>9.49</v>
      </c>
      <c r="F26" s="122">
        <v>8.49</v>
      </c>
      <c r="G26" s="102" t="s">
        <v>2118</v>
      </c>
      <c r="H26" s="104">
        <v>7891025120353</v>
      </c>
      <c r="I26"/>
      <c r="J26" s="69" t="str">
        <f t="shared" si="1"/>
        <v>EAN</v>
      </c>
      <c r="K26" s="68"/>
      <c r="L26"/>
      <c r="M26" s="61" t="s">
        <v>3804</v>
      </c>
      <c r="N26" s="64" t="s">
        <v>1764</v>
      </c>
      <c r="O26" s="12" t="str">
        <f t="shared" si="0"/>
        <v>7891025120353;9,49;8,49;6</v>
      </c>
      <c r="P26" s="24"/>
      <c r="Q26" s="9">
        <v>6</v>
      </c>
      <c r="R26" s="26" t="s">
        <v>161</v>
      </c>
    </row>
    <row r="27" spans="1:21">
      <c r="A27" s="172"/>
      <c r="B27" s="169"/>
      <c r="C27" s="159"/>
      <c r="D27" s="38" t="s">
        <v>11</v>
      </c>
      <c r="E27" s="121">
        <v>9.49</v>
      </c>
      <c r="F27" s="122">
        <v>8.49</v>
      </c>
      <c r="G27" s="102" t="s">
        <v>1306</v>
      </c>
      <c r="H27" s="104">
        <v>7891025109891</v>
      </c>
      <c r="I27"/>
      <c r="J27" s="69" t="str">
        <f t="shared" si="1"/>
        <v>EAN</v>
      </c>
      <c r="K27" s="68"/>
      <c r="L27"/>
      <c r="M27" s="61" t="s">
        <v>3804</v>
      </c>
      <c r="N27" s="64" t="s">
        <v>1764</v>
      </c>
      <c r="O27" s="12" t="str">
        <f t="shared" si="0"/>
        <v>7891025109891;9,49;8,49;6</v>
      </c>
      <c r="P27" s="24"/>
      <c r="Q27" s="9">
        <v>6</v>
      </c>
      <c r="R27" s="26" t="s">
        <v>161</v>
      </c>
    </row>
    <row r="28" spans="1:21" ht="15" customHeight="1">
      <c r="A28" s="172"/>
      <c r="B28" s="169"/>
      <c r="C28" s="10" t="s">
        <v>3410</v>
      </c>
      <c r="D28" s="38" t="s">
        <v>816</v>
      </c>
      <c r="E28" s="121">
        <v>7.99</v>
      </c>
      <c r="F28" s="122">
        <v>6.99</v>
      </c>
      <c r="G28" s="102" t="s">
        <v>3415</v>
      </c>
      <c r="H28" s="104">
        <v>98168</v>
      </c>
      <c r="I28"/>
      <c r="J28" s="69" t="str">
        <f t="shared" si="1"/>
        <v>Código Unificado</v>
      </c>
      <c r="K28" s="68">
        <f>COUNTIF('Base - Cód Barras'!A:A,C28)</f>
        <v>1</v>
      </c>
      <c r="L28"/>
      <c r="M28" s="61" t="s">
        <v>3804</v>
      </c>
      <c r="N28" s="64" t="s">
        <v>1764</v>
      </c>
      <c r="O28" s="12" t="str">
        <f t="shared" si="0"/>
        <v>98168;7,99;6,99;5</v>
      </c>
      <c r="P28" s="24"/>
      <c r="Q28" s="9">
        <v>5</v>
      </c>
      <c r="R28" s="26" t="s">
        <v>160</v>
      </c>
    </row>
    <row r="29" spans="1:21" ht="15" customHeight="1">
      <c r="A29" s="172"/>
      <c r="B29" s="169"/>
      <c r="C29" s="10" t="s">
        <v>2575</v>
      </c>
      <c r="D29" s="38" t="s">
        <v>108</v>
      </c>
      <c r="E29" s="121">
        <v>41.9</v>
      </c>
      <c r="F29" s="122">
        <v>39.9</v>
      </c>
      <c r="G29" s="102" t="s">
        <v>2576</v>
      </c>
      <c r="H29" s="104">
        <v>7898937200661</v>
      </c>
      <c r="I29"/>
      <c r="J29" s="69" t="str">
        <f t="shared" si="1"/>
        <v>EAN</v>
      </c>
      <c r="K29" s="68">
        <f>COUNTIF('Base - Cód Barras'!A:A,C29)</f>
        <v>1</v>
      </c>
      <c r="L29"/>
      <c r="M29" s="61" t="s">
        <v>3804</v>
      </c>
      <c r="N29" s="64" t="s">
        <v>1764</v>
      </c>
      <c r="O29" s="12" t="str">
        <f t="shared" si="0"/>
        <v>7898937200661;41,9;39,9;3</v>
      </c>
      <c r="P29" s="24"/>
      <c r="Q29" s="9">
        <v>3</v>
      </c>
      <c r="R29" s="26" t="s">
        <v>161</v>
      </c>
    </row>
    <row r="30" spans="1:21" ht="15" customHeight="1">
      <c r="A30" s="172"/>
      <c r="B30" s="169"/>
      <c r="C30" s="10" t="s">
        <v>3426</v>
      </c>
      <c r="D30" s="38" t="s">
        <v>816</v>
      </c>
      <c r="E30" s="121">
        <v>4.99</v>
      </c>
      <c r="F30" s="122">
        <v>3.99</v>
      </c>
      <c r="G30" s="102" t="s">
        <v>3426</v>
      </c>
      <c r="H30" s="104">
        <v>98595</v>
      </c>
      <c r="I30"/>
      <c r="J30" s="69" t="str">
        <f t="shared" si="1"/>
        <v>Código Unificado</v>
      </c>
      <c r="K30" s="68">
        <f>COUNTIF('Base - Cód Barras'!A:A,C30)</f>
        <v>1</v>
      </c>
      <c r="L30"/>
      <c r="M30" s="61" t="s">
        <v>3804</v>
      </c>
      <c r="N30" s="64" t="s">
        <v>1764</v>
      </c>
      <c r="O30" s="12" t="str">
        <f t="shared" si="0"/>
        <v>98595;4,99;3,99;5</v>
      </c>
      <c r="P30" s="24"/>
      <c r="Q30" s="9">
        <v>5</v>
      </c>
      <c r="R30" s="26" t="s">
        <v>160</v>
      </c>
    </row>
    <row r="31" spans="1:21" ht="15" customHeight="1">
      <c r="A31" s="172"/>
      <c r="B31" s="169"/>
      <c r="C31" s="10" t="s">
        <v>3643</v>
      </c>
      <c r="D31" s="38" t="s">
        <v>816</v>
      </c>
      <c r="E31" s="121">
        <f>2.49*10</f>
        <v>24.900000000000002</v>
      </c>
      <c r="F31" s="122">
        <f>1.99*10</f>
        <v>19.899999999999999</v>
      </c>
      <c r="G31" s="102" t="s">
        <v>3514</v>
      </c>
      <c r="H31" s="104">
        <v>98731</v>
      </c>
      <c r="I31"/>
      <c r="J31" s="69" t="str">
        <f t="shared" si="1"/>
        <v>Código Unificado</v>
      </c>
      <c r="K31" s="68">
        <f>COUNTIF('Base - Cód Barras'!A:A,C31)</f>
        <v>1</v>
      </c>
      <c r="L31"/>
      <c r="M31" s="61" t="s">
        <v>3804</v>
      </c>
      <c r="N31" s="64" t="s">
        <v>1764</v>
      </c>
      <c r="O31" s="12" t="str">
        <f t="shared" si="0"/>
        <v>98731;24,9;19,9;5</v>
      </c>
      <c r="P31" s="24"/>
      <c r="Q31" s="9">
        <v>5</v>
      </c>
      <c r="R31" s="26" t="s">
        <v>160</v>
      </c>
    </row>
    <row r="32" spans="1:21" ht="15" customHeight="1">
      <c r="A32" s="172"/>
      <c r="B32" s="169"/>
      <c r="C32" s="10" t="s">
        <v>3688</v>
      </c>
      <c r="D32" s="38" t="s">
        <v>816</v>
      </c>
      <c r="E32" s="121">
        <v>4.99</v>
      </c>
      <c r="F32" s="122">
        <v>3.99</v>
      </c>
      <c r="G32" s="102" t="s">
        <v>3688</v>
      </c>
      <c r="H32" s="104">
        <v>99547</v>
      </c>
      <c r="I32"/>
      <c r="J32" s="69" t="str">
        <f t="shared" si="1"/>
        <v>Código Unificado</v>
      </c>
      <c r="K32" s="68">
        <f>COUNTIF('Base - Cód Barras'!A:A,C32)</f>
        <v>1</v>
      </c>
      <c r="L32"/>
      <c r="M32" s="61" t="s">
        <v>3804</v>
      </c>
      <c r="N32" s="64" t="s">
        <v>1764</v>
      </c>
      <c r="O32" s="12" t="str">
        <f t="shared" si="0"/>
        <v>99547;4,99;3,99;5</v>
      </c>
      <c r="P32" s="24"/>
      <c r="Q32" s="9">
        <v>5</v>
      </c>
      <c r="R32" s="26" t="s">
        <v>160</v>
      </c>
    </row>
    <row r="33" spans="1:18" ht="15" customHeight="1">
      <c r="A33" s="172"/>
      <c r="B33" s="169"/>
      <c r="C33" s="10" t="s">
        <v>3516</v>
      </c>
      <c r="D33" s="38" t="s">
        <v>816</v>
      </c>
      <c r="E33" s="121">
        <v>3.99</v>
      </c>
      <c r="F33" s="122">
        <v>3.49</v>
      </c>
      <c r="G33" s="102" t="s">
        <v>3516</v>
      </c>
      <c r="H33" s="104">
        <v>98786</v>
      </c>
      <c r="I33"/>
      <c r="J33" s="69" t="str">
        <f t="shared" si="1"/>
        <v>Código Unificado</v>
      </c>
      <c r="K33" s="68">
        <f>COUNTIF('Base - Cód Barras'!A:A,C33)</f>
        <v>1</v>
      </c>
      <c r="L33"/>
      <c r="M33" s="61" t="s">
        <v>3804</v>
      </c>
      <c r="N33" s="64" t="s">
        <v>1764</v>
      </c>
      <c r="O33" s="12" t="str">
        <f t="shared" si="0"/>
        <v>98786;3,99;3,49;5</v>
      </c>
      <c r="P33" s="24"/>
      <c r="Q33" s="9">
        <v>5</v>
      </c>
      <c r="R33" s="26" t="s">
        <v>160</v>
      </c>
    </row>
    <row r="34" spans="1:18" ht="15.75" customHeight="1">
      <c r="A34" s="172"/>
      <c r="B34" s="169"/>
      <c r="C34" s="10" t="s">
        <v>3644</v>
      </c>
      <c r="D34" s="38" t="s">
        <v>816</v>
      </c>
      <c r="E34" s="121">
        <v>3.99</v>
      </c>
      <c r="F34" s="122">
        <v>2.99</v>
      </c>
      <c r="G34" s="102" t="s">
        <v>3644</v>
      </c>
      <c r="H34" s="104">
        <v>98960</v>
      </c>
      <c r="I34"/>
      <c r="J34" s="69" t="str">
        <f t="shared" si="1"/>
        <v>Código Unificado</v>
      </c>
      <c r="K34" s="68">
        <f>COUNTIF('Base - Cód Barras'!A:A,C34)</f>
        <v>1</v>
      </c>
      <c r="L34"/>
      <c r="M34" s="61" t="s">
        <v>3804</v>
      </c>
      <c r="N34" s="64" t="s">
        <v>1764</v>
      </c>
      <c r="O34" s="12" t="str">
        <f t="shared" si="0"/>
        <v>98960;3,99;2,99;5</v>
      </c>
      <c r="P34" s="24"/>
      <c r="Q34" s="9">
        <v>5</v>
      </c>
      <c r="R34" s="26" t="s">
        <v>160</v>
      </c>
    </row>
    <row r="35" spans="1:18">
      <c r="A35" s="172"/>
      <c r="B35" s="169"/>
      <c r="C35" s="10" t="s">
        <v>3608</v>
      </c>
      <c r="D35" s="38" t="s">
        <v>3800</v>
      </c>
      <c r="E35" s="121">
        <v>6.99</v>
      </c>
      <c r="F35" s="122">
        <v>5.99</v>
      </c>
      <c r="G35" s="102" t="s">
        <v>3608</v>
      </c>
      <c r="H35" s="104">
        <v>98892</v>
      </c>
      <c r="I35"/>
      <c r="J35" s="69" t="str">
        <f t="shared" si="1"/>
        <v>Código Unificado</v>
      </c>
      <c r="K35" s="68">
        <f>COUNTIF('Base - Cód Barras'!A:A,C35)</f>
        <v>1</v>
      </c>
      <c r="L35"/>
      <c r="M35" s="61" t="s">
        <v>3804</v>
      </c>
      <c r="N35" s="64" t="s">
        <v>1764</v>
      </c>
      <c r="O35" s="12" t="str">
        <f t="shared" si="0"/>
        <v>98892;6,99;5,99;10</v>
      </c>
      <c r="P35" s="24"/>
      <c r="Q35" s="9">
        <v>10</v>
      </c>
      <c r="R35" s="26" t="s">
        <v>160</v>
      </c>
    </row>
    <row r="36" spans="1:18">
      <c r="A36" s="172"/>
      <c r="B36" s="169"/>
      <c r="C36" s="10" t="s">
        <v>3801</v>
      </c>
      <c r="D36" s="38" t="s">
        <v>816</v>
      </c>
      <c r="E36" s="121">
        <v>8.99</v>
      </c>
      <c r="F36" s="122">
        <v>7.99</v>
      </c>
      <c r="G36" s="102" t="str">
        <f>VLOOKUP(C36,'Base - Cód Barras'!A:D,3,0)</f>
        <v>Maçã Fuji - Kg</v>
      </c>
      <c r="H36" s="104">
        <f>VLOOKUP(C36,'Base - Cód Barras'!A:D,4,0)</f>
        <v>98120</v>
      </c>
      <c r="I36"/>
      <c r="J36" s="69" t="str">
        <f t="shared" si="1"/>
        <v>Código Unificado</v>
      </c>
      <c r="K36" s="68">
        <f>COUNTIF('Base - Cód Barras'!A:A,C36)</f>
        <v>1</v>
      </c>
      <c r="L36"/>
      <c r="M36" s="61" t="s">
        <v>3804</v>
      </c>
      <c r="N36" s="64" t="s">
        <v>1764</v>
      </c>
      <c r="O36" s="12" t="str">
        <f t="shared" si="0"/>
        <v>98120;8,99;7,99;5</v>
      </c>
      <c r="P36" s="24"/>
      <c r="Q36" s="9">
        <v>5</v>
      </c>
      <c r="R36" s="26" t="s">
        <v>160</v>
      </c>
    </row>
    <row r="37" spans="1:18">
      <c r="A37" s="172"/>
      <c r="B37" s="169"/>
      <c r="C37" s="10" t="s">
        <v>3561</v>
      </c>
      <c r="D37" s="38" t="s">
        <v>816</v>
      </c>
      <c r="E37" s="121">
        <v>3.99</v>
      </c>
      <c r="F37" s="122">
        <v>2.99</v>
      </c>
      <c r="G37" s="102" t="s">
        <v>3561</v>
      </c>
      <c r="H37" s="104">
        <v>98854</v>
      </c>
      <c r="I37"/>
      <c r="J37" s="69" t="str">
        <f t="shared" si="1"/>
        <v>Código Unificado</v>
      </c>
      <c r="K37" s="68">
        <f>COUNTIF('Base - Cód Barras'!A:A,C37)</f>
        <v>1</v>
      </c>
      <c r="L37"/>
      <c r="M37" s="61" t="s">
        <v>3804</v>
      </c>
      <c r="N37" s="64" t="s">
        <v>1764</v>
      </c>
      <c r="O37" s="12" t="str">
        <f t="shared" si="0"/>
        <v>98854;3,99;2,99;5</v>
      </c>
      <c r="P37" s="24"/>
      <c r="Q37" s="9">
        <v>5</v>
      </c>
      <c r="R37" s="26" t="s">
        <v>160</v>
      </c>
    </row>
    <row r="38" spans="1:18">
      <c r="A38" s="172"/>
      <c r="B38" s="169"/>
      <c r="C38" s="10" t="s">
        <v>127</v>
      </c>
      <c r="D38" s="38" t="s">
        <v>816</v>
      </c>
      <c r="E38" s="121">
        <f>2.99*10</f>
        <v>29.900000000000002</v>
      </c>
      <c r="F38" s="122">
        <f>2.79*10</f>
        <v>27.9</v>
      </c>
      <c r="G38" s="102" t="s">
        <v>127</v>
      </c>
      <c r="H38" s="104">
        <v>99837</v>
      </c>
      <c r="I38"/>
      <c r="J38" s="69" t="str">
        <f t="shared" si="1"/>
        <v>Código Unificado</v>
      </c>
      <c r="K38" s="68">
        <f>COUNTIF('Base - Cód Barras'!A:A,C38)</f>
        <v>1</v>
      </c>
      <c r="L38"/>
      <c r="M38" s="61" t="s">
        <v>3804</v>
      </c>
      <c r="N38" s="64" t="s">
        <v>1764</v>
      </c>
      <c r="O38" s="12" t="str">
        <f t="shared" si="0"/>
        <v>99837;29,9;27,9;5</v>
      </c>
      <c r="P38" s="24"/>
      <c r="Q38" s="9">
        <v>5</v>
      </c>
      <c r="R38" s="26" t="s">
        <v>160</v>
      </c>
    </row>
    <row r="39" spans="1:18">
      <c r="A39" s="172"/>
      <c r="B39" s="169"/>
      <c r="C39" s="10" t="s">
        <v>103</v>
      </c>
      <c r="D39" s="38" t="s">
        <v>816</v>
      </c>
      <c r="E39" s="121">
        <v>22.99</v>
      </c>
      <c r="F39" s="122">
        <v>18.989999999999998</v>
      </c>
      <c r="G39" s="102" t="s">
        <v>103</v>
      </c>
      <c r="H39" s="104">
        <v>99738</v>
      </c>
      <c r="I39"/>
      <c r="J39" s="69" t="str">
        <f t="shared" si="1"/>
        <v>Código Unificado</v>
      </c>
      <c r="K39" s="68">
        <f>COUNTIF('Base - Cód Barras'!A:A,C39)</f>
        <v>1</v>
      </c>
      <c r="L39"/>
      <c r="M39" s="61" t="s">
        <v>3804</v>
      </c>
      <c r="N39" s="64" t="s">
        <v>1764</v>
      </c>
      <c r="O39" s="12" t="str">
        <f t="shared" si="0"/>
        <v>99738;22,99;18,99;5</v>
      </c>
      <c r="P39" s="24"/>
      <c r="Q39" s="9">
        <v>5</v>
      </c>
      <c r="R39" s="26" t="s">
        <v>160</v>
      </c>
    </row>
    <row r="40" spans="1:18">
      <c r="A40" s="172"/>
      <c r="B40" s="169"/>
      <c r="C40" s="157" t="s">
        <v>3699</v>
      </c>
      <c r="D40" s="38" t="s">
        <v>108</v>
      </c>
      <c r="E40" s="121">
        <v>24.99</v>
      </c>
      <c r="F40" s="122">
        <v>19.989999999999998</v>
      </c>
      <c r="G40" s="102" t="s">
        <v>2811</v>
      </c>
      <c r="H40" s="104">
        <v>7894904283361</v>
      </c>
      <c r="I40"/>
      <c r="J40" s="69" t="str">
        <f t="shared" si="1"/>
        <v>EAN</v>
      </c>
      <c r="K40" s="68">
        <f>COUNTIF('Base - Cód Barras'!A:A,C40)</f>
        <v>2</v>
      </c>
      <c r="L40"/>
      <c r="M40" s="61" t="s">
        <v>3804</v>
      </c>
      <c r="N40" s="64" t="s">
        <v>1764</v>
      </c>
      <c r="O40" s="12" t="str">
        <f t="shared" si="0"/>
        <v>7894904283361;24,99;19,99;3</v>
      </c>
      <c r="P40" s="24"/>
      <c r="Q40" s="9">
        <v>3</v>
      </c>
      <c r="R40" s="26" t="s">
        <v>161</v>
      </c>
    </row>
    <row r="41" spans="1:18">
      <c r="A41" s="172"/>
      <c r="B41" s="169"/>
      <c r="C41" s="159"/>
      <c r="D41" s="38" t="s">
        <v>108</v>
      </c>
      <c r="E41" s="121">
        <v>24.99</v>
      </c>
      <c r="F41" s="122">
        <v>19.989999999999998</v>
      </c>
      <c r="G41" s="102" t="s">
        <v>2810</v>
      </c>
      <c r="H41" s="104">
        <v>7894904283378</v>
      </c>
      <c r="I41"/>
      <c r="J41" s="69" t="str">
        <f t="shared" si="1"/>
        <v>EAN</v>
      </c>
      <c r="K41" s="68"/>
      <c r="L41"/>
      <c r="M41" s="61" t="s">
        <v>3804</v>
      </c>
      <c r="N41" s="64" t="s">
        <v>1764</v>
      </c>
      <c r="O41" s="12" t="str">
        <f t="shared" si="0"/>
        <v>7894904283378;24,99;19,99;3</v>
      </c>
      <c r="P41" s="24"/>
      <c r="Q41" s="9">
        <v>3</v>
      </c>
      <c r="R41" s="26" t="s">
        <v>161</v>
      </c>
    </row>
    <row r="42" spans="1:18">
      <c r="A42" s="172"/>
      <c r="B42" s="169"/>
      <c r="C42" s="10" t="s">
        <v>3489</v>
      </c>
      <c r="D42" s="38" t="s">
        <v>816</v>
      </c>
      <c r="E42" s="121">
        <v>11.99</v>
      </c>
      <c r="F42" s="122">
        <v>9.99</v>
      </c>
      <c r="G42" s="102" t="s">
        <v>58</v>
      </c>
      <c r="H42" s="104">
        <v>99271</v>
      </c>
      <c r="I42"/>
      <c r="J42" s="69" t="str">
        <f t="shared" si="1"/>
        <v>Código Unificado</v>
      </c>
      <c r="K42" s="68">
        <f>COUNTIF('Base - Cód Barras'!A:A,C42)</f>
        <v>1</v>
      </c>
      <c r="L42"/>
      <c r="M42" s="61" t="s">
        <v>3804</v>
      </c>
      <c r="N42" s="64" t="s">
        <v>1764</v>
      </c>
      <c r="O42" s="12" t="str">
        <f t="shared" si="0"/>
        <v>99271;11,99;9,99;5</v>
      </c>
      <c r="P42" s="24"/>
      <c r="Q42" s="9">
        <v>5</v>
      </c>
      <c r="R42" s="26" t="s">
        <v>160</v>
      </c>
    </row>
    <row r="43" spans="1:18">
      <c r="A43" s="172"/>
      <c r="B43" s="169"/>
      <c r="C43" s="157" t="s">
        <v>3357</v>
      </c>
      <c r="D43" s="38" t="s">
        <v>11</v>
      </c>
      <c r="E43" s="121">
        <v>12.99</v>
      </c>
      <c r="F43" s="122">
        <v>10.99</v>
      </c>
      <c r="G43" s="102" t="s">
        <v>3363</v>
      </c>
      <c r="H43" s="104">
        <v>7898063767052</v>
      </c>
      <c r="I43"/>
      <c r="J43" s="69" t="str">
        <f t="shared" si="1"/>
        <v>EAN</v>
      </c>
      <c r="K43" s="68">
        <f>COUNTIF('Base - Cód Barras'!A:A,C43)</f>
        <v>2</v>
      </c>
      <c r="L43"/>
      <c r="M43" s="61" t="s">
        <v>3804</v>
      </c>
      <c r="N43" s="64" t="s">
        <v>1764</v>
      </c>
      <c r="O43" s="12" t="str">
        <f t="shared" si="0"/>
        <v>7898063767052;12,99;10,99;6</v>
      </c>
      <c r="P43" s="24"/>
      <c r="Q43" s="9">
        <v>6</v>
      </c>
      <c r="R43" s="26" t="s">
        <v>161</v>
      </c>
    </row>
    <row r="44" spans="1:18">
      <c r="A44" s="172"/>
      <c r="B44" s="169"/>
      <c r="C44" s="159"/>
      <c r="D44" s="38" t="s">
        <v>11</v>
      </c>
      <c r="E44" s="121">
        <v>12.99</v>
      </c>
      <c r="F44" s="122">
        <v>10.99</v>
      </c>
      <c r="G44" s="102" t="s">
        <v>3363</v>
      </c>
      <c r="H44" s="104">
        <v>7896000594020</v>
      </c>
      <c r="I44"/>
      <c r="J44" s="69" t="str">
        <f t="shared" si="1"/>
        <v>EAN</v>
      </c>
      <c r="K44" s="68"/>
      <c r="L44"/>
      <c r="M44" s="61" t="s">
        <v>3804</v>
      </c>
      <c r="N44" s="64" t="s">
        <v>1764</v>
      </c>
      <c r="O44" s="12" t="str">
        <f t="shared" si="0"/>
        <v>7896000594020;12,99;10,99;6</v>
      </c>
      <c r="P44" s="24"/>
      <c r="Q44" s="9">
        <v>6</v>
      </c>
      <c r="R44" s="26" t="s">
        <v>161</v>
      </c>
    </row>
    <row r="45" spans="1:18">
      <c r="A45" s="172"/>
      <c r="B45" s="169"/>
      <c r="C45" s="157" t="s">
        <v>3129</v>
      </c>
      <c r="D45" s="38" t="s">
        <v>1669</v>
      </c>
      <c r="E45" s="121">
        <v>6.99</v>
      </c>
      <c r="F45" s="122">
        <v>5.99</v>
      </c>
      <c r="G45" s="102" t="s">
        <v>3130</v>
      </c>
      <c r="H45" s="104">
        <v>7891991304870</v>
      </c>
      <c r="I45"/>
      <c r="J45" s="69" t="str">
        <f t="shared" si="1"/>
        <v>EAN</v>
      </c>
      <c r="K45" s="68">
        <f>COUNTIF('Base - Cód Barras'!A:A,C79)</f>
        <v>2</v>
      </c>
      <c r="L45"/>
      <c r="M45" s="61" t="s">
        <v>3804</v>
      </c>
      <c r="N45" s="64" t="s">
        <v>1764</v>
      </c>
      <c r="O45" s="12" t="str">
        <f t="shared" si="0"/>
        <v>7891991304870;6,99;5,99;120</v>
      </c>
      <c r="P45" s="24"/>
      <c r="Q45" s="9">
        <v>120</v>
      </c>
      <c r="R45" s="26" t="s">
        <v>161</v>
      </c>
    </row>
    <row r="46" spans="1:18">
      <c r="A46" s="172"/>
      <c r="B46" s="169"/>
      <c r="C46" s="159"/>
      <c r="D46" s="38" t="s">
        <v>3148</v>
      </c>
      <c r="E46" s="121">
        <f>6.99*6</f>
        <v>41.94</v>
      </c>
      <c r="F46" s="122">
        <f>5.99*6</f>
        <v>35.94</v>
      </c>
      <c r="G46" s="102" t="s">
        <v>3139</v>
      </c>
      <c r="H46" s="104">
        <v>7891991304887</v>
      </c>
      <c r="I46"/>
      <c r="J46" s="69" t="str">
        <f t="shared" si="1"/>
        <v>EAN</v>
      </c>
      <c r="K46" s="68"/>
      <c r="L46"/>
      <c r="M46" s="61" t="s">
        <v>3804</v>
      </c>
      <c r="N46" s="64" t="s">
        <v>1764</v>
      </c>
      <c r="O46" s="12" t="str">
        <f t="shared" si="0"/>
        <v>7891991304887;41,94;35,94;20</v>
      </c>
      <c r="P46" s="24"/>
      <c r="Q46" s="9">
        <v>20</v>
      </c>
      <c r="R46" s="26" t="s">
        <v>341</v>
      </c>
    </row>
    <row r="47" spans="1:18">
      <c r="A47" s="172"/>
      <c r="B47" s="169"/>
      <c r="C47" s="157" t="s">
        <v>2785</v>
      </c>
      <c r="D47" s="38" t="s">
        <v>1138</v>
      </c>
      <c r="E47" s="121">
        <v>4.59</v>
      </c>
      <c r="F47" s="122">
        <v>3.99</v>
      </c>
      <c r="G47" s="102" t="s">
        <v>2789</v>
      </c>
      <c r="H47" s="104">
        <v>7897395000943</v>
      </c>
      <c r="I47"/>
      <c r="J47" s="69" t="str">
        <f t="shared" si="1"/>
        <v>EAN</v>
      </c>
      <c r="K47" s="68">
        <f>COUNTIF('Base - Cód Barras'!A:A,C47)</f>
        <v>2</v>
      </c>
      <c r="L47"/>
      <c r="M47" s="61" t="s">
        <v>3804</v>
      </c>
      <c r="N47" s="64" t="s">
        <v>1764</v>
      </c>
      <c r="O47" s="12" t="str">
        <f t="shared" si="0"/>
        <v>7897395000943;4,59;3,99;60</v>
      </c>
      <c r="P47" s="24"/>
      <c r="Q47" s="9">
        <v>60</v>
      </c>
      <c r="R47" s="26" t="s">
        <v>161</v>
      </c>
    </row>
    <row r="48" spans="1:18">
      <c r="A48" s="172"/>
      <c r="B48" s="169"/>
      <c r="C48" s="159"/>
      <c r="D48" s="38" t="s">
        <v>1673</v>
      </c>
      <c r="E48" s="121">
        <f>4.59*6</f>
        <v>27.54</v>
      </c>
      <c r="F48" s="122">
        <f>3.99*6</f>
        <v>23.94</v>
      </c>
      <c r="G48" s="102" t="s">
        <v>2794</v>
      </c>
      <c r="H48" s="104">
        <v>7897395000950</v>
      </c>
      <c r="I48"/>
      <c r="J48" s="69" t="str">
        <f t="shared" si="1"/>
        <v>EAN</v>
      </c>
      <c r="K48" s="68"/>
      <c r="L48"/>
      <c r="M48" s="61" t="s">
        <v>3804</v>
      </c>
      <c r="N48" s="64" t="s">
        <v>1764</v>
      </c>
      <c r="O48" s="12" t="str">
        <f t="shared" si="0"/>
        <v>7897395000950;27,54;23,94;10</v>
      </c>
      <c r="P48" s="24"/>
      <c r="Q48" s="9">
        <v>10</v>
      </c>
      <c r="R48" s="26" t="s">
        <v>341</v>
      </c>
    </row>
    <row r="49" spans="1:18">
      <c r="A49" s="172"/>
      <c r="B49" s="169"/>
      <c r="C49" s="157" t="s">
        <v>1218</v>
      </c>
      <c r="D49" s="38" t="s">
        <v>12</v>
      </c>
      <c r="E49" s="121">
        <v>35.9</v>
      </c>
      <c r="F49" s="122">
        <v>29.9</v>
      </c>
      <c r="G49" s="102" t="s">
        <v>1222</v>
      </c>
      <c r="H49" s="104">
        <v>7898926684069</v>
      </c>
      <c r="I49"/>
      <c r="J49" s="69" t="str">
        <f t="shared" si="1"/>
        <v>EAN</v>
      </c>
      <c r="K49" s="68">
        <f>COUNTIF('Base - Cód Barras'!A:A,C49)</f>
        <v>2</v>
      </c>
      <c r="L49"/>
      <c r="M49" s="61" t="s">
        <v>3804</v>
      </c>
      <c r="N49" s="64" t="s">
        <v>1764</v>
      </c>
      <c r="O49" s="12" t="str">
        <f t="shared" si="0"/>
        <v>7898926684069;35,9;29,9;12</v>
      </c>
      <c r="P49" s="24"/>
      <c r="Q49" s="9">
        <v>12</v>
      </c>
      <c r="R49" s="26" t="s">
        <v>161</v>
      </c>
    </row>
    <row r="50" spans="1:18">
      <c r="A50" s="172"/>
      <c r="B50" s="169"/>
      <c r="C50" s="159"/>
      <c r="D50" s="38" t="s">
        <v>12</v>
      </c>
      <c r="E50" s="121">
        <v>35.9</v>
      </c>
      <c r="F50" s="122">
        <v>29.9</v>
      </c>
      <c r="G50" s="102" t="s">
        <v>1223</v>
      </c>
      <c r="H50" s="104">
        <v>7898926684076</v>
      </c>
      <c r="I50"/>
      <c r="J50" s="69" t="str">
        <f t="shared" si="1"/>
        <v>EAN</v>
      </c>
      <c r="K50" s="68"/>
      <c r="L50"/>
      <c r="M50" s="61" t="s">
        <v>3804</v>
      </c>
      <c r="N50" s="64" t="s">
        <v>1764</v>
      </c>
      <c r="O50" s="12" t="str">
        <f t="shared" si="0"/>
        <v>7898926684076;35,9;29,9;12</v>
      </c>
      <c r="P50" s="24"/>
      <c r="Q50" s="9">
        <v>12</v>
      </c>
      <c r="R50" s="26" t="s">
        <v>161</v>
      </c>
    </row>
    <row r="51" spans="1:18">
      <c r="A51" s="172"/>
      <c r="B51" s="169"/>
      <c r="C51" s="157" t="s">
        <v>3287</v>
      </c>
      <c r="D51" s="38" t="s">
        <v>11</v>
      </c>
      <c r="E51" s="121">
        <v>45.9</v>
      </c>
      <c r="F51" s="122">
        <v>39.9</v>
      </c>
      <c r="G51" s="102" t="s">
        <v>3288</v>
      </c>
      <c r="H51" s="104">
        <v>7500435226943</v>
      </c>
      <c r="I51"/>
      <c r="J51" s="69" t="str">
        <f t="shared" si="1"/>
        <v>EAN</v>
      </c>
      <c r="K51" s="68">
        <f>COUNTIF('Base - Cód Barras'!A:A,C51)</f>
        <v>5</v>
      </c>
      <c r="L51"/>
      <c r="M51" s="61" t="s">
        <v>3804</v>
      </c>
      <c r="N51" s="64" t="s">
        <v>1764</v>
      </c>
      <c r="O51" s="12" t="str">
        <f t="shared" si="0"/>
        <v>7500435226943;45,9;39,9;6</v>
      </c>
      <c r="P51" s="24"/>
      <c r="Q51" s="9">
        <v>6</v>
      </c>
      <c r="R51" s="26" t="s">
        <v>161</v>
      </c>
    </row>
    <row r="52" spans="1:18">
      <c r="A52" s="172"/>
      <c r="B52" s="169"/>
      <c r="C52" s="158"/>
      <c r="D52" s="38" t="s">
        <v>11</v>
      </c>
      <c r="E52" s="121">
        <v>45.9</v>
      </c>
      <c r="F52" s="122">
        <v>39.9</v>
      </c>
      <c r="G52" s="102" t="s">
        <v>3289</v>
      </c>
      <c r="H52" s="104">
        <v>7500435226950</v>
      </c>
      <c r="I52"/>
      <c r="J52" s="69" t="str">
        <f t="shared" si="1"/>
        <v>EAN</v>
      </c>
      <c r="K52" s="68"/>
      <c r="L52"/>
      <c r="M52" s="61" t="s">
        <v>3804</v>
      </c>
      <c r="N52" s="64" t="s">
        <v>1764</v>
      </c>
      <c r="O52" s="12" t="str">
        <f t="shared" si="0"/>
        <v>7500435226950;45,9;39,9;6</v>
      </c>
      <c r="P52" s="24"/>
      <c r="Q52" s="9">
        <v>6</v>
      </c>
      <c r="R52" s="26" t="s">
        <v>161</v>
      </c>
    </row>
    <row r="53" spans="1:18">
      <c r="A53" s="172"/>
      <c r="B53" s="169"/>
      <c r="C53" s="158"/>
      <c r="D53" s="38" t="s">
        <v>11</v>
      </c>
      <c r="E53" s="121">
        <v>45.9</v>
      </c>
      <c r="F53" s="122">
        <v>39.9</v>
      </c>
      <c r="G53" s="102" t="s">
        <v>3290</v>
      </c>
      <c r="H53" s="104">
        <v>7500435239417</v>
      </c>
      <c r="I53"/>
      <c r="J53" s="69" t="str">
        <f t="shared" si="1"/>
        <v>EAN</v>
      </c>
      <c r="K53" s="68"/>
      <c r="L53"/>
      <c r="M53" s="61" t="s">
        <v>3804</v>
      </c>
      <c r="N53" s="64" t="s">
        <v>1764</v>
      </c>
      <c r="O53" s="12" t="str">
        <f t="shared" si="0"/>
        <v>7500435239417;45,9;39,9;6</v>
      </c>
      <c r="P53" s="24"/>
      <c r="Q53" s="9">
        <v>6</v>
      </c>
      <c r="R53" s="26" t="s">
        <v>161</v>
      </c>
    </row>
    <row r="54" spans="1:18">
      <c r="A54" s="172"/>
      <c r="B54" s="169"/>
      <c r="C54" s="158"/>
      <c r="D54" s="38" t="s">
        <v>11</v>
      </c>
      <c r="E54" s="121">
        <v>45.9</v>
      </c>
      <c r="F54" s="122">
        <v>39.9</v>
      </c>
      <c r="G54" s="102" t="s">
        <v>3291</v>
      </c>
      <c r="H54" s="104">
        <v>7500435244671</v>
      </c>
      <c r="I54"/>
      <c r="J54" s="69" t="str">
        <f t="shared" si="1"/>
        <v>EAN</v>
      </c>
      <c r="K54" s="68"/>
      <c r="L54"/>
      <c r="M54" s="61" t="s">
        <v>3804</v>
      </c>
      <c r="N54" s="64" t="s">
        <v>1764</v>
      </c>
      <c r="O54" s="12" t="str">
        <f t="shared" si="0"/>
        <v>7500435244671;45,9;39,9;6</v>
      </c>
      <c r="P54" s="24"/>
      <c r="Q54" s="9">
        <v>6</v>
      </c>
      <c r="R54" s="26" t="s">
        <v>161</v>
      </c>
    </row>
    <row r="55" spans="1:18">
      <c r="A55" s="172"/>
      <c r="B55" s="169"/>
      <c r="C55" s="159"/>
      <c r="D55" s="38" t="s">
        <v>11</v>
      </c>
      <c r="E55" s="121">
        <v>45.9</v>
      </c>
      <c r="F55" s="122">
        <v>39.9</v>
      </c>
      <c r="G55" s="102" t="s">
        <v>3292</v>
      </c>
      <c r="H55" s="104">
        <v>7500435244664</v>
      </c>
      <c r="I55"/>
      <c r="J55" s="69" t="str">
        <f t="shared" si="1"/>
        <v>EAN</v>
      </c>
      <c r="K55" s="68"/>
      <c r="L55"/>
      <c r="M55" s="61" t="s">
        <v>3804</v>
      </c>
      <c r="N55" s="64" t="s">
        <v>1764</v>
      </c>
      <c r="O55" s="12" t="str">
        <f t="shared" si="0"/>
        <v>7500435244664;45,9;39,9;6</v>
      </c>
      <c r="P55" s="24"/>
      <c r="Q55" s="9">
        <v>6</v>
      </c>
      <c r="R55" s="26" t="s">
        <v>161</v>
      </c>
    </row>
    <row r="56" spans="1:18">
      <c r="A56" s="172"/>
      <c r="B56" s="169"/>
      <c r="C56" s="157" t="s">
        <v>3240</v>
      </c>
      <c r="D56" s="38" t="s">
        <v>11</v>
      </c>
      <c r="E56" s="121">
        <v>21.9</v>
      </c>
      <c r="F56" s="122">
        <v>18.899999999999999</v>
      </c>
      <c r="G56" s="102" t="s">
        <v>3072</v>
      </c>
      <c r="H56" s="104">
        <v>7500435243650</v>
      </c>
      <c r="I56"/>
      <c r="J56" s="69" t="str">
        <f t="shared" si="1"/>
        <v>EAN</v>
      </c>
      <c r="K56" s="68">
        <f>COUNTIF('Base - Cód Barras'!A:A,C56)</f>
        <v>10</v>
      </c>
      <c r="L56"/>
      <c r="M56" s="61" t="s">
        <v>3804</v>
      </c>
      <c r="N56" s="64" t="s">
        <v>1764</v>
      </c>
      <c r="O56" s="12" t="str">
        <f t="shared" si="0"/>
        <v>7500435243650;21,9;18,9;6</v>
      </c>
      <c r="P56" s="24"/>
      <c r="Q56" s="9">
        <v>6</v>
      </c>
      <c r="R56" s="26" t="s">
        <v>161</v>
      </c>
    </row>
    <row r="57" spans="1:18">
      <c r="A57" s="172"/>
      <c r="B57" s="169"/>
      <c r="C57" s="158"/>
      <c r="D57" s="38" t="s">
        <v>11</v>
      </c>
      <c r="E57" s="121">
        <v>21.9</v>
      </c>
      <c r="F57" s="122">
        <v>18.899999999999999</v>
      </c>
      <c r="G57" s="102" t="s">
        <v>3073</v>
      </c>
      <c r="H57" s="104">
        <v>7506339332643</v>
      </c>
      <c r="I57"/>
      <c r="J57" s="69" t="str">
        <f t="shared" si="1"/>
        <v>EAN</v>
      </c>
      <c r="K57" s="68"/>
      <c r="L57"/>
      <c r="M57" s="61" t="s">
        <v>3804</v>
      </c>
      <c r="N57" s="64" t="s">
        <v>1764</v>
      </c>
      <c r="O57" s="12" t="str">
        <f t="shared" si="0"/>
        <v>7506339332643;21,9;18,9;6</v>
      </c>
      <c r="P57" s="24"/>
      <c r="Q57" s="9">
        <v>6</v>
      </c>
      <c r="R57" s="26" t="s">
        <v>161</v>
      </c>
    </row>
    <row r="58" spans="1:18">
      <c r="A58" s="172"/>
      <c r="B58" s="169"/>
      <c r="C58" s="158"/>
      <c r="D58" s="38" t="s">
        <v>11</v>
      </c>
      <c r="E58" s="121">
        <v>21.9</v>
      </c>
      <c r="F58" s="122">
        <v>18.899999999999999</v>
      </c>
      <c r="G58" s="102" t="s">
        <v>3074</v>
      </c>
      <c r="H58" s="104">
        <v>7500435153850</v>
      </c>
      <c r="I58"/>
      <c r="J58" s="69" t="str">
        <f t="shared" si="1"/>
        <v>EAN</v>
      </c>
      <c r="K58" s="68"/>
      <c r="L58"/>
      <c r="M58" s="61" t="s">
        <v>3804</v>
      </c>
      <c r="N58" s="64" t="s">
        <v>1764</v>
      </c>
      <c r="O58" s="12" t="str">
        <f t="shared" si="0"/>
        <v>7500435153850;21,9;18,9;6</v>
      </c>
      <c r="P58" s="24"/>
      <c r="Q58" s="9">
        <v>6</v>
      </c>
      <c r="R58" s="26" t="s">
        <v>161</v>
      </c>
    </row>
    <row r="59" spans="1:18">
      <c r="A59" s="172"/>
      <c r="B59" s="169"/>
      <c r="C59" s="158"/>
      <c r="D59" s="38" t="s">
        <v>11</v>
      </c>
      <c r="E59" s="121">
        <v>21.9</v>
      </c>
      <c r="F59" s="122">
        <v>18.899999999999999</v>
      </c>
      <c r="G59" s="102" t="s">
        <v>3075</v>
      </c>
      <c r="H59" s="104">
        <v>7506339389876</v>
      </c>
      <c r="I59"/>
      <c r="J59" s="69" t="str">
        <f t="shared" si="1"/>
        <v>EAN</v>
      </c>
      <c r="K59" s="68"/>
      <c r="L59"/>
      <c r="M59" s="61" t="s">
        <v>3804</v>
      </c>
      <c r="N59" s="64" t="s">
        <v>1764</v>
      </c>
      <c r="O59" s="12" t="str">
        <f t="shared" si="0"/>
        <v>7506339389876;21,9;18,9;6</v>
      </c>
      <c r="P59" s="24"/>
      <c r="Q59" s="9">
        <v>6</v>
      </c>
      <c r="R59" s="26" t="s">
        <v>161</v>
      </c>
    </row>
    <row r="60" spans="1:18">
      <c r="A60" s="172"/>
      <c r="B60" s="169"/>
      <c r="C60" s="158"/>
      <c r="D60" s="38" t="s">
        <v>11</v>
      </c>
      <c r="E60" s="121">
        <v>21.9</v>
      </c>
      <c r="F60" s="122">
        <v>18.899999999999999</v>
      </c>
      <c r="G60" s="102" t="s">
        <v>3076</v>
      </c>
      <c r="H60" s="104">
        <v>7500435201285</v>
      </c>
      <c r="I60"/>
      <c r="J60" s="69" t="str">
        <f t="shared" si="1"/>
        <v>EAN</v>
      </c>
      <c r="K60" s="68"/>
      <c r="L60"/>
      <c r="M60" s="61" t="s">
        <v>3804</v>
      </c>
      <c r="N60" s="64" t="s">
        <v>1764</v>
      </c>
      <c r="O60" s="12" t="str">
        <f t="shared" si="0"/>
        <v>7500435201285;21,9;18,9;6</v>
      </c>
      <c r="P60" s="24"/>
      <c r="Q60" s="9">
        <v>6</v>
      </c>
      <c r="R60" s="26" t="s">
        <v>161</v>
      </c>
    </row>
    <row r="61" spans="1:18">
      <c r="A61" s="172"/>
      <c r="B61" s="169"/>
      <c r="C61" s="158"/>
      <c r="D61" s="38" t="s">
        <v>11</v>
      </c>
      <c r="E61" s="121">
        <v>21.9</v>
      </c>
      <c r="F61" s="122">
        <v>18.899999999999999</v>
      </c>
      <c r="G61" s="102" t="s">
        <v>3077</v>
      </c>
      <c r="H61" s="104">
        <v>7500435160001</v>
      </c>
      <c r="I61"/>
      <c r="J61" s="69" t="str">
        <f t="shared" si="1"/>
        <v>EAN</v>
      </c>
      <c r="K61" s="68"/>
      <c r="L61"/>
      <c r="M61" s="61" t="s">
        <v>3804</v>
      </c>
      <c r="N61" s="64" t="s">
        <v>1764</v>
      </c>
      <c r="O61" s="12" t="str">
        <f t="shared" si="0"/>
        <v>7500435160001;21,9;18,9;6</v>
      </c>
      <c r="P61" s="24"/>
      <c r="Q61" s="9">
        <v>6</v>
      </c>
      <c r="R61" s="26" t="s">
        <v>161</v>
      </c>
    </row>
    <row r="62" spans="1:18">
      <c r="A62" s="172"/>
      <c r="B62" s="169"/>
      <c r="C62" s="158"/>
      <c r="D62" s="38" t="s">
        <v>11</v>
      </c>
      <c r="E62" s="121">
        <v>21.9</v>
      </c>
      <c r="F62" s="122">
        <v>18.899999999999999</v>
      </c>
      <c r="G62" s="102" t="s">
        <v>3078</v>
      </c>
      <c r="H62" s="104">
        <v>7500435160018</v>
      </c>
      <c r="I62"/>
      <c r="J62" s="69" t="str">
        <f t="shared" si="1"/>
        <v>EAN</v>
      </c>
      <c r="K62" s="68"/>
      <c r="L62"/>
      <c r="M62" s="61" t="s">
        <v>3804</v>
      </c>
      <c r="N62" s="64" t="s">
        <v>1764</v>
      </c>
      <c r="O62" s="12" t="str">
        <f t="shared" si="0"/>
        <v>7500435160018;21,9;18,9;6</v>
      </c>
      <c r="P62" s="24"/>
      <c r="Q62" s="9">
        <v>6</v>
      </c>
      <c r="R62" s="26" t="s">
        <v>161</v>
      </c>
    </row>
    <row r="63" spans="1:18">
      <c r="A63" s="172"/>
      <c r="B63" s="169"/>
      <c r="C63" s="158"/>
      <c r="D63" s="38" t="s">
        <v>11</v>
      </c>
      <c r="E63" s="121">
        <v>21.9</v>
      </c>
      <c r="F63" s="122">
        <v>18.899999999999999</v>
      </c>
      <c r="G63" s="102" t="s">
        <v>3558</v>
      </c>
      <c r="H63" s="104">
        <v>7500435252201</v>
      </c>
      <c r="I63"/>
      <c r="J63" s="69" t="str">
        <f t="shared" si="1"/>
        <v>EAN</v>
      </c>
      <c r="K63" s="68"/>
      <c r="L63"/>
      <c r="M63" s="61" t="s">
        <v>3804</v>
      </c>
      <c r="N63" s="64" t="s">
        <v>1764</v>
      </c>
      <c r="O63" s="12" t="str">
        <f t="shared" si="0"/>
        <v>7500435252201;21,9;18,9;6</v>
      </c>
      <c r="P63" s="24"/>
      <c r="Q63" s="9">
        <v>6</v>
      </c>
      <c r="R63" s="26" t="s">
        <v>161</v>
      </c>
    </row>
    <row r="64" spans="1:18">
      <c r="A64" s="172"/>
      <c r="B64" s="169"/>
      <c r="C64" s="158"/>
      <c r="D64" s="38" t="s">
        <v>11</v>
      </c>
      <c r="E64" s="121">
        <v>21.9</v>
      </c>
      <c r="F64" s="122">
        <v>18.899999999999999</v>
      </c>
      <c r="G64" s="102" t="s">
        <v>3079</v>
      </c>
      <c r="H64" s="104">
        <v>7500435156967</v>
      </c>
      <c r="I64"/>
      <c r="J64" s="69" t="str">
        <f t="shared" si="1"/>
        <v>EAN</v>
      </c>
      <c r="K64" s="68"/>
      <c r="L64"/>
      <c r="M64" s="61" t="s">
        <v>3804</v>
      </c>
      <c r="N64" s="64" t="s">
        <v>1764</v>
      </c>
      <c r="O64" s="12" t="str">
        <f t="shared" si="0"/>
        <v>7500435156967;21,9;18,9;6</v>
      </c>
      <c r="P64" s="24"/>
      <c r="Q64" s="9">
        <v>6</v>
      </c>
      <c r="R64" s="26" t="s">
        <v>161</v>
      </c>
    </row>
    <row r="65" spans="1:18">
      <c r="A65" s="172"/>
      <c r="B65" s="169"/>
      <c r="C65" s="159"/>
      <c r="D65" s="38" t="s">
        <v>11</v>
      </c>
      <c r="E65" s="121">
        <v>21.9</v>
      </c>
      <c r="F65" s="122">
        <v>18.899999999999999</v>
      </c>
      <c r="G65" s="102" t="s">
        <v>3649</v>
      </c>
      <c r="H65" s="104">
        <v>7500435259583</v>
      </c>
      <c r="I65"/>
      <c r="J65" s="69" t="str">
        <f t="shared" si="1"/>
        <v>EAN</v>
      </c>
      <c r="K65" s="68"/>
      <c r="L65"/>
      <c r="M65" s="61" t="s">
        <v>3804</v>
      </c>
      <c r="N65" s="64" t="s">
        <v>1764</v>
      </c>
      <c r="O65" s="12" t="str">
        <f t="shared" si="0"/>
        <v>7500435259583;21,9;18,9;6</v>
      </c>
      <c r="P65" s="24"/>
      <c r="Q65" s="9">
        <v>6</v>
      </c>
      <c r="R65" s="26" t="s">
        <v>161</v>
      </c>
    </row>
    <row r="66" spans="1:18">
      <c r="A66" s="172"/>
      <c r="B66" s="169"/>
      <c r="C66" s="10" t="s">
        <v>3723</v>
      </c>
      <c r="D66" s="38" t="s">
        <v>11</v>
      </c>
      <c r="E66" s="121">
        <v>10.99</v>
      </c>
      <c r="F66" s="122">
        <v>8.99</v>
      </c>
      <c r="G66" s="102" t="s">
        <v>3726</v>
      </c>
      <c r="H66" s="104">
        <v>7896040706186</v>
      </c>
      <c r="I66"/>
      <c r="J66" s="69" t="str">
        <f t="shared" si="1"/>
        <v>EAN</v>
      </c>
      <c r="K66" s="68">
        <f>COUNTIF('Base - Cód Barras'!A:A,C66)</f>
        <v>1</v>
      </c>
      <c r="L66"/>
      <c r="M66" s="61" t="s">
        <v>3804</v>
      </c>
      <c r="N66" s="64" t="s">
        <v>1764</v>
      </c>
      <c r="O66" s="12" t="str">
        <f t="shared" si="0"/>
        <v>7896040706186;10,99;8,99;6</v>
      </c>
      <c r="P66" s="24"/>
      <c r="Q66" s="9">
        <v>6</v>
      </c>
      <c r="R66" s="26" t="s">
        <v>161</v>
      </c>
    </row>
    <row r="67" spans="1:18">
      <c r="A67" s="172"/>
      <c r="B67" s="169"/>
      <c r="C67" s="10" t="s">
        <v>665</v>
      </c>
      <c r="D67" s="38" t="s">
        <v>11</v>
      </c>
      <c r="E67" s="121">
        <v>69.900000000000006</v>
      </c>
      <c r="F67" s="122">
        <v>59.9</v>
      </c>
      <c r="G67" s="102" t="s">
        <v>666</v>
      </c>
      <c r="H67" s="104">
        <v>7897753669461</v>
      </c>
      <c r="I67"/>
      <c r="J67" s="69" t="str">
        <f t="shared" si="1"/>
        <v>EAN</v>
      </c>
      <c r="K67" s="68">
        <f>COUNTIF('Base - Cód Barras'!A:A,C67)</f>
        <v>1</v>
      </c>
      <c r="L67"/>
      <c r="M67" s="61" t="s">
        <v>3804</v>
      </c>
      <c r="N67" s="64" t="s">
        <v>1764</v>
      </c>
      <c r="O67" s="12" t="str">
        <f t="shared" si="0"/>
        <v>7897753669461;69,9;59,9;6</v>
      </c>
      <c r="P67" s="24"/>
      <c r="Q67" s="9">
        <v>6</v>
      </c>
      <c r="R67" s="26" t="s">
        <v>161</v>
      </c>
    </row>
    <row r="68" spans="1:18">
      <c r="A68" s="173"/>
      <c r="B68" s="170"/>
      <c r="C68" s="10" t="s">
        <v>81</v>
      </c>
      <c r="D68" s="38" t="s">
        <v>11</v>
      </c>
      <c r="E68" s="121">
        <v>219</v>
      </c>
      <c r="F68" s="122">
        <v>189</v>
      </c>
      <c r="G68" s="102" t="s">
        <v>829</v>
      </c>
      <c r="H68" s="104">
        <v>7896544402133</v>
      </c>
      <c r="I68"/>
      <c r="J68" s="69" t="str">
        <f t="shared" si="1"/>
        <v>EAN</v>
      </c>
      <c r="K68" s="68">
        <f>COUNTIF('Base - Cód Barras'!A:A,C68)</f>
        <v>1</v>
      </c>
      <c r="L68"/>
      <c r="M68" s="61" t="s">
        <v>3804</v>
      </c>
      <c r="N68" s="64" t="s">
        <v>1764</v>
      </c>
      <c r="O68" s="12" t="str">
        <f t="shared" si="0"/>
        <v>7896544402133;219;189;6</v>
      </c>
      <c r="P68" s="24"/>
      <c r="Q68" s="9">
        <v>6</v>
      </c>
      <c r="R68" s="26" t="s">
        <v>161</v>
      </c>
    </row>
    <row r="69" spans="1:18">
      <c r="A69" s="171" t="s">
        <v>3404</v>
      </c>
      <c r="B69" s="155" t="s">
        <v>3802</v>
      </c>
      <c r="C69" s="138" t="s">
        <v>3085</v>
      </c>
      <c r="D69" s="40" t="s">
        <v>12</v>
      </c>
      <c r="E69" s="128">
        <v>18.989999999999998</v>
      </c>
      <c r="F69" s="129">
        <v>15.99</v>
      </c>
      <c r="G69" s="105" t="s">
        <v>296</v>
      </c>
      <c r="H69" s="125">
        <v>7896864400031</v>
      </c>
      <c r="I69"/>
      <c r="J69" s="69" t="str">
        <f t="shared" si="1"/>
        <v>EAN</v>
      </c>
      <c r="K69" s="68">
        <f>COUNTIF('Base - Cód Barras'!A:A,C69)</f>
        <v>1</v>
      </c>
      <c r="L69"/>
      <c r="M69" s="63" t="s">
        <v>3805</v>
      </c>
      <c r="N69" s="64" t="str">
        <f>(IFERROR(IF(VLOOKUP(H69,$H$3:$H$68,1,0),"Sim","Não"),"Não"))</f>
        <v>Sim</v>
      </c>
      <c r="O69" s="12" t="str">
        <f t="shared" si="0"/>
        <v>7896864400031;18,99;15,99;12</v>
      </c>
      <c r="P69" s="24" t="s">
        <v>148</v>
      </c>
      <c r="Q69" s="9">
        <v>12</v>
      </c>
      <c r="R69" s="26" t="s">
        <v>161</v>
      </c>
    </row>
    <row r="70" spans="1:18">
      <c r="A70" s="172"/>
      <c r="B70" s="169"/>
      <c r="C70" s="138" t="s">
        <v>3435</v>
      </c>
      <c r="D70" s="40" t="s">
        <v>11</v>
      </c>
      <c r="E70" s="128">
        <v>3.49</v>
      </c>
      <c r="F70" s="129">
        <v>2.99</v>
      </c>
      <c r="G70" s="105" t="s">
        <v>312</v>
      </c>
      <c r="H70" s="125">
        <v>7891910000197</v>
      </c>
      <c r="I70"/>
      <c r="J70" s="69" t="str">
        <f t="shared" si="1"/>
        <v>EAN</v>
      </c>
      <c r="K70" s="68">
        <f>COUNTIF('Base - Cód Barras'!A:A,C70)</f>
        <v>1</v>
      </c>
      <c r="L70"/>
      <c r="M70" s="63" t="s">
        <v>3805</v>
      </c>
      <c r="N70" s="64" t="str">
        <f>(IFERROR(IF(VLOOKUP(H70,$H$3:$H$68,1,0),"Sim","Não"),"Não"))</f>
        <v>Sim</v>
      </c>
      <c r="O70" s="12" t="str">
        <f t="shared" si="0"/>
        <v>7891910000197;3,49;2,99;6</v>
      </c>
      <c r="P70" s="24" t="s">
        <v>148</v>
      </c>
      <c r="Q70" s="9">
        <v>6</v>
      </c>
      <c r="R70" s="26" t="s">
        <v>161</v>
      </c>
    </row>
    <row r="71" spans="1:18">
      <c r="A71" s="172"/>
      <c r="B71" s="169"/>
      <c r="C71" s="138" t="s">
        <v>3623</v>
      </c>
      <c r="D71" s="40" t="s">
        <v>11</v>
      </c>
      <c r="E71" s="128">
        <v>32.99</v>
      </c>
      <c r="F71" s="129">
        <v>28.99</v>
      </c>
      <c r="G71" s="105" t="s">
        <v>3617</v>
      </c>
      <c r="H71" s="125">
        <v>5601397010167</v>
      </c>
      <c r="I71"/>
      <c r="J71" s="69" t="str">
        <f t="shared" si="1"/>
        <v>EAN</v>
      </c>
      <c r="K71" s="68">
        <f>COUNTIF('Base - Cód Barras'!A:A,C71)</f>
        <v>1</v>
      </c>
      <c r="L71"/>
      <c r="M71" s="63" t="s">
        <v>3805</v>
      </c>
      <c r="N71" s="64" t="str">
        <f>(IFERROR(IF(VLOOKUP(H71,$H$3:$H$68,1,0),"Sim","Não"),"Não"))</f>
        <v>Sim</v>
      </c>
      <c r="O71" s="12" t="str">
        <f t="shared" si="0"/>
        <v>5601397010167;32,99;28,99;6</v>
      </c>
      <c r="P71" s="24" t="s">
        <v>148</v>
      </c>
      <c r="Q71" s="9">
        <v>6</v>
      </c>
      <c r="R71" s="26" t="s">
        <v>161</v>
      </c>
    </row>
    <row r="72" spans="1:18">
      <c r="A72" s="172"/>
      <c r="B72" s="169"/>
      <c r="C72" s="161" t="s">
        <v>2835</v>
      </c>
      <c r="D72" s="40" t="s">
        <v>12</v>
      </c>
      <c r="E72" s="128">
        <v>26.99</v>
      </c>
      <c r="F72" s="129">
        <v>23.99</v>
      </c>
      <c r="G72" s="105" t="s">
        <v>785</v>
      </c>
      <c r="H72" s="125">
        <v>7896089010916</v>
      </c>
      <c r="I72"/>
      <c r="J72" s="69" t="str">
        <f t="shared" si="1"/>
        <v>EAN</v>
      </c>
      <c r="K72" s="68">
        <f>COUNTIF('Base - Cód Barras'!A:A,C72)</f>
        <v>3</v>
      </c>
      <c r="L72"/>
      <c r="M72" s="63" t="s">
        <v>3805</v>
      </c>
      <c r="N72" s="64" t="str">
        <f>(IFERROR(IF(VLOOKUP(H72,$H$3:$H$68,1,0),"Sim","Não"),"Não"))</f>
        <v>Sim</v>
      </c>
      <c r="O72" s="12" t="str">
        <f t="shared" si="0"/>
        <v>7896089010916;26,99;23,99;12</v>
      </c>
      <c r="P72" s="24" t="s">
        <v>148</v>
      </c>
      <c r="Q72" s="9">
        <v>12</v>
      </c>
      <c r="R72" s="26" t="s">
        <v>161</v>
      </c>
    </row>
    <row r="73" spans="1:18">
      <c r="A73" s="172"/>
      <c r="B73" s="169"/>
      <c r="C73" s="162"/>
      <c r="D73" s="40" t="s">
        <v>12</v>
      </c>
      <c r="E73" s="128">
        <v>26.99</v>
      </c>
      <c r="F73" s="129">
        <v>23.99</v>
      </c>
      <c r="G73" s="105" t="s">
        <v>2846</v>
      </c>
      <c r="H73" s="106">
        <v>7891910021109</v>
      </c>
      <c r="I73"/>
      <c r="J73" s="69" t="str">
        <f t="shared" si="1"/>
        <v>EAN</v>
      </c>
      <c r="K73" s="68"/>
      <c r="L73"/>
      <c r="M73" s="63" t="s">
        <v>3805</v>
      </c>
      <c r="N73" s="64" t="str">
        <f>(IFERROR(IF(VLOOKUP(H73,$H$3:$H$68,1,0),"Sim","Não"),"Não"))</f>
        <v>Sim</v>
      </c>
      <c r="O73" s="12" t="str">
        <f t="shared" si="0"/>
        <v>7891910021109;26,99;23,99;12</v>
      </c>
      <c r="P73" s="24"/>
      <c r="Q73" s="9">
        <v>12</v>
      </c>
      <c r="R73" s="26" t="s">
        <v>161</v>
      </c>
    </row>
    <row r="74" spans="1:18">
      <c r="A74" s="172"/>
      <c r="B74" s="169"/>
      <c r="C74" s="163"/>
      <c r="D74" s="40" t="s">
        <v>12</v>
      </c>
      <c r="E74" s="128">
        <v>26.99</v>
      </c>
      <c r="F74" s="129">
        <v>23.99</v>
      </c>
      <c r="G74" s="105" t="s">
        <v>802</v>
      </c>
      <c r="H74" s="106">
        <v>7896089016215</v>
      </c>
      <c r="I74"/>
      <c r="J74" s="69" t="str">
        <f t="shared" si="1"/>
        <v>EAN</v>
      </c>
      <c r="K74" s="68"/>
      <c r="L74"/>
      <c r="M74" s="63" t="s">
        <v>3805</v>
      </c>
      <c r="N74" s="64" t="str">
        <f t="shared" ref="N74:N103" si="3">(IFERROR(IF(VLOOKUP(H74,$H$3:$H$68,1,0),"Sim","Não"),"Não"))</f>
        <v>Sim</v>
      </c>
      <c r="O74" s="12" t="str">
        <f t="shared" si="0"/>
        <v>7896089016215;26,99;23,99;12</v>
      </c>
      <c r="P74" s="24"/>
      <c r="Q74" s="9">
        <v>12</v>
      </c>
      <c r="R74" s="26" t="s">
        <v>161</v>
      </c>
    </row>
    <row r="75" spans="1:18">
      <c r="A75" s="172"/>
      <c r="B75" s="169"/>
      <c r="C75" s="138" t="s">
        <v>103</v>
      </c>
      <c r="D75" s="40" t="s">
        <v>816</v>
      </c>
      <c r="E75" s="128">
        <v>22.99</v>
      </c>
      <c r="F75" s="129">
        <v>18.989999999999998</v>
      </c>
      <c r="G75" s="105" t="s">
        <v>103</v>
      </c>
      <c r="H75" s="125">
        <v>99738</v>
      </c>
      <c r="I75"/>
      <c r="J75" s="69" t="str">
        <f t="shared" si="1"/>
        <v>Código Unificado</v>
      </c>
      <c r="K75" s="68">
        <f>COUNTIF('Base - Cód Barras'!A:A,C75)</f>
        <v>1</v>
      </c>
      <c r="L75"/>
      <c r="M75" s="63" t="s">
        <v>3805</v>
      </c>
      <c r="N75" s="64" t="str">
        <f t="shared" si="3"/>
        <v>Sim</v>
      </c>
      <c r="O75" s="12" t="str">
        <f t="shared" si="0"/>
        <v>99738;22,99;18,99;5</v>
      </c>
      <c r="P75" s="24" t="s">
        <v>148</v>
      </c>
      <c r="Q75" s="9">
        <v>5</v>
      </c>
      <c r="R75" s="26" t="s">
        <v>160</v>
      </c>
    </row>
    <row r="76" spans="1:18">
      <c r="A76" s="172"/>
      <c r="B76" s="169"/>
      <c r="C76" s="138" t="s">
        <v>1925</v>
      </c>
      <c r="D76" s="40" t="s">
        <v>11</v>
      </c>
      <c r="E76" s="128">
        <v>6.99</v>
      </c>
      <c r="F76" s="129">
        <v>5.99</v>
      </c>
      <c r="G76" s="105" t="s">
        <v>1934</v>
      </c>
      <c r="H76" s="125">
        <v>7891095031696</v>
      </c>
      <c r="I76"/>
      <c r="J76" s="69" t="str">
        <f t="shared" si="1"/>
        <v>EAN</v>
      </c>
      <c r="K76" s="68">
        <f>COUNTIF('Base - Cód Barras'!A:A,C76)</f>
        <v>1</v>
      </c>
      <c r="L76"/>
      <c r="M76" s="63" t="s">
        <v>3805</v>
      </c>
      <c r="N76" s="64" t="str">
        <f t="shared" si="3"/>
        <v>Sim</v>
      </c>
      <c r="O76" s="12" t="str">
        <f t="shared" si="0"/>
        <v>7891095031696;6,99;5,99;6</v>
      </c>
      <c r="P76" s="24" t="s">
        <v>148</v>
      </c>
      <c r="Q76" s="9">
        <v>6</v>
      </c>
      <c r="R76" s="26" t="s">
        <v>161</v>
      </c>
    </row>
    <row r="77" spans="1:18">
      <c r="A77" s="172"/>
      <c r="B77" s="169"/>
      <c r="C77" s="161" t="s">
        <v>2654</v>
      </c>
      <c r="D77" s="40" t="s">
        <v>11</v>
      </c>
      <c r="E77" s="128">
        <v>5.99</v>
      </c>
      <c r="F77" s="129">
        <v>4.99</v>
      </c>
      <c r="G77" s="105" t="s">
        <v>2656</v>
      </c>
      <c r="H77" s="125">
        <v>7891095911486</v>
      </c>
      <c r="I77"/>
      <c r="J77" s="69" t="str">
        <f t="shared" si="1"/>
        <v>EAN</v>
      </c>
      <c r="K77" s="68">
        <f>COUNTIF('Base - Cód Barras'!A:A,C77)</f>
        <v>2</v>
      </c>
      <c r="L77"/>
      <c r="M77" s="63" t="s">
        <v>3805</v>
      </c>
      <c r="N77" s="64" t="str">
        <f t="shared" si="3"/>
        <v>Sim</v>
      </c>
      <c r="O77" s="12" t="str">
        <f t="shared" si="0"/>
        <v>7891095911486;5,99;4,99;6</v>
      </c>
      <c r="P77" s="24" t="s">
        <v>148</v>
      </c>
      <c r="Q77" s="9">
        <v>6</v>
      </c>
      <c r="R77" s="26" t="s">
        <v>161</v>
      </c>
    </row>
    <row r="78" spans="1:18">
      <c r="A78" s="172"/>
      <c r="B78" s="169"/>
      <c r="C78" s="163"/>
      <c r="D78" s="40" t="s">
        <v>11</v>
      </c>
      <c r="E78" s="128">
        <v>5.99</v>
      </c>
      <c r="F78" s="129">
        <v>4.99</v>
      </c>
      <c r="G78" s="105" t="s">
        <v>2656</v>
      </c>
      <c r="H78" s="106">
        <v>7891095031665</v>
      </c>
      <c r="I78"/>
      <c r="J78" s="69" t="str">
        <f t="shared" si="1"/>
        <v>EAN</v>
      </c>
      <c r="K78" s="68"/>
      <c r="L78"/>
      <c r="M78" s="63" t="s">
        <v>3805</v>
      </c>
      <c r="N78" s="64" t="str">
        <f t="shared" si="3"/>
        <v>Sim</v>
      </c>
      <c r="O78" s="12" t="str">
        <f t="shared" si="0"/>
        <v>7891095031665;5,99;4,99;6</v>
      </c>
      <c r="P78" s="24"/>
      <c r="Q78" s="9">
        <v>6</v>
      </c>
      <c r="R78" s="26" t="s">
        <v>161</v>
      </c>
    </row>
    <row r="79" spans="1:18">
      <c r="A79" s="172"/>
      <c r="B79" s="169"/>
      <c r="C79" s="161" t="s">
        <v>3129</v>
      </c>
      <c r="D79" s="40" t="s">
        <v>1669</v>
      </c>
      <c r="E79" s="128">
        <v>6.99</v>
      </c>
      <c r="F79" s="129">
        <v>5.99</v>
      </c>
      <c r="G79" s="105" t="s">
        <v>3130</v>
      </c>
      <c r="H79" s="125">
        <v>7891991304870</v>
      </c>
      <c r="I79"/>
      <c r="J79" s="69" t="str">
        <f t="shared" si="1"/>
        <v>EAN</v>
      </c>
      <c r="K79" s="68">
        <f>COUNTIF('Base - Cód Barras'!A:A,#REF!)</f>
        <v>0</v>
      </c>
      <c r="L79"/>
      <c r="M79" s="63" t="s">
        <v>3805</v>
      </c>
      <c r="N79" s="64" t="str">
        <f t="shared" si="3"/>
        <v>Sim</v>
      </c>
      <c r="O79" s="12" t="str">
        <f t="shared" si="0"/>
        <v>7891991304870;6,99;5,99;120</v>
      </c>
      <c r="P79" s="24" t="s">
        <v>148</v>
      </c>
      <c r="Q79" s="9">
        <v>120</v>
      </c>
      <c r="R79" s="26" t="s">
        <v>161</v>
      </c>
    </row>
    <row r="80" spans="1:18">
      <c r="A80" s="172"/>
      <c r="B80" s="169"/>
      <c r="C80" s="163"/>
      <c r="D80" s="40" t="s">
        <v>3148</v>
      </c>
      <c r="E80" s="128">
        <f>6.99*6</f>
        <v>41.94</v>
      </c>
      <c r="F80" s="129">
        <f>5.99*6</f>
        <v>35.94</v>
      </c>
      <c r="G80" s="105" t="s">
        <v>3139</v>
      </c>
      <c r="H80" s="106">
        <v>7891991304887</v>
      </c>
      <c r="I80"/>
      <c r="J80" s="69" t="str">
        <f t="shared" si="1"/>
        <v>EAN</v>
      </c>
      <c r="K80" s="68"/>
      <c r="L80"/>
      <c r="M80" s="63" t="s">
        <v>3805</v>
      </c>
      <c r="N80" s="64" t="str">
        <f t="shared" si="3"/>
        <v>Sim</v>
      </c>
      <c r="O80" s="12" t="str">
        <f t="shared" si="0"/>
        <v>7891991304887;41,94;35,94;20</v>
      </c>
      <c r="P80" s="24"/>
      <c r="Q80" s="9">
        <v>20</v>
      </c>
      <c r="R80" s="26" t="s">
        <v>341</v>
      </c>
    </row>
    <row r="81" spans="1:18">
      <c r="A81" s="172"/>
      <c r="B81" s="169"/>
      <c r="C81" s="160" t="s">
        <v>2441</v>
      </c>
      <c r="D81" s="40" t="s">
        <v>11</v>
      </c>
      <c r="E81" s="128">
        <v>34.99</v>
      </c>
      <c r="F81" s="129">
        <v>29.99</v>
      </c>
      <c r="G81" s="105" t="s">
        <v>2452</v>
      </c>
      <c r="H81" s="125">
        <v>7792319971579</v>
      </c>
      <c r="I81"/>
      <c r="J81" s="69" t="str">
        <f t="shared" si="1"/>
        <v>EAN</v>
      </c>
      <c r="K81" s="68">
        <f>COUNTIF('Base - Cód Barras'!A:A,C81)</f>
        <v>5</v>
      </c>
      <c r="L81"/>
      <c r="M81" s="63" t="s">
        <v>3805</v>
      </c>
      <c r="N81" s="64" t="str">
        <f t="shared" si="3"/>
        <v>Não</v>
      </c>
      <c r="O81" s="12" t="str">
        <f t="shared" si="0"/>
        <v>7792319971579;34,99;29,99;6</v>
      </c>
      <c r="P81" s="24" t="s">
        <v>148</v>
      </c>
      <c r="Q81" s="9">
        <v>6</v>
      </c>
      <c r="R81" s="26" t="s">
        <v>161</v>
      </c>
    </row>
    <row r="82" spans="1:18">
      <c r="A82" s="172"/>
      <c r="B82" s="169"/>
      <c r="C82" s="158"/>
      <c r="D82" s="40" t="s">
        <v>11</v>
      </c>
      <c r="E82" s="128">
        <v>34.99</v>
      </c>
      <c r="F82" s="129">
        <v>29.99</v>
      </c>
      <c r="G82" s="105" t="s">
        <v>2453</v>
      </c>
      <c r="H82" s="106">
        <v>7792319003669</v>
      </c>
      <c r="I82"/>
      <c r="J82" s="69" t="str">
        <f t="shared" si="1"/>
        <v>EAN</v>
      </c>
      <c r="K82" s="68"/>
      <c r="L82"/>
      <c r="M82" s="63" t="s">
        <v>3805</v>
      </c>
      <c r="N82" s="64" t="str">
        <f t="shared" si="3"/>
        <v>Não</v>
      </c>
      <c r="O82" s="12" t="str">
        <f t="shared" si="0"/>
        <v>7792319003669;34,99;29,99;6</v>
      </c>
      <c r="P82" s="24"/>
      <c r="Q82" s="9">
        <v>6</v>
      </c>
      <c r="R82" s="26" t="s">
        <v>161</v>
      </c>
    </row>
    <row r="83" spans="1:18" ht="30">
      <c r="A83" s="172"/>
      <c r="B83" s="169"/>
      <c r="C83" s="158"/>
      <c r="D83" s="40" t="s">
        <v>11</v>
      </c>
      <c r="E83" s="128">
        <v>34.99</v>
      </c>
      <c r="F83" s="129">
        <v>29.99</v>
      </c>
      <c r="G83" s="105" t="s">
        <v>2454</v>
      </c>
      <c r="H83" s="106">
        <v>7792319971562</v>
      </c>
      <c r="I83"/>
      <c r="J83" s="69" t="str">
        <f t="shared" si="1"/>
        <v>EAN</v>
      </c>
      <c r="K83" s="68"/>
      <c r="L83"/>
      <c r="M83" s="63" t="s">
        <v>3805</v>
      </c>
      <c r="N83" s="64" t="str">
        <f t="shared" si="3"/>
        <v>Não</v>
      </c>
      <c r="O83" s="12" t="str">
        <f t="shared" si="0"/>
        <v>7792319971562;34,99;29,99;6</v>
      </c>
      <c r="P83" s="24"/>
      <c r="Q83" s="9">
        <v>6</v>
      </c>
      <c r="R83" s="26" t="s">
        <v>161</v>
      </c>
    </row>
    <row r="84" spans="1:18">
      <c r="A84" s="172"/>
      <c r="B84" s="169"/>
      <c r="C84" s="158"/>
      <c r="D84" s="40" t="s">
        <v>11</v>
      </c>
      <c r="E84" s="128">
        <v>34.99</v>
      </c>
      <c r="F84" s="129">
        <v>29.99</v>
      </c>
      <c r="G84" s="105" t="s">
        <v>2455</v>
      </c>
      <c r="H84" s="106">
        <v>7792319971555</v>
      </c>
      <c r="I84"/>
      <c r="J84" s="69" t="str">
        <f t="shared" si="1"/>
        <v>EAN</v>
      </c>
      <c r="K84" s="68"/>
      <c r="L84"/>
      <c r="M84" s="63" t="s">
        <v>3805</v>
      </c>
      <c r="N84" s="64" t="str">
        <f t="shared" si="3"/>
        <v>Não</v>
      </c>
      <c r="O84" s="12" t="str">
        <f t="shared" si="0"/>
        <v>7792319971555;34,99;29,99;6</v>
      </c>
      <c r="P84" s="24"/>
      <c r="Q84" s="9">
        <v>6</v>
      </c>
      <c r="R84" s="26" t="s">
        <v>161</v>
      </c>
    </row>
    <row r="85" spans="1:18">
      <c r="A85" s="172"/>
      <c r="B85" s="169"/>
      <c r="C85" s="159"/>
      <c r="D85" s="40" t="s">
        <v>11</v>
      </c>
      <c r="E85" s="128">
        <v>34.99</v>
      </c>
      <c r="F85" s="129">
        <v>29.99</v>
      </c>
      <c r="G85" s="105" t="s">
        <v>2456</v>
      </c>
      <c r="H85" s="106">
        <v>7792319971586</v>
      </c>
      <c r="I85"/>
      <c r="J85" s="69" t="str">
        <f t="shared" si="1"/>
        <v>EAN</v>
      </c>
      <c r="K85" s="68"/>
      <c r="L85"/>
      <c r="M85" s="63" t="s">
        <v>3805</v>
      </c>
      <c r="N85" s="64" t="str">
        <f t="shared" si="3"/>
        <v>Não</v>
      </c>
      <c r="O85" s="12" t="str">
        <f t="shared" si="0"/>
        <v>7792319971586;34,99;29,99;6</v>
      </c>
      <c r="P85" s="24"/>
      <c r="Q85" s="9">
        <v>6</v>
      </c>
      <c r="R85" s="26" t="s">
        <v>161</v>
      </c>
    </row>
    <row r="86" spans="1:18">
      <c r="A86" s="172"/>
      <c r="B86" s="169"/>
      <c r="C86" s="46" t="s">
        <v>1685</v>
      </c>
      <c r="D86" s="40" t="s">
        <v>875</v>
      </c>
      <c r="E86" s="128">
        <v>5.99</v>
      </c>
      <c r="F86" s="129">
        <v>4.99</v>
      </c>
      <c r="G86" s="105" t="s">
        <v>254</v>
      </c>
      <c r="H86" s="125">
        <v>7896275960896</v>
      </c>
      <c r="I86"/>
      <c r="J86" s="69" t="str">
        <f t="shared" si="1"/>
        <v>EAN</v>
      </c>
      <c r="K86" s="68">
        <f>COUNTIF('Base - Cód Barras'!A:A,C86)</f>
        <v>1</v>
      </c>
      <c r="L86"/>
      <c r="M86" s="63" t="s">
        <v>3805</v>
      </c>
      <c r="N86" s="64" t="str">
        <f t="shared" si="3"/>
        <v>Sim</v>
      </c>
      <c r="O86" s="12" t="str">
        <f t="shared" si="0"/>
        <v>7896275960896;5,99;4,99;12</v>
      </c>
      <c r="P86" s="24" t="s">
        <v>148</v>
      </c>
      <c r="Q86" s="9">
        <v>12</v>
      </c>
      <c r="R86" s="26" t="s">
        <v>161</v>
      </c>
    </row>
    <row r="87" spans="1:18">
      <c r="A87" s="172"/>
      <c r="B87" s="169"/>
      <c r="C87" s="160" t="s">
        <v>3287</v>
      </c>
      <c r="D87" s="40" t="s">
        <v>11</v>
      </c>
      <c r="E87" s="128">
        <v>45.9</v>
      </c>
      <c r="F87" s="129">
        <v>39.9</v>
      </c>
      <c r="G87" s="105" t="s">
        <v>3288</v>
      </c>
      <c r="H87" s="125">
        <v>7500435226943</v>
      </c>
      <c r="I87"/>
      <c r="J87" s="69" t="str">
        <f t="shared" si="1"/>
        <v>EAN</v>
      </c>
      <c r="K87" s="68">
        <f>COUNTIF('Base - Cód Barras'!A:A,C87)</f>
        <v>5</v>
      </c>
      <c r="L87"/>
      <c r="M87" s="63" t="s">
        <v>3805</v>
      </c>
      <c r="N87" s="64" t="str">
        <f t="shared" si="3"/>
        <v>Sim</v>
      </c>
      <c r="O87" s="12" t="str">
        <f t="shared" si="0"/>
        <v>7500435226943;45,9;39,9;6</v>
      </c>
      <c r="P87" s="24" t="s">
        <v>148</v>
      </c>
      <c r="Q87" s="9">
        <v>6</v>
      </c>
      <c r="R87" s="26" t="s">
        <v>161</v>
      </c>
    </row>
    <row r="88" spans="1:18">
      <c r="A88" s="172"/>
      <c r="B88" s="169"/>
      <c r="C88" s="158"/>
      <c r="D88" s="40" t="s">
        <v>11</v>
      </c>
      <c r="E88" s="128">
        <v>45.9</v>
      </c>
      <c r="F88" s="129">
        <v>39.9</v>
      </c>
      <c r="G88" s="105" t="s">
        <v>3289</v>
      </c>
      <c r="H88" s="106">
        <v>7500435226950</v>
      </c>
      <c r="I88"/>
      <c r="J88" s="69" t="str">
        <f t="shared" si="1"/>
        <v>EAN</v>
      </c>
      <c r="K88" s="68"/>
      <c r="L88"/>
      <c r="M88" s="63" t="s">
        <v>3805</v>
      </c>
      <c r="N88" s="64" t="str">
        <f t="shared" si="3"/>
        <v>Sim</v>
      </c>
      <c r="O88" s="12" t="str">
        <f t="shared" si="0"/>
        <v>7500435226950;45,9;39,9;6</v>
      </c>
      <c r="P88" s="24"/>
      <c r="Q88" s="9">
        <v>6</v>
      </c>
      <c r="R88" s="26" t="s">
        <v>161</v>
      </c>
    </row>
    <row r="89" spans="1:18">
      <c r="A89" s="172"/>
      <c r="B89" s="169"/>
      <c r="C89" s="158"/>
      <c r="D89" s="40" t="s">
        <v>11</v>
      </c>
      <c r="E89" s="128">
        <v>45.9</v>
      </c>
      <c r="F89" s="129">
        <v>39.9</v>
      </c>
      <c r="G89" s="105" t="s">
        <v>3290</v>
      </c>
      <c r="H89" s="106">
        <v>7500435239417</v>
      </c>
      <c r="I89"/>
      <c r="J89" s="69" t="str">
        <f t="shared" si="1"/>
        <v>EAN</v>
      </c>
      <c r="K89" s="68"/>
      <c r="L89"/>
      <c r="M89" s="63" t="s">
        <v>3805</v>
      </c>
      <c r="N89" s="64" t="str">
        <f t="shared" si="3"/>
        <v>Sim</v>
      </c>
      <c r="O89" s="12" t="str">
        <f t="shared" si="0"/>
        <v>7500435239417;45,9;39,9;6</v>
      </c>
      <c r="P89" s="24"/>
      <c r="Q89" s="9">
        <v>6</v>
      </c>
      <c r="R89" s="26" t="s">
        <v>161</v>
      </c>
    </row>
    <row r="90" spans="1:18">
      <c r="A90" s="172"/>
      <c r="B90" s="169"/>
      <c r="C90" s="158"/>
      <c r="D90" s="40" t="s">
        <v>11</v>
      </c>
      <c r="E90" s="128">
        <v>45.9</v>
      </c>
      <c r="F90" s="129">
        <v>39.9</v>
      </c>
      <c r="G90" s="105" t="s">
        <v>3291</v>
      </c>
      <c r="H90" s="106">
        <v>7500435244671</v>
      </c>
      <c r="I90"/>
      <c r="J90" s="69" t="str">
        <f t="shared" si="1"/>
        <v>EAN</v>
      </c>
      <c r="K90" s="68"/>
      <c r="L90"/>
      <c r="M90" s="63" t="s">
        <v>3805</v>
      </c>
      <c r="N90" s="64" t="str">
        <f t="shared" si="3"/>
        <v>Sim</v>
      </c>
      <c r="O90" s="12" t="str">
        <f t="shared" si="0"/>
        <v>7500435244671;45,9;39,9;6</v>
      </c>
      <c r="P90" s="24"/>
      <c r="Q90" s="9">
        <v>6</v>
      </c>
      <c r="R90" s="26" t="s">
        <v>161</v>
      </c>
    </row>
    <row r="91" spans="1:18">
      <c r="A91" s="172"/>
      <c r="B91" s="169"/>
      <c r="C91" s="159"/>
      <c r="D91" s="40" t="s">
        <v>11</v>
      </c>
      <c r="E91" s="128">
        <v>45.9</v>
      </c>
      <c r="F91" s="129">
        <v>39.9</v>
      </c>
      <c r="G91" s="105" t="s">
        <v>3292</v>
      </c>
      <c r="H91" s="106">
        <v>7500435244664</v>
      </c>
      <c r="I91"/>
      <c r="J91" s="69" t="str">
        <f t="shared" si="1"/>
        <v>EAN</v>
      </c>
      <c r="K91" s="68"/>
      <c r="L91"/>
      <c r="M91" s="63" t="s">
        <v>3805</v>
      </c>
      <c r="N91" s="64" t="str">
        <f t="shared" si="3"/>
        <v>Sim</v>
      </c>
      <c r="O91" s="12" t="str">
        <f t="shared" si="0"/>
        <v>7500435244664;45,9;39,9;6</v>
      </c>
      <c r="P91" s="24"/>
      <c r="Q91" s="9">
        <v>6</v>
      </c>
      <c r="R91" s="26" t="s">
        <v>161</v>
      </c>
    </row>
    <row r="92" spans="1:18">
      <c r="A92" s="172"/>
      <c r="B92" s="169"/>
      <c r="C92" s="160" t="s">
        <v>3240</v>
      </c>
      <c r="D92" s="40" t="s">
        <v>11</v>
      </c>
      <c r="E92" s="128">
        <v>21.9</v>
      </c>
      <c r="F92" s="129">
        <v>18.899999999999999</v>
      </c>
      <c r="G92" s="105" t="s">
        <v>3072</v>
      </c>
      <c r="H92" s="125">
        <v>7500435243650</v>
      </c>
      <c r="I92"/>
      <c r="J92" s="69" t="str">
        <f t="shared" si="1"/>
        <v>EAN</v>
      </c>
      <c r="K92" s="68">
        <f>COUNTIF('Base - Cód Barras'!A:A,C92)</f>
        <v>10</v>
      </c>
      <c r="L92"/>
      <c r="M92" s="63" t="s">
        <v>3805</v>
      </c>
      <c r="N92" s="64" t="str">
        <f t="shared" si="3"/>
        <v>Sim</v>
      </c>
      <c r="O92" s="12" t="str">
        <f t="shared" si="0"/>
        <v>7500435243650;21,9;18,9;6</v>
      </c>
      <c r="P92" s="24" t="s">
        <v>148</v>
      </c>
      <c r="Q92" s="9">
        <v>6</v>
      </c>
      <c r="R92" s="26" t="s">
        <v>161</v>
      </c>
    </row>
    <row r="93" spans="1:18">
      <c r="A93" s="172"/>
      <c r="B93" s="169"/>
      <c r="C93" s="158"/>
      <c r="D93" s="40" t="s">
        <v>11</v>
      </c>
      <c r="E93" s="128">
        <v>21.9</v>
      </c>
      <c r="F93" s="129">
        <v>18.899999999999999</v>
      </c>
      <c r="G93" s="105" t="s">
        <v>3073</v>
      </c>
      <c r="H93" s="106">
        <v>7506339332643</v>
      </c>
      <c r="I93"/>
      <c r="J93" s="69" t="str">
        <f t="shared" si="1"/>
        <v>EAN</v>
      </c>
      <c r="K93" s="68"/>
      <c r="L93"/>
      <c r="M93" s="63" t="s">
        <v>3805</v>
      </c>
      <c r="N93" s="64" t="str">
        <f t="shared" si="3"/>
        <v>Sim</v>
      </c>
      <c r="O93" s="12" t="str">
        <f t="shared" si="0"/>
        <v>7506339332643;21,9;18,9;6</v>
      </c>
      <c r="P93" s="24"/>
      <c r="Q93" s="9">
        <v>6</v>
      </c>
      <c r="R93" s="26" t="s">
        <v>161</v>
      </c>
    </row>
    <row r="94" spans="1:18">
      <c r="A94" s="172"/>
      <c r="B94" s="169"/>
      <c r="C94" s="158"/>
      <c r="D94" s="40" t="s">
        <v>11</v>
      </c>
      <c r="E94" s="128">
        <v>21.9</v>
      </c>
      <c r="F94" s="129">
        <v>18.899999999999999</v>
      </c>
      <c r="G94" s="105" t="s">
        <v>3074</v>
      </c>
      <c r="H94" s="106">
        <v>7500435153850</v>
      </c>
      <c r="I94"/>
      <c r="J94" s="69" t="str">
        <f t="shared" si="1"/>
        <v>EAN</v>
      </c>
      <c r="K94" s="68"/>
      <c r="L94"/>
      <c r="M94" s="63" t="s">
        <v>3805</v>
      </c>
      <c r="N94" s="64" t="str">
        <f t="shared" si="3"/>
        <v>Sim</v>
      </c>
      <c r="O94" s="12" t="str">
        <f t="shared" si="0"/>
        <v>7500435153850;21,9;18,9;6</v>
      </c>
      <c r="P94" s="24"/>
      <c r="Q94" s="9">
        <v>6</v>
      </c>
      <c r="R94" s="26" t="s">
        <v>161</v>
      </c>
    </row>
    <row r="95" spans="1:18">
      <c r="A95" s="172"/>
      <c r="B95" s="169"/>
      <c r="C95" s="158"/>
      <c r="D95" s="40" t="s">
        <v>11</v>
      </c>
      <c r="E95" s="128">
        <v>21.9</v>
      </c>
      <c r="F95" s="129">
        <v>18.899999999999999</v>
      </c>
      <c r="G95" s="105" t="s">
        <v>3075</v>
      </c>
      <c r="H95" s="106">
        <v>7506339389876</v>
      </c>
      <c r="I95"/>
      <c r="J95" s="69" t="str">
        <f t="shared" si="1"/>
        <v>EAN</v>
      </c>
      <c r="K95" s="68"/>
      <c r="L95"/>
      <c r="M95" s="63" t="s">
        <v>3805</v>
      </c>
      <c r="N95" s="64" t="str">
        <f t="shared" si="3"/>
        <v>Sim</v>
      </c>
      <c r="O95" s="12" t="str">
        <f t="shared" si="0"/>
        <v>7506339389876;21,9;18,9;6</v>
      </c>
      <c r="P95" s="24"/>
      <c r="Q95" s="9">
        <v>6</v>
      </c>
      <c r="R95" s="26" t="s">
        <v>161</v>
      </c>
    </row>
    <row r="96" spans="1:18">
      <c r="A96" s="172"/>
      <c r="B96" s="169"/>
      <c r="C96" s="158"/>
      <c r="D96" s="40" t="s">
        <v>11</v>
      </c>
      <c r="E96" s="128">
        <v>21.9</v>
      </c>
      <c r="F96" s="129">
        <v>18.899999999999999</v>
      </c>
      <c r="G96" s="105" t="s">
        <v>3076</v>
      </c>
      <c r="H96" s="106">
        <v>7500435201285</v>
      </c>
      <c r="I96"/>
      <c r="J96" s="69" t="str">
        <f t="shared" si="1"/>
        <v>EAN</v>
      </c>
      <c r="K96" s="68"/>
      <c r="L96"/>
      <c r="M96" s="63" t="s">
        <v>3805</v>
      </c>
      <c r="N96" s="64" t="str">
        <f t="shared" si="3"/>
        <v>Sim</v>
      </c>
      <c r="O96" s="12" t="str">
        <f t="shared" si="0"/>
        <v>7500435201285;21,9;18,9;6</v>
      </c>
      <c r="P96" s="24"/>
      <c r="Q96" s="9">
        <v>6</v>
      </c>
      <c r="R96" s="26" t="s">
        <v>161</v>
      </c>
    </row>
    <row r="97" spans="1:18">
      <c r="A97" s="172"/>
      <c r="B97" s="169"/>
      <c r="C97" s="158"/>
      <c r="D97" s="40" t="s">
        <v>11</v>
      </c>
      <c r="E97" s="128">
        <v>21.9</v>
      </c>
      <c r="F97" s="129">
        <v>18.899999999999999</v>
      </c>
      <c r="G97" s="105" t="s">
        <v>3077</v>
      </c>
      <c r="H97" s="106">
        <v>7500435160001</v>
      </c>
      <c r="I97"/>
      <c r="J97" s="69" t="str">
        <f t="shared" si="1"/>
        <v>EAN</v>
      </c>
      <c r="K97" s="68"/>
      <c r="L97"/>
      <c r="M97" s="63" t="s">
        <v>3805</v>
      </c>
      <c r="N97" s="64" t="str">
        <f t="shared" si="3"/>
        <v>Sim</v>
      </c>
      <c r="O97" s="12" t="str">
        <f t="shared" si="0"/>
        <v>7500435160001;21,9;18,9;6</v>
      </c>
      <c r="P97" s="24"/>
      <c r="Q97" s="9">
        <v>6</v>
      </c>
      <c r="R97" s="26" t="s">
        <v>161</v>
      </c>
    </row>
    <row r="98" spans="1:18">
      <c r="A98" s="172"/>
      <c r="B98" s="169"/>
      <c r="C98" s="158"/>
      <c r="D98" s="40" t="s">
        <v>11</v>
      </c>
      <c r="E98" s="128">
        <v>21.9</v>
      </c>
      <c r="F98" s="129">
        <v>18.899999999999999</v>
      </c>
      <c r="G98" s="105" t="s">
        <v>3078</v>
      </c>
      <c r="H98" s="106">
        <v>7500435160018</v>
      </c>
      <c r="I98"/>
      <c r="J98" s="69" t="str">
        <f t="shared" si="1"/>
        <v>EAN</v>
      </c>
      <c r="K98" s="68"/>
      <c r="L98"/>
      <c r="M98" s="63" t="s">
        <v>3805</v>
      </c>
      <c r="N98" s="64" t="str">
        <f t="shared" si="3"/>
        <v>Sim</v>
      </c>
      <c r="O98" s="12" t="str">
        <f t="shared" si="0"/>
        <v>7500435160018;21,9;18,9;6</v>
      </c>
      <c r="P98" s="24"/>
      <c r="Q98" s="9">
        <v>6</v>
      </c>
      <c r="R98" s="26" t="s">
        <v>161</v>
      </c>
    </row>
    <row r="99" spans="1:18">
      <c r="A99" s="172"/>
      <c r="B99" s="169"/>
      <c r="C99" s="158"/>
      <c r="D99" s="40" t="s">
        <v>11</v>
      </c>
      <c r="E99" s="128">
        <v>21.9</v>
      </c>
      <c r="F99" s="129">
        <v>18.899999999999999</v>
      </c>
      <c r="G99" s="105" t="s">
        <v>3558</v>
      </c>
      <c r="H99" s="106">
        <v>7500435252201</v>
      </c>
      <c r="I99"/>
      <c r="J99" s="69" t="str">
        <f t="shared" si="1"/>
        <v>EAN</v>
      </c>
      <c r="K99" s="68"/>
      <c r="L99"/>
      <c r="M99" s="63" t="s">
        <v>3805</v>
      </c>
      <c r="N99" s="64" t="str">
        <f t="shared" si="3"/>
        <v>Sim</v>
      </c>
      <c r="O99" s="12" t="str">
        <f t="shared" si="0"/>
        <v>7500435252201;21,9;18,9;6</v>
      </c>
      <c r="P99" s="24"/>
      <c r="Q99" s="9">
        <v>6</v>
      </c>
      <c r="R99" s="26" t="s">
        <v>161</v>
      </c>
    </row>
    <row r="100" spans="1:18">
      <c r="A100" s="172"/>
      <c r="B100" s="169"/>
      <c r="C100" s="158"/>
      <c r="D100" s="40" t="s">
        <v>11</v>
      </c>
      <c r="E100" s="128">
        <v>21.9</v>
      </c>
      <c r="F100" s="129">
        <v>18.899999999999999</v>
      </c>
      <c r="G100" s="105" t="s">
        <v>3079</v>
      </c>
      <c r="H100" s="106">
        <v>7500435156967</v>
      </c>
      <c r="I100"/>
      <c r="J100" s="69" t="str">
        <f t="shared" si="1"/>
        <v>EAN</v>
      </c>
      <c r="K100" s="68"/>
      <c r="L100"/>
      <c r="M100" s="63" t="s">
        <v>3805</v>
      </c>
      <c r="N100" s="64" t="str">
        <f t="shared" si="3"/>
        <v>Sim</v>
      </c>
      <c r="O100" s="12" t="str">
        <f t="shared" si="0"/>
        <v>7500435156967;21,9;18,9;6</v>
      </c>
      <c r="P100" s="24"/>
      <c r="Q100" s="9">
        <v>6</v>
      </c>
      <c r="R100" s="26" t="s">
        <v>161</v>
      </c>
    </row>
    <row r="101" spans="1:18">
      <c r="A101" s="172"/>
      <c r="B101" s="169"/>
      <c r="C101" s="159"/>
      <c r="D101" s="40" t="s">
        <v>11</v>
      </c>
      <c r="E101" s="128">
        <v>21.9</v>
      </c>
      <c r="F101" s="129">
        <v>18.899999999999999</v>
      </c>
      <c r="G101" s="105" t="s">
        <v>3649</v>
      </c>
      <c r="H101" s="106">
        <v>7500435259583</v>
      </c>
      <c r="I101"/>
      <c r="J101" s="69" t="str">
        <f t="shared" si="1"/>
        <v>EAN</v>
      </c>
      <c r="K101" s="68"/>
      <c r="L101"/>
      <c r="M101" s="63" t="s">
        <v>3805</v>
      </c>
      <c r="N101" s="64" t="str">
        <f t="shared" si="3"/>
        <v>Sim</v>
      </c>
      <c r="O101" s="12" t="str">
        <f t="shared" si="0"/>
        <v>7500435259583;21,9;18,9;6</v>
      </c>
      <c r="P101" s="24"/>
      <c r="Q101" s="9">
        <v>6</v>
      </c>
      <c r="R101" s="26" t="s">
        <v>161</v>
      </c>
    </row>
    <row r="102" spans="1:18">
      <c r="A102" s="172"/>
      <c r="B102" s="169"/>
      <c r="C102" s="46" t="s">
        <v>665</v>
      </c>
      <c r="D102" s="40" t="s">
        <v>11</v>
      </c>
      <c r="E102" s="128">
        <v>69.900000000000006</v>
      </c>
      <c r="F102" s="129">
        <v>59.9</v>
      </c>
      <c r="G102" s="105" t="s">
        <v>666</v>
      </c>
      <c r="H102" s="125">
        <v>7897753669461</v>
      </c>
      <c r="I102"/>
      <c r="J102" s="69" t="str">
        <f t="shared" si="1"/>
        <v>EAN</v>
      </c>
      <c r="K102" s="68">
        <f>COUNTIF('Base - Cód Barras'!A:A,C102)</f>
        <v>1</v>
      </c>
      <c r="L102"/>
      <c r="M102" s="63" t="s">
        <v>3805</v>
      </c>
      <c r="N102" s="64" t="str">
        <f t="shared" si="3"/>
        <v>Sim</v>
      </c>
      <c r="O102" s="12" t="str">
        <f t="shared" si="0"/>
        <v>7897753669461;69,9;59,9;6</v>
      </c>
      <c r="P102" s="24" t="s">
        <v>148</v>
      </c>
      <c r="Q102" s="9">
        <v>6</v>
      </c>
      <c r="R102" s="26" t="s">
        <v>161</v>
      </c>
    </row>
    <row r="103" spans="1:18">
      <c r="A103" s="173"/>
      <c r="B103" s="170"/>
      <c r="C103" s="46" t="s">
        <v>3723</v>
      </c>
      <c r="D103" s="40" t="s">
        <v>11</v>
      </c>
      <c r="E103" s="128">
        <v>10.99</v>
      </c>
      <c r="F103" s="129">
        <v>8.99</v>
      </c>
      <c r="G103" s="105" t="s">
        <v>3726</v>
      </c>
      <c r="H103" s="125">
        <v>7896040706186</v>
      </c>
      <c r="I103"/>
      <c r="J103" s="69" t="str">
        <f t="shared" si="1"/>
        <v>EAN</v>
      </c>
      <c r="K103" s="68">
        <f>COUNTIF('Base - Cód Barras'!A:A,C103)</f>
        <v>1</v>
      </c>
      <c r="L103"/>
      <c r="M103" s="63" t="s">
        <v>3805</v>
      </c>
      <c r="N103" s="64" t="str">
        <f t="shared" si="3"/>
        <v>Sim</v>
      </c>
      <c r="O103" s="12" t="str">
        <f t="shared" si="0"/>
        <v>7896040706186;10,99;8,99;6</v>
      </c>
      <c r="P103" s="24" t="s">
        <v>148</v>
      </c>
      <c r="Q103" s="9">
        <v>6</v>
      </c>
      <c r="R103" s="26" t="s">
        <v>161</v>
      </c>
    </row>
  </sheetData>
  <sheetProtection insertRows="0" deleteRows="0" sort="0" autoFilter="0"/>
  <protectedRanges>
    <protectedRange sqref="S1:S20 V1:AQ20 S21:AQ1048576" name="Intervalo4_3"/>
    <protectedRange sqref="A1:H1048576" name="Intervalo1_3"/>
    <protectedRange sqref="M2:R2" name="Intervalo2_1_2"/>
    <protectedRange sqref="M2:N1141 P2:R1043" name="Intervalo1_1_2"/>
    <protectedRange sqref="T4:U20 T1:U2" name="Intervalo4_1_2"/>
  </protectedRanges>
  <autoFilter ref="M2:R103" xr:uid="{D831EAE8-D553-4169-9E53-2B1A49C14AA1}"/>
  <mergeCells count="29">
    <mergeCell ref="C40:C41"/>
    <mergeCell ref="J1:J2"/>
    <mergeCell ref="K1:K2"/>
    <mergeCell ref="M1:R1"/>
    <mergeCell ref="T1:U1"/>
    <mergeCell ref="T6:T15"/>
    <mergeCell ref="U6:U15"/>
    <mergeCell ref="A1:F1"/>
    <mergeCell ref="C7:C8"/>
    <mergeCell ref="C9:C11"/>
    <mergeCell ref="C15:C20"/>
    <mergeCell ref="C23:C27"/>
    <mergeCell ref="C21:C22"/>
    <mergeCell ref="B69:B103"/>
    <mergeCell ref="A69:A103"/>
    <mergeCell ref="B3:B68"/>
    <mergeCell ref="A3:A68"/>
    <mergeCell ref="C72:C74"/>
    <mergeCell ref="C77:C78"/>
    <mergeCell ref="C79:C80"/>
    <mergeCell ref="C81:C85"/>
    <mergeCell ref="C87:C91"/>
    <mergeCell ref="C92:C101"/>
    <mergeCell ref="C43:C44"/>
    <mergeCell ref="C45:C46"/>
    <mergeCell ref="C47:C48"/>
    <mergeCell ref="C49:C50"/>
    <mergeCell ref="C51:C55"/>
    <mergeCell ref="C56:C65"/>
  </mergeCells>
  <conditionalFormatting sqref="N3:N103">
    <cfRule type="containsText" dxfId="1" priority="1" operator="containsText" text="Não">
      <formula>NOT(ISERROR(SEARCH("Não",N3)))</formula>
    </cfRule>
    <cfRule type="containsText" dxfId="0" priority="2" operator="containsText" text="Sim">
      <formula>NOT(ISERROR(SEARCH("Sim",N3)))</formula>
    </cfRule>
  </conditionalFormatting>
  <dataValidations count="2">
    <dataValidation allowBlank="1" showInputMessage="1" showErrorMessage="1" promptTitle="Verificar" prompt="Flegar todas as opções, menos a opção &quot;SIM&quot;, deixar essa opção fora do fleg do filtro." sqref="N2" xr:uid="{BB9479FB-BC73-467C-9987-EBB2AABB4E87}"/>
    <dataValidation allowBlank="1" showInputMessage="1" promptTitle="Status" prompt="Se algum item estiver escrito &quot;CADASTRADO&quot;, não flegar, pois este código de barras já foi cadastrado no aplicativo." sqref="P2" xr:uid="{8534D0BC-8366-4B17-A9DD-6A38746AB2DF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15D2EB1F6208B44B4AAD10D36CC8BFB" ma:contentTypeVersion="14" ma:contentTypeDescription="Crie um novo documento." ma:contentTypeScope="" ma:versionID="dd386fdfafe8d2229b51eda99626b80b">
  <xsd:schema xmlns:xsd="http://www.w3.org/2001/XMLSchema" xmlns:xs="http://www.w3.org/2001/XMLSchema" xmlns:p="http://schemas.microsoft.com/office/2006/metadata/properties" xmlns:ns2="f5747feb-157c-4a96-bbdc-a42f4daab278" xmlns:ns3="00ae725d-90aa-4b22-8431-ecfdf878306f" targetNamespace="http://schemas.microsoft.com/office/2006/metadata/properties" ma:root="true" ma:fieldsID="75972e0c8257e1f378430b7a9d23d1d2" ns2:_="" ns3:_="">
    <xsd:import namespace="f5747feb-157c-4a96-bbdc-a42f4daab278"/>
    <xsd:import namespace="00ae725d-90aa-4b22-8431-ecfdf87830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DateTaken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47feb-157c-4a96-bbdc-a42f4daab2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e0952090-efbc-4724-95a4-6cca2f364a4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Flow_SignoffStatus" ma:index="21" nillable="true" ma:displayName="Status de liberação" ma:internalName="Status_x0020_de_x0020_libera_x00e7__x00e3_o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ae725d-90aa-4b22-8431-ecfdf878306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1d65a42-36eb-47c8-b230-a3ea56aabab1}" ma:internalName="TaxCatchAll" ma:showField="CatchAllData" ma:web="00ae725d-90aa-4b22-8431-ecfdf87830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f5747feb-157c-4a96-bbdc-a42f4daab278" xsi:nil="true"/>
    <TaxCatchAll xmlns="00ae725d-90aa-4b22-8431-ecfdf878306f" xsi:nil="true"/>
    <lcf76f155ced4ddcb4097134ff3c332f xmlns="f5747feb-157c-4a96-bbdc-a42f4daab2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6F8CAF-CE50-4B4A-9AC9-7135E202ED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E4DEFE-CC08-49D1-A9E6-D282C4FCB6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47feb-157c-4a96-bbdc-a42f4daab278"/>
    <ds:schemaRef ds:uri="00ae725d-90aa-4b22-8431-ecfdf87830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0CF336-A8FD-40B2-AF20-99FBC0A8F25B}">
  <ds:schemaRefs>
    <ds:schemaRef ds:uri="http://schemas.microsoft.com/office/2006/metadata/properties"/>
    <ds:schemaRef ds:uri="http://schemas.microsoft.com/office/infopath/2007/PartnerControls"/>
    <ds:schemaRef ds:uri="f5747feb-157c-4a96-bbdc-a42f4daab278"/>
    <ds:schemaRef ds:uri="00ae725d-90aa-4b22-8431-ecfdf878306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 - Clube Das Ofertas</vt:lpstr>
      <vt:lpstr>Base Clube - CLT</vt:lpstr>
      <vt:lpstr>Modelo Base - Plan</vt:lpstr>
      <vt:lpstr>Base - Cód Barras</vt:lpstr>
      <vt:lpstr>Tabloide - 02.06.2026 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RCO</dc:creator>
  <cp:lastModifiedBy>Vinicius Rafael Coutinho</cp:lastModifiedBy>
  <cp:lastPrinted>2025-08-29T10:50:47Z</cp:lastPrinted>
  <dcterms:created xsi:type="dcterms:W3CDTF">2019-10-02T19:48:07Z</dcterms:created>
  <dcterms:modified xsi:type="dcterms:W3CDTF">2026-06-02T19:55:53Z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0x010100515D2EB1F6208B44B4AAD10D36CC8BFB</vt:lpwstr>
  </property>
  <property fmtid="{D5CDD505-2E9C-101B-9397-08002B2CF9AE}" pid="3" name="MediaServiceImageTags">
    <vt:lpwstr/>
  </property>
</Properties>
</file>